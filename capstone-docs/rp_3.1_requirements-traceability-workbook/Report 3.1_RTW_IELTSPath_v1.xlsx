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1" activeTab="5" autoFilterDateGrouping="1"/>
  </bookViews>
  <sheets>
    <sheet xmlns:r="http://schemas.openxmlformats.org/officeDocument/2006/relationships" name="1. Overview" sheetId="1" state="visible" r:id="rId1"/>
    <sheet xmlns:r="http://schemas.openxmlformats.org/officeDocument/2006/relationships" name="2. Use Case List" sheetId="2" state="visible" r:id="rId2"/>
    <sheet xmlns:r="http://schemas.openxmlformats.org/officeDocument/2006/relationships" name="3. Feature Traceability" sheetId="3" state="visible" r:id="rId3"/>
    <sheet xmlns:r="http://schemas.openxmlformats.org/officeDocument/2006/relationships" name="4. Permission Matrix" sheetId="4" state="visible" r:id="rId4"/>
    <sheet xmlns:r="http://schemas.openxmlformats.org/officeDocument/2006/relationships" name="5. Data Dictionary" sheetId="5" state="visible" r:id="rId5"/>
    <sheet xmlns:r="http://schemas.openxmlformats.org/officeDocument/2006/relationships" name="6. Business Rules" sheetId="6" state="visible" r:id="rId6"/>
    <sheet xmlns:r="http://schemas.openxmlformats.org/officeDocument/2006/relationships" name="7. NFR Tracker" sheetId="7" state="visible" r:id="rId7"/>
    <sheet xmlns:r="http://schemas.openxmlformats.org/officeDocument/2006/relationships" name="8. Open Issues" sheetId="8" state="visible" r:id="rId8"/>
    <sheet xmlns:r="http://schemas.openxmlformats.org/officeDocument/2006/relationships" name="9. Change Log" sheetId="9" state="visible" r:id="rId9"/>
  </sheets>
  <definedNames>
    <definedName name="_xlnm._FilterDatabase" localSheetId="1" hidden="1">'2. Use Case List'!$A$3:$K$45</definedName>
    <definedName name="_xlnm._FilterDatabase" localSheetId="2" hidden="1">'3. Feature Traceability'!$A$3:$N$57</definedName>
    <definedName name="_xlnm._FilterDatabase" localSheetId="4" hidden="1">'5. Data Dictionary'!$A$3:$K$670</definedName>
    <definedName name="_xlnm._FilterDatabase" localSheetId="5" hidden="1">'6. Business Rules'!$A$3:$I$37</definedName>
    <definedName name="_xlnm._FilterDatabase" localSheetId="6" hidden="1">'7. NFR Tracker'!$A$3:$L$47</definedName>
  </definedNames>
  <calcPr calcId="191029" fullCalcOnLoad="1"/>
</workbook>
</file>

<file path=xl/styles.xml><?xml version="1.0" encoding="utf-8"?>
<styleSheet xmlns="http://schemas.openxmlformats.org/spreadsheetml/2006/main">
  <numFmts count="0"/>
  <fonts count="19">
    <font>
      <name val="Calibri"/>
      <charset val="1"/>
      <family val="2"/>
      <color theme="1"/>
      <sz val="11"/>
    </font>
    <font>
      <name val="Arial"/>
      <family val="2"/>
      <b val="1"/>
      <color rgb="FF1F3864"/>
      <sz val="14"/>
    </font>
    <font>
      <name val="Arial"/>
      <family val="2"/>
      <i val="1"/>
      <color rgb="FF595959"/>
      <sz val="9"/>
    </font>
    <font>
      <name val="Arial"/>
      <family val="2"/>
      <b val="1"/>
      <color rgb="FF1F3864"/>
      <sz val="11"/>
    </font>
    <font>
      <name val="Arial"/>
      <family val="2"/>
      <b val="1"/>
      <color rgb="FF1F3864"/>
      <sz val="12"/>
    </font>
    <font>
      <name val="Arial"/>
      <family val="2"/>
      <color rgb="FF595959"/>
      <sz val="9"/>
    </font>
    <font>
      <name val="Arial"/>
      <family val="2"/>
      <b val="1"/>
      <color rgb="FFFFFFFF"/>
      <sz val="10"/>
    </font>
    <font>
      <name val="Arial"/>
      <family val="2"/>
      <i val="1"/>
      <color rgb="FF7F6000"/>
      <sz val="10"/>
    </font>
    <font>
      <name val="Arial"/>
      <family val="2"/>
      <b val="1"/>
      <color rgb="FF1F3864"/>
      <sz val="10"/>
    </font>
    <font>
      <name val="Arial"/>
      <family val="2"/>
      <color rgb="FF595959"/>
      <sz val="10"/>
    </font>
    <font>
      <name val="Arial"/>
      <family val="2"/>
      <b val="1"/>
      <color rgb="FFFFFFFF"/>
      <sz val="14"/>
    </font>
    <font>
      <name val="Calibri"/>
      <charset val="1"/>
      <family val="2"/>
      <color theme="1"/>
      <sz val="14"/>
    </font>
    <font>
      <name val="Arial"/>
      <b val="1"/>
      <sz val="10"/>
    </font>
    <font>
      <name val="Arial"/>
      <sz val="10"/>
    </font>
    <font>
      <name val="Arial"/>
      <b val="1"/>
      <color rgb="FF375623"/>
      <sz val="10"/>
    </font>
    <font>
      <name val="Arial"/>
      <b val="1"/>
      <color rgb="FF595959"/>
      <sz val="10"/>
    </font>
    <font>
      <name val="Arial"/>
      <sz val="9"/>
    </font>
    <font>
      <name val="Arial"/>
      <b val="1"/>
      <color rgb="FF7F6000"/>
      <sz val="10"/>
    </font>
    <font>
      <name val="Arial"/>
      <b val="1"/>
      <color rgb="FF2E75B6"/>
      <sz val="10"/>
    </font>
  </fonts>
  <fills count="15">
    <fill>
      <patternFill/>
    </fill>
    <fill>
      <patternFill patternType="gray125"/>
    </fill>
    <fill>
      <patternFill patternType="solid">
        <fgColor rgb="FFFFF2CC"/>
        <bgColor rgb="FFF2F2F2"/>
      </patternFill>
    </fill>
    <fill>
      <patternFill patternType="solid">
        <fgColor rgb="FFF2F2F2"/>
        <bgColor rgb="FFE2EFDA"/>
      </patternFill>
    </fill>
    <fill>
      <patternFill patternType="solid">
        <fgColor rgb="FF2E75B6"/>
        <bgColor rgb="FF0066CC"/>
      </patternFill>
    </fill>
    <fill>
      <patternFill patternType="solid">
        <fgColor rgb="FF375623"/>
        <bgColor rgb="FF1E5C1F"/>
      </patternFill>
    </fill>
    <fill>
      <patternFill patternType="solid">
        <fgColor rgb="FFC00000"/>
        <bgColor rgb="FF800000"/>
      </patternFill>
    </fill>
    <fill>
      <patternFill patternType="solid">
        <fgColor rgb="FF1F3864"/>
        <bgColor rgb="FF375623"/>
      </patternFill>
    </fill>
    <fill>
      <patternFill patternType="solid">
        <fgColor rgb="FFDEEAF1"/>
        <bgColor rgb="FFE2EFDA"/>
      </patternFill>
    </fill>
    <fill>
      <patternFill patternType="solid">
        <fgColor rgb="FFBDD7EE"/>
        <bgColor rgb="FFCCCCCC"/>
      </patternFill>
    </fill>
    <fill>
      <patternFill patternType="solid">
        <fgColor rgb="FFFFFFFF"/>
      </patternFill>
    </fill>
    <fill>
      <patternFill patternType="solid">
        <fgColor rgb="FFDEEAF1"/>
      </patternFill>
    </fill>
    <fill>
      <patternFill patternType="solid">
        <fgColor rgb="FFF2F2F2"/>
      </patternFill>
    </fill>
    <fill>
      <patternFill patternType="solid">
        <fgColor rgb="FFE2EFDA"/>
      </patternFill>
    </fill>
    <fill>
      <patternFill patternType="solid">
        <fgColor rgb="FFFFF2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8">
    <xf numFmtId="0" fontId="0" fillId="0" borderId="0" pivotButton="0" quotePrefix="0" xfId="0"/>
    <xf numFmtId="0" fontId="3" fillId="0" borderId="0" pivotButton="0" quotePrefix="0" xfId="0"/>
    <xf numFmtId="0" fontId="4" fillId="0" borderId="0" pivotButton="0" quotePrefix="0" xfId="0"/>
    <xf numFmtId="0" fontId="6" fillId="7" borderId="1" applyAlignment="1" pivotButton="0" quotePrefix="0" xfId="0">
      <alignment horizontal="center" vertical="center" wrapText="1"/>
    </xf>
    <xf numFmtId="0" fontId="7" fillId="2" borderId="1" applyAlignment="1" pivotButton="0" quotePrefix="0" xfId="0">
      <alignment horizontal="left" vertical="center" wrapText="1"/>
    </xf>
    <xf numFmtId="0" fontId="8" fillId="8" borderId="1" applyAlignment="1" pivotButton="0" quotePrefix="0" xfId="0">
      <alignment horizontal="left" vertical="center" wrapText="1"/>
    </xf>
    <xf numFmtId="0" fontId="7" fillId="9" borderId="1" applyAlignment="1" pivotButton="0" quotePrefix="0" xfId="0">
      <alignment horizontal="left" vertical="center" wrapText="1"/>
    </xf>
    <xf numFmtId="0" fontId="1" fillId="0" borderId="0" applyAlignment="1" pivotButton="0" quotePrefix="0" xfId="0">
      <alignment horizontal="left" vertical="center"/>
    </xf>
    <xf numFmtId="0" fontId="2" fillId="3" borderId="1" applyAlignment="1" pivotButton="0" quotePrefix="0" xfId="0">
      <alignment horizontal="left" vertical="center"/>
    </xf>
    <xf numFmtId="0" fontId="11" fillId="0" borderId="0" pivotButton="0" quotePrefix="0" xfId="0"/>
    <xf numFmtId="0" fontId="12" fillId="10" borderId="1" applyAlignment="1" pivotButton="0" quotePrefix="0" xfId="0">
      <alignment horizontal="left" vertical="center" wrapText="1"/>
    </xf>
    <xf numFmtId="0" fontId="13" fillId="10" borderId="1" applyAlignment="1" pivotButton="0" quotePrefix="0" xfId="0">
      <alignment horizontal="left" vertical="center" wrapText="1"/>
    </xf>
    <xf numFmtId="0" fontId="12" fillId="11" borderId="1" applyAlignment="1" pivotButton="0" quotePrefix="0" xfId="0">
      <alignment horizontal="left" vertical="center" wrapText="1"/>
    </xf>
    <xf numFmtId="0" fontId="13" fillId="11" borderId="1" applyAlignment="1" pivotButton="0" quotePrefix="0" xfId="0">
      <alignment horizontal="left" vertical="center" wrapText="1"/>
    </xf>
    <xf numFmtId="0" fontId="13" fillId="12" borderId="1" applyAlignment="1" pivotButton="0" quotePrefix="0" xfId="0">
      <alignment vertical="center" wrapText="1"/>
    </xf>
    <xf numFmtId="0" fontId="14" fillId="13" borderId="1" applyAlignment="1" pivotButton="0" quotePrefix="0" xfId="0">
      <alignment horizontal="center" vertical="center"/>
    </xf>
    <xf numFmtId="0" fontId="15" fillId="10" borderId="1" applyAlignment="1" pivotButton="0" quotePrefix="0" xfId="0">
      <alignment horizontal="center" vertical="center"/>
    </xf>
    <xf numFmtId="0" fontId="13" fillId="0" borderId="1" applyAlignment="1" pivotButton="0" quotePrefix="0" xfId="0">
      <alignment vertical="center" wrapText="1"/>
    </xf>
    <xf numFmtId="0" fontId="16" fillId="0" borderId="1" applyAlignment="1" pivotButton="0" quotePrefix="0" xfId="0">
      <alignment vertical="center" wrapText="1"/>
    </xf>
    <xf numFmtId="0" fontId="9" fillId="10" borderId="1" applyAlignment="1" pivotButton="0" quotePrefix="0" xfId="0">
      <alignment horizontal="left" vertical="center" wrapText="1"/>
    </xf>
    <xf numFmtId="0" fontId="13" fillId="10" borderId="1" applyAlignment="1" pivotButton="0" quotePrefix="0" xfId="0">
      <alignment vertical="center" wrapText="1"/>
    </xf>
    <xf numFmtId="0" fontId="8" fillId="10" borderId="1" applyAlignment="1" pivotButton="0" quotePrefix="0" xfId="0">
      <alignment horizontal="left" vertical="center" wrapText="1"/>
    </xf>
    <xf numFmtId="0" fontId="17" fillId="14" borderId="1" applyAlignment="1" pivotButton="0" quotePrefix="0" xfId="0">
      <alignment horizontal="center" vertical="center"/>
    </xf>
    <xf numFmtId="0" fontId="0" fillId="10" borderId="1" pivotButton="0" quotePrefix="0" xfId="0"/>
    <xf numFmtId="0" fontId="18" fillId="11" borderId="1" applyAlignment="1" pivotButton="0" quotePrefix="0" xfId="0">
      <alignment horizontal="center" vertical="center"/>
    </xf>
    <xf numFmtId="0" fontId="15" fillId="12" borderId="1" applyAlignment="1" pivotButton="0" quotePrefix="0" xfId="0">
      <alignment horizontal="center" vertical="center"/>
    </xf>
    <xf numFmtId="0" fontId="12" fillId="10" borderId="1" applyAlignment="1" pivotButton="0" quotePrefix="0" xfId="0">
      <alignment horizontal="center" vertical="center" wrapText="1"/>
    </xf>
    <xf numFmtId="0" fontId="13" fillId="10" borderId="1" applyAlignment="1" pivotButton="0" quotePrefix="0" xfId="0">
      <alignment horizontal="center" vertical="center" wrapText="1"/>
    </xf>
    <xf numFmtId="0" fontId="12" fillId="11" borderId="1" applyAlignment="1" pivotButton="0" quotePrefix="0" xfId="0">
      <alignment horizontal="center" vertical="center" wrapText="1"/>
    </xf>
    <xf numFmtId="0" fontId="13" fillId="11" borderId="1" applyAlignment="1" pivotButton="0" quotePrefix="0" xfId="0">
      <alignment horizontal="center" vertical="center" wrapText="1"/>
    </xf>
    <xf numFmtId="0" fontId="2" fillId="2" borderId="0" applyAlignment="1" pivotButton="0" quotePrefix="0" xfId="0">
      <alignment horizontal="left" vertical="top" wrapText="1"/>
    </xf>
    <xf numFmtId="0" fontId="0"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horizontal="left" vertical="center" wrapText="1"/>
    </xf>
    <xf numFmtId="0" fontId="10" fillId="5" borderId="0" applyAlignment="1" pivotButton="0" quotePrefix="0" xfId="0">
      <alignment horizontal="center" vertical="center" wrapText="1"/>
    </xf>
    <xf numFmtId="0" fontId="10" fillId="4" borderId="0" applyAlignment="1" pivotButton="0" quotePrefix="0" xfId="0">
      <alignment horizontal="center" vertical="center" wrapText="1"/>
    </xf>
    <xf numFmtId="0" fontId="10" fillId="6" borderId="0" applyAlignment="1" pivotButton="0" quotePrefix="0" xfId="0">
      <alignment horizontal="center" vertical="center" wrapText="1"/>
    </xf>
    <xf numFmtId="0" fontId="10" fillId="7" borderId="0" applyAlignment="1" pivotButton="0" quotePrefix="0" xfId="0">
      <alignment horizontal="center" vertical="center" wrapText="1"/>
    </xf>
  </cellXfs>
  <cellStyles count="1">
    <cellStyle name="Bình thường" xfId="0" builtinId="0"/>
  </cellStyles>
  <dxfs count="5">
    <dxf>
      <font>
        <b val="1"/>
        <color rgb="FF595959"/>
      </font>
      <fill>
        <patternFill patternType="solid">
          <fgColor rgb="FFFFFFFF"/>
          <bgColor rgb="FFFFFFFF"/>
        </patternFill>
      </fill>
    </dxf>
    <dxf>
      <font>
        <b val="1"/>
        <color rgb="FF7F6000"/>
      </font>
      <fill>
        <patternFill patternType="solid">
          <fgColor rgb="FFFFF2CC"/>
          <bgColor rgb="FFFFF2CC"/>
        </patternFill>
      </fill>
    </dxf>
    <dxf>
      <font>
        <b val="1"/>
        <color rgb="FF595959"/>
      </font>
      <fill>
        <patternFill patternType="solid">
          <fgColor rgb="FFF2F2F2"/>
          <bgColor rgb="FFF2F2F2"/>
        </patternFill>
      </fill>
    </dxf>
    <dxf>
      <font>
        <b val="1"/>
        <color rgb="FF2E75B6"/>
      </font>
      <fill>
        <patternFill patternType="solid">
          <fgColor rgb="FFDEEAF1"/>
          <bgColor rgb="FFDEEAF1"/>
        </patternFill>
      </fill>
    </dxf>
    <dxf>
      <font>
        <b val="1"/>
        <color rgb="FF375623"/>
      </font>
      <fill>
        <patternFill patternType="solid">
          <fgColor rgb="FFE2EFDA"/>
          <bgColor rgb="FFE2EFDA"/>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1E5C1F"/>
      <rgbColor rgb="FF000080"/>
      <rgbColor rgb="FF7F6000"/>
      <rgbColor rgb="FF800080"/>
      <rgbColor rgb="FF008080"/>
      <rgbColor rgb="FFCCCCCC"/>
      <rgbColor rgb="FF808080"/>
      <rgbColor rgb="FF9999FF"/>
      <rgbColor rgb="FF993366"/>
      <rgbColor rgb="FFFFF2CC"/>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3300"/>
      <rgbColor rgb="FF333300"/>
      <rgbColor rgb="FF843C0C"/>
      <rgbColor rgb="FF993366"/>
      <rgbColor rgb="FF5C3292"/>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K15"/>
  <sheetViews>
    <sheetView showGridLines="0" zoomScaleNormal="100" workbookViewId="0">
      <selection activeCell="C27" sqref="C27"/>
    </sheetView>
  </sheetViews>
  <sheetFormatPr baseColWidth="8" defaultColWidth="8.6640625" defaultRowHeight="14.4"/>
  <cols>
    <col width="17.77734375" customWidth="1" style="31" min="1" max="1"/>
    <col width="4" customWidth="1" style="31" min="2" max="2"/>
    <col width="5.77734375" customWidth="1" style="31" min="3" max="3"/>
    <col width="4" customWidth="1" style="31" min="4" max="4"/>
    <col width="28" customWidth="1" style="31" min="5" max="5"/>
    <col width="4" customWidth="1" style="31" min="6" max="6"/>
    <col width="28" customWidth="1" style="31" min="7" max="7"/>
    <col width="6.5546875" customWidth="1" style="31" min="9" max="9"/>
  </cols>
  <sheetData>
    <row r="1" ht="17.7" customHeight="1" s="31">
      <c r="A1" s="7" t="inlineStr">
        <is>
          <t>IELTSPath — Requirements Traceability Workbook</t>
        </is>
      </c>
    </row>
    <row r="2">
      <c r="A2" s="33" t="inlineStr">
        <is>
          <t>Version 1.0  |  Last updated: 09/10/2026</t>
        </is>
      </c>
    </row>
    <row r="3"/>
    <row r="4">
      <c r="A4" s="1" t="inlineStr">
        <is>
          <t>HOW TO USE THIS WORKBOOK</t>
        </is>
      </c>
    </row>
    <row r="5">
      <c r="A5" s="30" t="inlineStr">
        <is>
          <t>This workbook has 9 sheets. Fill each sheet when the corresponding artefact is ready.</t>
        </is>
      </c>
    </row>
    <row r="6">
      <c r="A6" s="30" t="inlineStr">
        <is>
          <t>Sheet 1 (this sheet): auto-calculated summary — formulas pull from other sheets.</t>
        </is>
      </c>
    </row>
    <row r="7">
      <c r="A7" s="30" t="inlineStr">
        <is>
          <t>Sheets 2–9: one artefact per sheet. Headers are pre-set; add data rows below row 3.</t>
        </is>
      </c>
    </row>
    <row r="8">
      <c r="A8" s="30" t="inlineStr">
        <is>
          <t>Gray italic rows = guidance / example — DELETE before distributing.</t>
        </is>
      </c>
    </row>
    <row r="9">
      <c r="A9" s="30" t="inlineStr">
        <is>
          <t>Dropdown validations are pre-configured in each sheet — use them to ensure consistency.</t>
        </is>
      </c>
    </row>
    <row r="10">
      <c r="A10" s="30" t="inlineStr">
        <is>
          <t>Color coding: BLUE header = primary key column | AMBER = guidance row | ALT rows = light blue</t>
        </is>
      </c>
    </row>
    <row r="11"/>
    <row r="12" ht="15.45" customHeight="1" s="31">
      <c r="A12" s="2" t="inlineStr">
        <is>
          <t>Summary Statistics</t>
        </is>
      </c>
    </row>
    <row r="13">
      <c r="A13" s="32" t="inlineStr">
        <is>
          <t>Total Features (FT)</t>
        </is>
      </c>
      <c r="D13" s="32" t="inlineStr">
        <is>
          <t>Features Specified</t>
        </is>
      </c>
      <c r="G13" s="32" t="inlineStr">
        <is>
          <t>Open Issues</t>
        </is>
      </c>
      <c r="J13" s="32" t="inlineStr">
        <is>
          <t>Business Rules</t>
        </is>
      </c>
    </row>
    <row r="14" ht="18" customHeight="1" s="31">
      <c r="A14" s="35">
        <f>COUNTA('3. Feature Traceability'!A4:A100)</f>
        <v/>
      </c>
      <c r="C14" s="9" t="n"/>
      <c r="D14" s="34">
        <f>COUNTIF('3. Feature Traceability'!M4:M100,"Specified")</f>
        <v/>
      </c>
      <c r="F14" s="9" t="n"/>
      <c r="G14" s="36">
        <f>COUNTIF('8. Open Issues'!F4:F50,"Open")</f>
        <v/>
      </c>
      <c r="I14" s="9" t="n"/>
      <c r="J14" s="37">
        <f>COUNTA('6. Business Rules'!A4:A40)</f>
        <v/>
      </c>
    </row>
    <row r="15" ht="18" customHeight="1" s="31">
      <c r="C15" s="9" t="n"/>
      <c r="F15" s="9" t="n"/>
      <c r="I15" s="9" t="n"/>
    </row>
  </sheetData>
  <mergeCells count="15">
    <mergeCell ref="A6:K6"/>
    <mergeCell ref="D13:E13"/>
    <mergeCell ref="A7:K7"/>
    <mergeCell ref="A2:K2"/>
    <mergeCell ref="A13:B13"/>
    <mergeCell ref="A10:K10"/>
    <mergeCell ref="J14:K15"/>
    <mergeCell ref="D14:E15"/>
    <mergeCell ref="A14:B15"/>
    <mergeCell ref="G13:H13"/>
    <mergeCell ref="J13:K13"/>
    <mergeCell ref="A5:K5"/>
    <mergeCell ref="G14:H15"/>
    <mergeCell ref="A9:K9"/>
    <mergeCell ref="A8:K8"/>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5C3292"/>
    <outlinePr summaryBelow="1" summaryRight="1"/>
    <pageSetUpPr/>
  </sheetPr>
  <dimension ref="A1:K198"/>
  <sheetViews>
    <sheetView showGridLines="0" zoomScaleNormal="100" workbookViewId="0">
      <pane xSplit="2" ySplit="3" topLeftCell="F4" activePane="bottomRight" state="frozen"/>
      <selection activeCell="A3" sqref="A3"/>
      <selection pane="topRight" activeCell="A3" sqref="A3"/>
      <selection pane="bottomLeft" activeCell="A3" sqref="A3"/>
      <selection pane="bottomRight" activeCell="K4" sqref="K4"/>
    </sheetView>
  </sheetViews>
  <sheetFormatPr baseColWidth="8" defaultColWidth="8.6640625" defaultRowHeight="14.4"/>
  <cols>
    <col width="8" customWidth="1" style="31" min="1" max="1"/>
    <col width="28" customWidth="1" style="31" min="2" max="2"/>
    <col width="18" customWidth="1" style="31" min="3" max="3"/>
    <col width="22" customWidth="1" style="31" min="4" max="4"/>
    <col width="30" customWidth="1" style="31" min="5" max="5"/>
    <col width="41.33203125" customWidth="1" style="31" min="6" max="6"/>
    <col width="18" customWidth="1" style="31" min="7" max="7"/>
    <col width="24.44140625" customWidth="1" style="31" min="8" max="8"/>
    <col width="18.77734375" customWidth="1" style="31" min="9" max="9"/>
    <col width="20.33203125" customWidth="1" style="31" min="10" max="10"/>
    <col width="34" customWidth="1" style="31" min="11" max="11"/>
  </cols>
  <sheetData>
    <row r="1" ht="27.75" customHeight="1" s="31">
      <c r="A1" s="7" t="inlineStr">
        <is>
          <t>Use Case List</t>
        </is>
      </c>
    </row>
    <row r="2" ht="15.75" customHeight="1" s="31">
      <c r="A2" s="8" t="inlineStr">
        <is>
          <t>Source: Report 3.0_SRS_IELTSPath_IeltsPath_v1.docx (Part 3 features and the Use Case Diagram, Figure 1.3). Each row is one user action, the smallest use case; the Use Case Diagram groups these into larger use cases for readability, and Notes names that diagram use case. Priority: High for use cases in the scenarios SC-01 to SC-04; otherwise Medium (Account, Learning, Assessment, Access, Content) or Low (Notification, Library &amp; Community). Status: Specified = built in the current release; Draft = required but not yet built (partial drafts noted). «include»/«extend» use cases follow their base use case.</t>
        </is>
      </c>
    </row>
    <row r="3" ht="31.5" customHeight="1" s="31">
      <c r="A3" s="3" t="inlineStr">
        <is>
          <t>UC ID</t>
        </is>
      </c>
      <c r="B3" s="3" t="inlineStr">
        <is>
          <t>UC Name</t>
        </is>
      </c>
      <c r="C3" s="3" t="inlineStr">
        <is>
          <t>Primary Actor</t>
        </is>
      </c>
      <c r="D3" s="3" t="inlineStr">
        <is>
          <t>Secondary Actor(s)</t>
        </is>
      </c>
      <c r="E3" s="3" t="inlineStr">
        <is>
          <t>Precondition (brief)</t>
        </is>
      </c>
      <c r="F3" s="3" t="inlineStr">
        <is>
          <t>Postcondition (brief)</t>
        </is>
      </c>
      <c r="G3" s="3" t="inlineStr">
        <is>
          <t>Related Feature (FT)</t>
        </is>
      </c>
      <c r="H3" s="3" t="inlineStr">
        <is>
          <t>Related Scenario (SC)</t>
        </is>
      </c>
      <c r="I3" s="3" t="inlineStr">
        <is>
          <t>Priority</t>
        </is>
      </c>
      <c r="J3" s="3" t="inlineStr">
        <is>
          <t>Status</t>
        </is>
      </c>
      <c r="K3" s="3" t="inlineStr">
        <is>
          <t>Notes</t>
        </is>
      </c>
    </row>
    <row r="4" s="31">
      <c r="A4" s="10" t="inlineStr">
        <is>
          <t>UC-001</t>
        </is>
      </c>
      <c r="B4" s="11" t="inlineStr">
        <is>
          <t>Register account</t>
        </is>
      </c>
      <c r="C4" s="11" t="inlineStr">
        <is>
          <t>Guest</t>
        </is>
      </c>
      <c r="D4" s="11" t="inlineStr">
        <is>
          <t>—</t>
        </is>
      </c>
      <c r="E4" s="11" t="inlineStr">
        <is>
          <t>No account exists for the guest's email address.</t>
        </is>
      </c>
      <c r="F4" s="11" t="inlineStr">
        <is>
          <t>An ACTIVE account with the single role CUSTOMER exists; the password is stored only as a BCrypt hash.</t>
        </is>
      </c>
      <c r="G4" s="11" t="inlineStr">
        <is>
          <t>FT-01</t>
        </is>
      </c>
      <c r="H4" s="11" t="inlineStr">
        <is>
          <t>SC-01</t>
        </is>
      </c>
      <c r="I4" s="11" t="inlineStr">
        <is>
          <t>High</t>
        </is>
      </c>
      <c r="J4" s="11" t="inlineStr">
        <is>
          <t>Specified</t>
        </is>
      </c>
      <c r="K4" s="11" t="inlineStr">
        <is>
          <t>Group: Account. Diagram UC: Register. Public registration never grants a staff role.</t>
        </is>
      </c>
    </row>
    <row r="5" s="31">
      <c r="A5" s="12" t="inlineStr">
        <is>
          <t>UC-002</t>
        </is>
      </c>
      <c r="B5" s="13" t="inlineStr">
        <is>
          <t>Sign in with password</t>
        </is>
      </c>
      <c r="C5" s="13" t="inlineStr">
        <is>
          <t>Guest</t>
        </is>
      </c>
      <c r="D5" s="13" t="inlineStr">
        <is>
          <t>—</t>
        </is>
      </c>
      <c r="E5" s="13" t="inlineStr">
        <is>
          <t>The account exists and is ACTIVE.</t>
        </is>
      </c>
      <c r="F5" s="13" t="inlineStr">
        <is>
          <t>The user holds an access token (3,600 s) and a refresh token (7 days, stored as a hash).</t>
        </is>
      </c>
      <c r="G5" s="13" t="inlineStr">
        <is>
          <t>FT-02, FT-07</t>
        </is>
      </c>
      <c r="H5" s="13" t="inlineStr">
        <is>
          <t>SC-01</t>
        </is>
      </c>
      <c r="I5" s="13" t="inlineStr">
        <is>
          <t>High</t>
        </is>
      </c>
      <c r="J5" s="13" t="inlineStr">
        <is>
          <t>Specified</t>
        </is>
      </c>
      <c r="K5" s="13" t="inlineStr">
        <is>
          <t>Group: Account. Diagram UC: Sign in. Every role signs in from the Guest state.</t>
        </is>
      </c>
    </row>
    <row r="6" s="31">
      <c r="A6" s="10" t="inlineStr">
        <is>
          <t>UC-003</t>
        </is>
      </c>
      <c r="B6" s="11" t="inlineStr">
        <is>
          <t>Refresh session</t>
        </is>
      </c>
      <c r="C6" s="11" t="inlineStr">
        <is>
          <t>Signed-in user</t>
        </is>
      </c>
      <c r="D6" s="11" t="inlineStr">
        <is>
          <t>—</t>
        </is>
      </c>
      <c r="E6" s="11" t="inlineStr">
        <is>
          <t>The user holds an unused, unexpired refresh token.</t>
        </is>
      </c>
      <c r="F6" s="11" t="inlineStr">
        <is>
          <t>A new access and refresh token pair is issued; the old refresh token is consumed.</t>
        </is>
      </c>
      <c r="G6" s="11" t="inlineStr">
        <is>
          <t>FT-03</t>
        </is>
      </c>
      <c r="H6" s="11" t="inlineStr">
        <is>
          <t>SC-01</t>
        </is>
      </c>
      <c r="I6" s="11" t="inlineStr">
        <is>
          <t>High</t>
        </is>
      </c>
      <c r="J6" s="11" t="inlineStr">
        <is>
          <t>Specified</t>
        </is>
      </c>
      <c r="K6" s="11" t="inlineStr">
        <is>
          <t>Group: Account. Diagram UC: Sign in.</t>
        </is>
      </c>
    </row>
    <row r="7" s="31">
      <c r="A7" s="12" t="inlineStr">
        <is>
          <t>UC-004</t>
        </is>
      </c>
      <c r="B7" s="13" t="inlineStr">
        <is>
          <t>Sign out</t>
        </is>
      </c>
      <c r="C7" s="13" t="inlineStr">
        <is>
          <t>Signed-in user</t>
        </is>
      </c>
      <c r="D7" s="13" t="inlineStr">
        <is>
          <t>—</t>
        </is>
      </c>
      <c r="E7" s="13" t="inlineStr">
        <is>
          <t>The user is signed in.</t>
        </is>
      </c>
      <c r="F7" s="13" t="inlineStr">
        <is>
          <t>The refresh token is revoked; it can no longer refresh the session.</t>
        </is>
      </c>
      <c r="G7" s="13" t="inlineStr">
        <is>
          <t>FT-03</t>
        </is>
      </c>
      <c r="H7" s="13" t="inlineStr">
        <is>
          <t>SC-01</t>
        </is>
      </c>
      <c r="I7" s="13" t="inlineStr">
        <is>
          <t>High</t>
        </is>
      </c>
      <c r="J7" s="13" t="inlineStr">
        <is>
          <t>Specified</t>
        </is>
      </c>
      <c r="K7" s="13" t="inlineStr">
        <is>
          <t>Group: Account. Diagram UC: Sign in.</t>
        </is>
      </c>
    </row>
    <row r="8" s="31">
      <c r="A8" s="10" t="inlineStr">
        <is>
          <t>UC-005</t>
        </is>
      </c>
      <c r="B8" s="11" t="inlineStr">
        <is>
          <t>Sign in with OAuth</t>
        </is>
      </c>
      <c r="C8" s="11" t="inlineStr">
        <is>
          <t>Guest</t>
        </is>
      </c>
      <c r="D8" s="11" t="inlineStr">
        <is>
          <t>OAuth Identity Provider</t>
        </is>
      </c>
      <c r="E8" s="11" t="inlineStr">
        <is>
          <t>The guest has an identity at the OAuth Identity Provider.</t>
        </is>
      </c>
      <c r="F8" s="11" t="inlineStr">
        <is>
          <t>The ID token is verified; the linked account is signed in, or the first sign-in links an account by verified email or creates a CUSTOMER account.</t>
        </is>
      </c>
      <c r="G8" s="11" t="inlineStr">
        <is>
          <t>FT-05</t>
        </is>
      </c>
      <c r="H8" s="11" t="inlineStr">
        <is>
          <t>SC-01</t>
        </is>
      </c>
      <c r="I8" s="11" t="inlineStr">
        <is>
          <t>High</t>
        </is>
      </c>
      <c r="J8" s="11" t="inlineStr">
        <is>
          <t>Draft</t>
        </is>
      </c>
      <c r="K8" s="11" t="inlineStr">
        <is>
          <t>Group: Account. Diagram UC: Sign in with OAuth. «extend» Sign in with password.</t>
        </is>
      </c>
    </row>
    <row r="9" s="31">
      <c r="A9" s="12" t="inlineStr">
        <is>
          <t>UC-006</t>
        </is>
      </c>
      <c r="B9" s="13" t="inlineStr">
        <is>
          <t>View linked OAuth identities</t>
        </is>
      </c>
      <c r="C9" s="13" t="inlineStr">
        <is>
          <t>Learner</t>
        </is>
      </c>
      <c r="D9" s="13" t="inlineStr">
        <is>
          <t>—</t>
        </is>
      </c>
      <c r="E9" s="13" t="inlineStr">
        <is>
          <t>The learner is signed in.</t>
        </is>
      </c>
      <c r="F9" s="13" t="inlineStr">
        <is>
          <t>The learner sees the OAuth providers linked to the account.</t>
        </is>
      </c>
      <c r="G9" s="13" t="inlineStr">
        <is>
          <t>FT-05</t>
        </is>
      </c>
      <c r="H9" s="13" t="inlineStr">
        <is>
          <t>SC-01</t>
        </is>
      </c>
      <c r="I9" s="13" t="inlineStr">
        <is>
          <t>High</t>
        </is>
      </c>
      <c r="J9" s="13" t="inlineStr">
        <is>
          <t>Specified</t>
        </is>
      </c>
      <c r="K9" s="13" t="inlineStr">
        <is>
          <t>Group: Account. Diagram UC: Sign in with OAuth.</t>
        </is>
      </c>
    </row>
    <row r="10" s="31">
      <c r="A10" s="10" t="inlineStr">
        <is>
          <t>UC-007</t>
        </is>
      </c>
      <c r="B10" s="11" t="inlineStr">
        <is>
          <t>Unlink OAuth identity</t>
        </is>
      </c>
      <c r="C10" s="11" t="inlineStr">
        <is>
          <t>Learner</t>
        </is>
      </c>
      <c r="D10" s="11" t="inlineStr">
        <is>
          <t>—</t>
        </is>
      </c>
      <c r="E10" s="11" t="inlineStr">
        <is>
          <t>The provider is linked to the learner's account.</t>
        </is>
      </c>
      <c r="F10" s="11" t="inlineStr">
        <is>
          <t>The provider link is removed; the account keeps its password sign-in.</t>
        </is>
      </c>
      <c r="G10" s="11" t="inlineStr">
        <is>
          <t>FT-05</t>
        </is>
      </c>
      <c r="H10" s="11" t="inlineStr">
        <is>
          <t>SC-01</t>
        </is>
      </c>
      <c r="I10" s="11" t="inlineStr">
        <is>
          <t>High</t>
        </is>
      </c>
      <c r="J10" s="11" t="inlineStr">
        <is>
          <t>Specified</t>
        </is>
      </c>
      <c r="K10" s="11" t="inlineStr">
        <is>
          <t>Group: Account. Diagram UC: Sign in with OAuth.</t>
        </is>
      </c>
    </row>
    <row r="11" s="31">
      <c r="A11" s="12" t="inlineStr">
        <is>
          <t>UC-008</t>
        </is>
      </c>
      <c r="B11" s="13" t="inlineStr">
        <is>
          <t>Request password reset</t>
        </is>
      </c>
      <c r="C11" s="13" t="inlineStr">
        <is>
          <t>Guest</t>
        </is>
      </c>
      <c r="D11" s="13" t="inlineStr">
        <is>
          <t>Email Service</t>
        </is>
      </c>
      <c r="E11" s="13" t="inlineStr">
        <is>
          <t>The user knows the email address of the account.</t>
        </is>
      </c>
      <c r="F11" s="13" t="inlineStr">
        <is>
          <t>A single-use reset token (hash only, 15-minute expiry) is created.</t>
        </is>
      </c>
      <c r="G11" s="13" t="inlineStr">
        <is>
          <t>FT-04</t>
        </is>
      </c>
      <c r="H11" s="13" t="inlineStr">
        <is>
          <t>SC-01</t>
        </is>
      </c>
      <c r="I11" s="13" t="inlineStr">
        <is>
          <t>High</t>
        </is>
      </c>
      <c r="J11" s="13" t="inlineStr">
        <is>
          <t>Specified</t>
        </is>
      </c>
      <c r="K11" s="13" t="inlineStr">
        <is>
          <t>Group: Account. Diagram UC: Reset password. «include» Send reset link.</t>
        </is>
      </c>
    </row>
    <row r="12" s="31">
      <c r="A12" s="10" t="inlineStr">
        <is>
          <t>UC-009</t>
        </is>
      </c>
      <c r="B12" s="11" t="inlineStr">
        <is>
          <t>Send reset link</t>
        </is>
      </c>
      <c r="C12" s="11" t="inlineStr">
        <is>
          <t>System (via Request password reset)</t>
        </is>
      </c>
      <c r="D12" s="11" t="inlineStr">
        <is>
          <t>Email Service</t>
        </is>
      </c>
      <c r="E12" s="11" t="inlineStr">
        <is>
          <t>A reset token was created for the account.</t>
        </is>
      </c>
      <c r="F12" s="11" t="inlineStr">
        <is>
          <t>The reset link is handed to the Email Service for delivery.</t>
        </is>
      </c>
      <c r="G12" s="11" t="inlineStr">
        <is>
          <t>FT-04</t>
        </is>
      </c>
      <c r="H12" s="11" t="inlineStr">
        <is>
          <t>SC-01</t>
        </is>
      </c>
      <c r="I12" s="11" t="inlineStr">
        <is>
          <t>High</t>
        </is>
      </c>
      <c r="J12" s="11" t="inlineStr">
        <is>
          <t>Draft</t>
        </is>
      </c>
      <c r="K12" s="11" t="inlineStr">
        <is>
          <t>Group: Account. Diagram UC: Send reset link. Email delivery is not built in the current release.</t>
        </is>
      </c>
    </row>
    <row r="13" s="31">
      <c r="A13" s="12" t="inlineStr">
        <is>
          <t>UC-010</t>
        </is>
      </c>
      <c r="B13" s="13" t="inlineStr">
        <is>
          <t>Set new password with reset link</t>
        </is>
      </c>
      <c r="C13" s="13" t="inlineStr">
        <is>
          <t>Guest</t>
        </is>
      </c>
      <c r="D13" s="13" t="inlineStr">
        <is>
          <t>—</t>
        </is>
      </c>
      <c r="E13" s="13" t="inlineStr">
        <is>
          <t>The guest holds a reset link that is unused and not expired.</t>
        </is>
      </c>
      <c r="F13" s="13" t="inlineStr">
        <is>
          <t>The new password (6 to 72 characters) is stored as a BCrypt hash and the link is consumed.</t>
        </is>
      </c>
      <c r="G13" s="13" t="inlineStr">
        <is>
          <t>FT-04</t>
        </is>
      </c>
      <c r="H13" s="13" t="inlineStr">
        <is>
          <t>SC-01</t>
        </is>
      </c>
      <c r="I13" s="13" t="inlineStr">
        <is>
          <t>High</t>
        </is>
      </c>
      <c r="J13" s="13" t="inlineStr">
        <is>
          <t>Specified</t>
        </is>
      </c>
      <c r="K13" s="13" t="inlineStr">
        <is>
          <t>Group: Account. Diagram UC: Reset password.</t>
        </is>
      </c>
    </row>
    <row r="14" s="31">
      <c r="A14" s="10" t="inlineStr">
        <is>
          <t>UC-011</t>
        </is>
      </c>
      <c r="B14" s="11" t="inlineStr">
        <is>
          <t>View own account</t>
        </is>
      </c>
      <c r="C14" s="11" t="inlineStr">
        <is>
          <t>Signed-in user</t>
        </is>
      </c>
      <c r="D14" s="11" t="inlineStr">
        <is>
          <t>—</t>
        </is>
      </c>
      <c r="E14" s="11" t="inlineStr">
        <is>
          <t>The user is signed in.</t>
        </is>
      </c>
      <c r="F14" s="11" t="inlineStr">
        <is>
          <t>The user sees their email, name, roles and status.</t>
        </is>
      </c>
      <c r="G14" s="11" t="inlineStr">
        <is>
          <t>FT-06</t>
        </is>
      </c>
      <c r="H14" s="11" t="inlineStr">
        <is>
          <t>SC-01</t>
        </is>
      </c>
      <c r="I14" s="11" t="inlineStr">
        <is>
          <t>High</t>
        </is>
      </c>
      <c r="J14" s="11" t="inlineStr">
        <is>
          <t>Specified</t>
        </is>
      </c>
      <c r="K14" s="11" t="inlineStr">
        <is>
          <t>Group: Account. Diagram UC: Manage profile and learning goal.</t>
        </is>
      </c>
    </row>
    <row r="15" s="31">
      <c r="A15" s="12" t="inlineStr">
        <is>
          <t>UC-012</t>
        </is>
      </c>
      <c r="B15" s="13" t="inlineStr">
        <is>
          <t>Update own account details</t>
        </is>
      </c>
      <c r="C15" s="13" t="inlineStr">
        <is>
          <t>Signed-in user</t>
        </is>
      </c>
      <c r="D15" s="13" t="inlineStr">
        <is>
          <t>—</t>
        </is>
      </c>
      <c r="E15" s="13" t="inlineStr">
        <is>
          <t>The user is signed in.</t>
        </is>
      </c>
      <c r="F15" s="13" t="inlineStr">
        <is>
          <t>The user's name and account details are updated.</t>
        </is>
      </c>
      <c r="G15" s="13" t="inlineStr">
        <is>
          <t>FT-06</t>
        </is>
      </c>
      <c r="H15" s="13" t="inlineStr">
        <is>
          <t>SC-01</t>
        </is>
      </c>
      <c r="I15" s="13" t="inlineStr">
        <is>
          <t>High</t>
        </is>
      </c>
      <c r="J15" s="13" t="inlineStr">
        <is>
          <t>Specified</t>
        </is>
      </c>
      <c r="K15" s="13" t="inlineStr">
        <is>
          <t>Group: Account. Diagram UC: Manage profile and learning goal.</t>
        </is>
      </c>
    </row>
    <row r="16" s="31">
      <c r="A16" s="10" t="inlineStr">
        <is>
          <t>UC-013</t>
        </is>
      </c>
      <c r="B16" s="11" t="inlineStr">
        <is>
          <t>View learner profile</t>
        </is>
      </c>
      <c r="C16" s="11" t="inlineStr">
        <is>
          <t>Learner</t>
        </is>
      </c>
      <c r="D16" s="11" t="inlineStr">
        <is>
          <t>—</t>
        </is>
      </c>
      <c r="E16" s="11" t="inlineStr">
        <is>
          <t>The learner is signed in.</t>
        </is>
      </c>
      <c r="F16" s="11" t="inlineStr">
        <is>
          <t>The learner sees their profile, including the current band.</t>
        </is>
      </c>
      <c r="G16" s="11" t="inlineStr">
        <is>
          <t>FT-06</t>
        </is>
      </c>
      <c r="H16" s="11" t="inlineStr">
        <is>
          <t>SC-01</t>
        </is>
      </c>
      <c r="I16" s="11" t="inlineStr">
        <is>
          <t>High</t>
        </is>
      </c>
      <c r="J16" s="11" t="inlineStr">
        <is>
          <t>Specified</t>
        </is>
      </c>
      <c r="K16" s="11" t="inlineStr">
        <is>
          <t>Group: Account. Diagram UC: Manage profile and learning goal.</t>
        </is>
      </c>
    </row>
    <row r="17" s="31">
      <c r="A17" s="12" t="inlineStr">
        <is>
          <t>UC-014</t>
        </is>
      </c>
      <c r="B17" s="13" t="inlineStr">
        <is>
          <t>Update learner profile</t>
        </is>
      </c>
      <c r="C17" s="13" t="inlineStr">
        <is>
          <t>Learner</t>
        </is>
      </c>
      <c r="D17" s="13" t="inlineStr">
        <is>
          <t>—</t>
        </is>
      </c>
      <c r="E17" s="13" t="inlineStr">
        <is>
          <t>The learner is signed in.</t>
        </is>
      </c>
      <c r="F17" s="13" t="inlineStr">
        <is>
          <t>The learner profile is updated within its value ranges.</t>
        </is>
      </c>
      <c r="G17" s="13" t="inlineStr">
        <is>
          <t>FT-06</t>
        </is>
      </c>
      <c r="H17" s="13" t="inlineStr">
        <is>
          <t>SC-01</t>
        </is>
      </c>
      <c r="I17" s="13" t="inlineStr">
        <is>
          <t>High</t>
        </is>
      </c>
      <c r="J17" s="13" t="inlineStr">
        <is>
          <t>Specified</t>
        </is>
      </c>
      <c r="K17" s="13" t="inlineStr">
        <is>
          <t>Group: Account. Diagram UC: Manage profile and learning goal.</t>
        </is>
      </c>
    </row>
    <row r="18" s="31">
      <c r="A18" s="10" t="inlineStr">
        <is>
          <t>UC-015</t>
        </is>
      </c>
      <c r="B18" s="11" t="inlineStr">
        <is>
          <t>View active learning goal</t>
        </is>
      </c>
      <c r="C18" s="11" t="inlineStr">
        <is>
          <t>Learner</t>
        </is>
      </c>
      <c r="D18" s="11" t="inlineStr">
        <is>
          <t>—</t>
        </is>
      </c>
      <c r="E18" s="11" t="inlineStr">
        <is>
          <t>The learner is signed in.</t>
        </is>
      </c>
      <c r="F18" s="11" t="inlineStr">
        <is>
          <t>The learner sees the ACTIVE goal, if any.</t>
        </is>
      </c>
      <c r="G18" s="11" t="inlineStr">
        <is>
          <t>FT-09</t>
        </is>
      </c>
      <c r="H18" s="11" t="inlineStr">
        <is>
          <t>SC-01</t>
        </is>
      </c>
      <c r="I18" s="11" t="inlineStr">
        <is>
          <t>High</t>
        </is>
      </c>
      <c r="J18" s="11" t="inlineStr">
        <is>
          <t>Specified</t>
        </is>
      </c>
      <c r="K18" s="11" t="inlineStr">
        <is>
          <t>Group: Account. Diagram UC: Manage profile and learning goal.</t>
        </is>
      </c>
    </row>
    <row r="19" s="31">
      <c r="A19" s="12" t="inlineStr">
        <is>
          <t>UC-016</t>
        </is>
      </c>
      <c r="B19" s="13" t="inlineStr">
        <is>
          <t>View learning goal history</t>
        </is>
      </c>
      <c r="C19" s="13" t="inlineStr">
        <is>
          <t>Learner</t>
        </is>
      </c>
      <c r="D19" s="13" t="inlineStr">
        <is>
          <t>—</t>
        </is>
      </c>
      <c r="E19" s="13" t="inlineStr">
        <is>
          <t>The learner is signed in.</t>
        </is>
      </c>
      <c r="F19" s="13" t="inlineStr">
        <is>
          <t>The learner sees every goal with its status.</t>
        </is>
      </c>
      <c r="G19" s="13" t="inlineStr">
        <is>
          <t>FT-09</t>
        </is>
      </c>
      <c r="H19" s="13" t="inlineStr">
        <is>
          <t>SC-01</t>
        </is>
      </c>
      <c r="I19" s="13" t="inlineStr">
        <is>
          <t>High</t>
        </is>
      </c>
      <c r="J19" s="13" t="inlineStr">
        <is>
          <t>Specified</t>
        </is>
      </c>
      <c r="K19" s="13" t="inlineStr">
        <is>
          <t>Group: Account. Diagram UC: Manage profile and learning goal.</t>
        </is>
      </c>
    </row>
    <row r="20" s="31">
      <c r="A20" s="10" t="inlineStr">
        <is>
          <t>UC-017</t>
        </is>
      </c>
      <c r="B20" s="11" t="inlineStr">
        <is>
          <t>Set learning goal</t>
        </is>
      </c>
      <c r="C20" s="11" t="inlineStr">
        <is>
          <t>Learner</t>
        </is>
      </c>
      <c r="D20" s="11" t="inlineStr">
        <is>
          <t>—</t>
        </is>
      </c>
      <c r="E20" s="11" t="inlineStr">
        <is>
          <t>The learner is signed in.</t>
        </is>
      </c>
      <c r="F20" s="11" t="inlineStr">
        <is>
          <t>The learner has exactly one ACTIVE goal (band 1.0–9.0, future exam date, at least 5 minutes per day).</t>
        </is>
      </c>
      <c r="G20" s="11" t="inlineStr">
        <is>
          <t>FT-09</t>
        </is>
      </c>
      <c r="H20" s="11" t="inlineStr">
        <is>
          <t>SC-01</t>
        </is>
      </c>
      <c r="I20" s="11" t="inlineStr">
        <is>
          <t>High</t>
        </is>
      </c>
      <c r="J20" s="11" t="inlineStr">
        <is>
          <t>Specified</t>
        </is>
      </c>
      <c r="K20" s="11" t="inlineStr">
        <is>
          <t>Group: Account. Diagram UC: Manage profile and learning goal. Updating the ACTIVE goal in place: Draft.</t>
        </is>
      </c>
    </row>
    <row r="21" s="31">
      <c r="A21" s="12" t="inlineStr">
        <is>
          <t>UC-018</t>
        </is>
      </c>
      <c r="B21" s="13" t="inlineStr">
        <is>
          <t>Change learning goal status</t>
        </is>
      </c>
      <c r="C21" s="13" t="inlineStr">
        <is>
          <t>Learner</t>
        </is>
      </c>
      <c r="D21" s="13" t="inlineStr">
        <is>
          <t>—</t>
        </is>
      </c>
      <c r="E21" s="13" t="inlineStr">
        <is>
          <t>The goal belongs to the learner.</t>
        </is>
      </c>
      <c r="F21" s="13" t="inlineStr">
        <is>
          <t>The goal moves to an allowed status; at most one goal stays ACTIVE.</t>
        </is>
      </c>
      <c r="G21" s="13" t="inlineStr">
        <is>
          <t>FT-09</t>
        </is>
      </c>
      <c r="H21" s="13" t="inlineStr">
        <is>
          <t>SC-01</t>
        </is>
      </c>
      <c r="I21" s="13" t="inlineStr">
        <is>
          <t>High</t>
        </is>
      </c>
      <c r="J21" s="13" t="inlineStr">
        <is>
          <t>Specified</t>
        </is>
      </c>
      <c r="K21" s="13" t="inlineStr">
        <is>
          <t>Group: Account. Diagram UC: Manage profile and learning goal.</t>
        </is>
      </c>
    </row>
    <row r="22" s="31">
      <c r="A22" s="10" t="inlineStr">
        <is>
          <t>UC-019</t>
        </is>
      </c>
      <c r="B22" s="11" t="inlineStr">
        <is>
          <t>View user list</t>
        </is>
      </c>
      <c r="C22" s="11" t="inlineStr">
        <is>
          <t>Administrator</t>
        </is>
      </c>
      <c r="D22" s="11" t="inlineStr">
        <is>
          <t>—</t>
        </is>
      </c>
      <c r="E22" s="11" t="inlineStr">
        <is>
          <t>The Administrator is signed in with role ADMIN.</t>
        </is>
      </c>
      <c r="F22" s="11" t="inlineStr">
        <is>
          <t>The Administrator sees one page of users with their roles and status.</t>
        </is>
      </c>
      <c r="G22" s="11" t="inlineStr">
        <is>
          <t>FT-08</t>
        </is>
      </c>
      <c r="H22" s="11" t="inlineStr">
        <is>
          <t>—</t>
        </is>
      </c>
      <c r="I22" s="11" t="inlineStr">
        <is>
          <t>Medium</t>
        </is>
      </c>
      <c r="J22" s="11" t="inlineStr">
        <is>
          <t>Specified</t>
        </is>
      </c>
      <c r="K22" s="11" t="inlineStr">
        <is>
          <t>Group: Account. Diagram UC: Manage users and roles.</t>
        </is>
      </c>
    </row>
    <row r="23" s="31">
      <c r="A23" s="12" t="inlineStr">
        <is>
          <t>UC-020</t>
        </is>
      </c>
      <c r="B23" s="13" t="inlineStr">
        <is>
          <t>View user detail</t>
        </is>
      </c>
      <c r="C23" s="13" t="inlineStr">
        <is>
          <t>Administrator</t>
        </is>
      </c>
      <c r="D23" s="13" t="inlineStr">
        <is>
          <t>—</t>
        </is>
      </c>
      <c r="E23" s="13" t="inlineStr">
        <is>
          <t>The Administrator is signed in with role ADMIN.</t>
        </is>
      </c>
      <c r="F23" s="13" t="inlineStr">
        <is>
          <t>The Administrator sees one user's account.</t>
        </is>
      </c>
      <c r="G23" s="13" t="inlineStr">
        <is>
          <t>FT-08</t>
        </is>
      </c>
      <c r="H23" s="13" t="inlineStr">
        <is>
          <t>—</t>
        </is>
      </c>
      <c r="I23" s="13" t="inlineStr">
        <is>
          <t>Medium</t>
        </is>
      </c>
      <c r="J23" s="13" t="inlineStr">
        <is>
          <t>Specified</t>
        </is>
      </c>
      <c r="K23" s="13" t="inlineStr">
        <is>
          <t>Group: Account. Diagram UC: Manage users and roles.</t>
        </is>
      </c>
    </row>
    <row r="24" s="31">
      <c r="A24" s="10" t="inlineStr">
        <is>
          <t>UC-021</t>
        </is>
      </c>
      <c r="B24" s="11" t="inlineStr">
        <is>
          <t>Create user</t>
        </is>
      </c>
      <c r="C24" s="11" t="inlineStr">
        <is>
          <t>Administrator</t>
        </is>
      </c>
      <c r="D24" s="11" t="inlineStr">
        <is>
          <t>—</t>
        </is>
      </c>
      <c r="E24" s="11" t="inlineStr">
        <is>
          <t>The Administrator is signed in with role ADMIN.</t>
        </is>
      </c>
      <c r="F24" s="11" t="inlineStr">
        <is>
          <t>A user is created with a non-empty set of canonical roles.</t>
        </is>
      </c>
      <c r="G24" s="11" t="inlineStr">
        <is>
          <t>FT-08</t>
        </is>
      </c>
      <c r="H24" s="11" t="inlineStr">
        <is>
          <t>—</t>
        </is>
      </c>
      <c r="I24" s="11" t="inlineStr">
        <is>
          <t>Medium</t>
        </is>
      </c>
      <c r="J24" s="11" t="inlineStr">
        <is>
          <t>Specified</t>
        </is>
      </c>
      <c r="K24" s="11" t="inlineStr">
        <is>
          <t>Group: Account. Diagram UC: Manage users and roles.</t>
        </is>
      </c>
    </row>
    <row r="25" s="31">
      <c r="A25" s="12" t="inlineStr">
        <is>
          <t>UC-022</t>
        </is>
      </c>
      <c r="B25" s="13" t="inlineStr">
        <is>
          <t>Update user</t>
        </is>
      </c>
      <c r="C25" s="13" t="inlineStr">
        <is>
          <t>Administrator</t>
        </is>
      </c>
      <c r="D25" s="13" t="inlineStr">
        <is>
          <t>—</t>
        </is>
      </c>
      <c r="E25" s="13" t="inlineStr">
        <is>
          <t>The Administrator is signed in with role ADMIN.</t>
        </is>
      </c>
      <c r="F25" s="13" t="inlineStr">
        <is>
          <t>The user's account details are updated.</t>
        </is>
      </c>
      <c r="G25" s="13" t="inlineStr">
        <is>
          <t>FT-08</t>
        </is>
      </c>
      <c r="H25" s="13" t="inlineStr">
        <is>
          <t>—</t>
        </is>
      </c>
      <c r="I25" s="13" t="inlineStr">
        <is>
          <t>Medium</t>
        </is>
      </c>
      <c r="J25" s="13" t="inlineStr">
        <is>
          <t>Specified</t>
        </is>
      </c>
      <c r="K25" s="13" t="inlineStr">
        <is>
          <t>Group: Account. Diagram UC: Manage users and roles.</t>
        </is>
      </c>
    </row>
    <row r="26" s="31">
      <c r="A26" s="10" t="inlineStr">
        <is>
          <t>UC-023</t>
        </is>
      </c>
      <c r="B26" s="11" t="inlineStr">
        <is>
          <t>Assign roles to user</t>
        </is>
      </c>
      <c r="C26" s="11" t="inlineStr">
        <is>
          <t>Administrator</t>
        </is>
      </c>
      <c r="D26" s="11" t="inlineStr">
        <is>
          <t>—</t>
        </is>
      </c>
      <c r="E26" s="11" t="inlineStr">
        <is>
          <t>The Administrator is signed in with role ADMIN.</t>
        </is>
      </c>
      <c r="F26" s="11" t="inlineStr">
        <is>
          <t>The user holds a non-empty set of roles from the five canonical roles.</t>
        </is>
      </c>
      <c r="G26" s="11" t="inlineStr">
        <is>
          <t>FT-07, FT-08</t>
        </is>
      </c>
      <c r="H26" s="11" t="inlineStr">
        <is>
          <t>—</t>
        </is>
      </c>
      <c r="I26" s="11" t="inlineStr">
        <is>
          <t>Medium</t>
        </is>
      </c>
      <c r="J26" s="11" t="inlineStr">
        <is>
          <t>Specified</t>
        </is>
      </c>
      <c r="K26" s="11" t="inlineStr">
        <is>
          <t>Group: Account. Diagram UC: Manage users and roles.</t>
        </is>
      </c>
    </row>
    <row r="27" s="31">
      <c r="A27" s="12" t="inlineStr">
        <is>
          <t>UC-024</t>
        </is>
      </c>
      <c r="B27" s="13" t="inlineStr">
        <is>
          <t>Change user status</t>
        </is>
      </c>
      <c r="C27" s="13" t="inlineStr">
        <is>
          <t>Administrator</t>
        </is>
      </c>
      <c r="D27" s="13" t="inlineStr">
        <is>
          <t>—</t>
        </is>
      </c>
      <c r="E27" s="13" t="inlineStr">
        <is>
          <t>The Administrator is signed in with role ADMIN.</t>
        </is>
      </c>
      <c r="F27" s="13" t="inlineStr">
        <is>
          <t>The user is ACTIVE or locked; a locked user cannot sign in.</t>
        </is>
      </c>
      <c r="G27" s="13" t="inlineStr">
        <is>
          <t>FT-08</t>
        </is>
      </c>
      <c r="H27" s="13" t="inlineStr">
        <is>
          <t>—</t>
        </is>
      </c>
      <c r="I27" s="13" t="inlineStr">
        <is>
          <t>Medium</t>
        </is>
      </c>
      <c r="J27" s="13" t="inlineStr">
        <is>
          <t>Specified</t>
        </is>
      </c>
      <c r="K27" s="13" t="inlineStr">
        <is>
          <t>Group: Account. Diagram UC: Manage users and roles.</t>
        </is>
      </c>
    </row>
    <row r="28" s="31">
      <c r="A28" s="10" t="inlineStr">
        <is>
          <t>UC-025</t>
        </is>
      </c>
      <c r="B28" s="11" t="inlineStr">
        <is>
          <t>Delete user</t>
        </is>
      </c>
      <c r="C28" s="11" t="inlineStr">
        <is>
          <t>Administrator</t>
        </is>
      </c>
      <c r="D28" s="11" t="inlineStr">
        <is>
          <t>—</t>
        </is>
      </c>
      <c r="E28" s="11" t="inlineStr">
        <is>
          <t>The Administrator is signed in with role ADMIN.</t>
        </is>
      </c>
      <c r="F28" s="11" t="inlineStr">
        <is>
          <t>The user is deleted.</t>
        </is>
      </c>
      <c r="G28" s="11" t="inlineStr">
        <is>
          <t>FT-08</t>
        </is>
      </c>
      <c r="H28" s="11" t="inlineStr">
        <is>
          <t>—</t>
        </is>
      </c>
      <c r="I28" s="11" t="inlineStr">
        <is>
          <t>Medium</t>
        </is>
      </c>
      <c r="J28" s="11" t="inlineStr">
        <is>
          <t>Specified</t>
        </is>
      </c>
      <c r="K28" s="11" t="inlineStr">
        <is>
          <t>Group: Account. Diagram UC: Manage users and roles.</t>
        </is>
      </c>
    </row>
    <row r="29" s="31">
      <c r="A29" s="12" t="inlineStr">
        <is>
          <t>UC-026</t>
        </is>
      </c>
      <c r="B29" s="13" t="inlineStr">
        <is>
          <t>View a user's learner profile</t>
        </is>
      </c>
      <c r="C29" s="13" t="inlineStr">
        <is>
          <t>Administrator</t>
        </is>
      </c>
      <c r="D29" s="13" t="inlineStr">
        <is>
          <t>—</t>
        </is>
      </c>
      <c r="E29" s="13" t="inlineStr">
        <is>
          <t>The Administrator is signed in with role ADMIN.</t>
        </is>
      </c>
      <c r="F29" s="13" t="inlineStr">
        <is>
          <t>The Administrator sees the user's learner profile.</t>
        </is>
      </c>
      <c r="G29" s="13" t="inlineStr">
        <is>
          <t>FT-06, FT-08</t>
        </is>
      </c>
      <c r="H29" s="13" t="inlineStr">
        <is>
          <t>—</t>
        </is>
      </c>
      <c r="I29" s="13" t="inlineStr">
        <is>
          <t>Medium</t>
        </is>
      </c>
      <c r="J29" s="13" t="inlineStr">
        <is>
          <t>Specified</t>
        </is>
      </c>
      <c r="K29" s="13" t="inlineStr">
        <is>
          <t>Group: Account. Diagram UC: Manage users and roles.</t>
        </is>
      </c>
    </row>
    <row r="30" s="31">
      <c r="A30" s="10" t="inlineStr">
        <is>
          <t>UC-027</t>
        </is>
      </c>
      <c r="B30" s="11" t="inlineStr">
        <is>
          <t>Update a user's learner profile</t>
        </is>
      </c>
      <c r="C30" s="11" t="inlineStr">
        <is>
          <t>Administrator</t>
        </is>
      </c>
      <c r="D30" s="11" t="inlineStr">
        <is>
          <t>—</t>
        </is>
      </c>
      <c r="E30" s="11" t="inlineStr">
        <is>
          <t>The Administrator is signed in with role ADMIN.</t>
        </is>
      </c>
      <c r="F30" s="11" t="inlineStr">
        <is>
          <t>The user's learner profile is updated.</t>
        </is>
      </c>
      <c r="G30" s="11" t="inlineStr">
        <is>
          <t>FT-06, FT-08</t>
        </is>
      </c>
      <c r="H30" s="11" t="inlineStr">
        <is>
          <t>—</t>
        </is>
      </c>
      <c r="I30" s="11" t="inlineStr">
        <is>
          <t>Medium</t>
        </is>
      </c>
      <c r="J30" s="11" t="inlineStr">
        <is>
          <t>Specified</t>
        </is>
      </c>
      <c r="K30" s="11" t="inlineStr">
        <is>
          <t>Group: Account. Diagram UC: Manage users and roles.</t>
        </is>
      </c>
    </row>
    <row r="31" s="31">
      <c r="A31" s="12" t="inlineStr">
        <is>
          <t>UC-028</t>
        </is>
      </c>
      <c r="B31" s="13" t="inlineStr">
        <is>
          <t>Delete a user's learner profile</t>
        </is>
      </c>
      <c r="C31" s="13" t="inlineStr">
        <is>
          <t>Administrator</t>
        </is>
      </c>
      <c r="D31" s="13" t="inlineStr">
        <is>
          <t>—</t>
        </is>
      </c>
      <c r="E31" s="13" t="inlineStr">
        <is>
          <t>The Administrator is signed in with role ADMIN.</t>
        </is>
      </c>
      <c r="F31" s="13" t="inlineStr">
        <is>
          <t>The user's learner profile is removed.</t>
        </is>
      </c>
      <c r="G31" s="13" t="inlineStr">
        <is>
          <t>FT-06, FT-08</t>
        </is>
      </c>
      <c r="H31" s="13" t="inlineStr">
        <is>
          <t>—</t>
        </is>
      </c>
      <c r="I31" s="13" t="inlineStr">
        <is>
          <t>Medium</t>
        </is>
      </c>
      <c r="J31" s="13" t="inlineStr">
        <is>
          <t>Specified</t>
        </is>
      </c>
      <c r="K31" s="13" t="inlineStr">
        <is>
          <t>Group: Account. Diagram UC: Manage users and roles.</t>
        </is>
      </c>
    </row>
    <row r="32" s="31">
      <c r="A32" s="10" t="inlineStr">
        <is>
          <t>UC-029</t>
        </is>
      </c>
      <c r="B32" s="11" t="inlineStr">
        <is>
          <t>View a user's learning goals</t>
        </is>
      </c>
      <c r="C32" s="11" t="inlineStr">
        <is>
          <t>Administrator</t>
        </is>
      </c>
      <c r="D32" s="11" t="inlineStr">
        <is>
          <t>—</t>
        </is>
      </c>
      <c r="E32" s="11" t="inlineStr">
        <is>
          <t>The Administrator is signed in with role ADMIN.</t>
        </is>
      </c>
      <c r="F32" s="11" t="inlineStr">
        <is>
          <t>The Administrator sees the user's goals.</t>
        </is>
      </c>
      <c r="G32" s="11" t="inlineStr">
        <is>
          <t>FT-08, FT-09</t>
        </is>
      </c>
      <c r="H32" s="11" t="inlineStr">
        <is>
          <t>—</t>
        </is>
      </c>
      <c r="I32" s="11" t="inlineStr">
        <is>
          <t>Medium</t>
        </is>
      </c>
      <c r="J32" s="11" t="inlineStr">
        <is>
          <t>Specified</t>
        </is>
      </c>
      <c r="K32" s="11" t="inlineStr">
        <is>
          <t>Group: Account. Diagram UC: Manage users and roles.</t>
        </is>
      </c>
    </row>
    <row r="33" s="31">
      <c r="A33" s="12" t="inlineStr">
        <is>
          <t>UC-030</t>
        </is>
      </c>
      <c r="B33" s="13" t="inlineStr">
        <is>
          <t>Change a user's learning goal status</t>
        </is>
      </c>
      <c r="C33" s="13" t="inlineStr">
        <is>
          <t>Administrator</t>
        </is>
      </c>
      <c r="D33" s="13" t="inlineStr">
        <is>
          <t>—</t>
        </is>
      </c>
      <c r="E33" s="13" t="inlineStr">
        <is>
          <t>The Administrator is signed in with role ADMIN.</t>
        </is>
      </c>
      <c r="F33" s="13" t="inlineStr">
        <is>
          <t>The user's goal moves to an allowed status.</t>
        </is>
      </c>
      <c r="G33" s="13" t="inlineStr">
        <is>
          <t>FT-08, FT-09</t>
        </is>
      </c>
      <c r="H33" s="13" t="inlineStr">
        <is>
          <t>—</t>
        </is>
      </c>
      <c r="I33" s="13" t="inlineStr">
        <is>
          <t>Medium</t>
        </is>
      </c>
      <c r="J33" s="13" t="inlineStr">
        <is>
          <t>Specified</t>
        </is>
      </c>
      <c r="K33" s="13" t="inlineStr">
        <is>
          <t>Group: Account. Diagram UC: Manage users and roles.</t>
        </is>
      </c>
    </row>
    <row r="34" s="31">
      <c r="A34" s="10" t="inlineStr">
        <is>
          <t>UC-031</t>
        </is>
      </c>
      <c r="B34" s="11" t="inlineStr">
        <is>
          <t>View a user's OAuth identities</t>
        </is>
      </c>
      <c r="C34" s="11" t="inlineStr">
        <is>
          <t>Administrator</t>
        </is>
      </c>
      <c r="D34" s="11" t="inlineStr">
        <is>
          <t>—</t>
        </is>
      </c>
      <c r="E34" s="11" t="inlineStr">
        <is>
          <t>The Administrator is signed in with role ADMIN.</t>
        </is>
      </c>
      <c r="F34" s="11" t="inlineStr">
        <is>
          <t>The Administrator sees the user's linked providers.</t>
        </is>
      </c>
      <c r="G34" s="11" t="inlineStr">
        <is>
          <t>FT-05, FT-08</t>
        </is>
      </c>
      <c r="H34" s="11" t="inlineStr">
        <is>
          <t>—</t>
        </is>
      </c>
      <c r="I34" s="11" t="inlineStr">
        <is>
          <t>Medium</t>
        </is>
      </c>
      <c r="J34" s="11" t="inlineStr">
        <is>
          <t>Specified</t>
        </is>
      </c>
      <c r="K34" s="11" t="inlineStr">
        <is>
          <t>Group: Account. Diagram UC: Manage users and roles.</t>
        </is>
      </c>
    </row>
    <row r="35" s="31">
      <c r="A35" s="12" t="inlineStr">
        <is>
          <t>UC-032</t>
        </is>
      </c>
      <c r="B35" s="13" t="inlineStr">
        <is>
          <t>Unlink a user's OAuth identity</t>
        </is>
      </c>
      <c r="C35" s="13" t="inlineStr">
        <is>
          <t>Administrator</t>
        </is>
      </c>
      <c r="D35" s="13" t="inlineStr">
        <is>
          <t>—</t>
        </is>
      </c>
      <c r="E35" s="13" t="inlineStr">
        <is>
          <t>The Administrator is signed in with role ADMIN.</t>
        </is>
      </c>
      <c r="F35" s="13" t="inlineStr">
        <is>
          <t>The provider link is removed from the user.</t>
        </is>
      </c>
      <c r="G35" s="13" t="inlineStr">
        <is>
          <t>FT-05, FT-08</t>
        </is>
      </c>
      <c r="H35" s="13" t="inlineStr">
        <is>
          <t>—</t>
        </is>
      </c>
      <c r="I35" s="13" t="inlineStr">
        <is>
          <t>Medium</t>
        </is>
      </c>
      <c r="J35" s="13" t="inlineStr">
        <is>
          <t>Specified</t>
        </is>
      </c>
      <c r="K35" s="13" t="inlineStr">
        <is>
          <t>Group: Account. Diagram UC: Manage users and roles.</t>
        </is>
      </c>
    </row>
    <row r="36" s="31">
      <c r="A36" s="10" t="inlineStr">
        <is>
          <t>UC-033</t>
        </is>
      </c>
      <c r="B36" s="11" t="inlineStr">
        <is>
          <t>View a user's action tokens</t>
        </is>
      </c>
      <c r="C36" s="11" t="inlineStr">
        <is>
          <t>Administrator</t>
        </is>
      </c>
      <c r="D36" s="11" t="inlineStr">
        <is>
          <t>—</t>
        </is>
      </c>
      <c r="E36" s="11" t="inlineStr">
        <is>
          <t>The Administrator is signed in with role ADMIN.</t>
        </is>
      </c>
      <c r="F36" s="11" t="inlineStr">
        <is>
          <t>The Administrator sees the user's reset tokens (no raw value).</t>
        </is>
      </c>
      <c r="G36" s="11" t="inlineStr">
        <is>
          <t>FT-04, FT-08</t>
        </is>
      </c>
      <c r="H36" s="11" t="inlineStr">
        <is>
          <t>—</t>
        </is>
      </c>
      <c r="I36" s="11" t="inlineStr">
        <is>
          <t>Medium</t>
        </is>
      </c>
      <c r="J36" s="11" t="inlineStr">
        <is>
          <t>Specified</t>
        </is>
      </c>
      <c r="K36" s="11" t="inlineStr">
        <is>
          <t>Group: Account. Diagram UC: Manage users and roles.</t>
        </is>
      </c>
    </row>
    <row r="37" s="31">
      <c r="A37" s="12" t="inlineStr">
        <is>
          <t>UC-034</t>
        </is>
      </c>
      <c r="B37" s="13" t="inlineStr">
        <is>
          <t>Revoke a user's action tokens</t>
        </is>
      </c>
      <c r="C37" s="13" t="inlineStr">
        <is>
          <t>Administrator</t>
        </is>
      </c>
      <c r="D37" s="13" t="inlineStr">
        <is>
          <t>—</t>
        </is>
      </c>
      <c r="E37" s="13" t="inlineStr">
        <is>
          <t>The Administrator is signed in with role ADMIN.</t>
        </is>
      </c>
      <c r="F37" s="13" t="inlineStr">
        <is>
          <t>Every open action token of the user is revoked.</t>
        </is>
      </c>
      <c r="G37" s="13" t="inlineStr">
        <is>
          <t>FT-04, FT-08</t>
        </is>
      </c>
      <c r="H37" s="13" t="inlineStr">
        <is>
          <t>—</t>
        </is>
      </c>
      <c r="I37" s="13" t="inlineStr">
        <is>
          <t>Medium</t>
        </is>
      </c>
      <c r="J37" s="13" t="inlineStr">
        <is>
          <t>Specified</t>
        </is>
      </c>
      <c r="K37" s="13" t="inlineStr">
        <is>
          <t>Group: Account. Diagram UC: Manage users and roles.</t>
        </is>
      </c>
    </row>
    <row r="38" s="31">
      <c r="A38" s="10" t="inlineStr">
        <is>
          <t>UC-035</t>
        </is>
      </c>
      <c r="B38" s="11" t="inlineStr">
        <is>
          <t>View courses</t>
        </is>
      </c>
      <c r="C38" s="11" t="inlineStr">
        <is>
          <t>Learner</t>
        </is>
      </c>
      <c r="D38" s="11" t="inlineStr">
        <is>
          <t>—</t>
        </is>
      </c>
      <c r="E38" s="11" t="inlineStr">
        <is>
          <t>The learner is signed in.</t>
        </is>
      </c>
      <c r="F38" s="11" t="inlineStr">
        <is>
          <t>The learner sees every ACTIVE course with its band level, topic counts, course test status and whether it is recommended from the latest placement band.</t>
        </is>
      </c>
      <c r="G38" s="11" t="inlineStr">
        <is>
          <t>FT-20, FT-35, FT-55</t>
        </is>
      </c>
      <c r="H38" s="11" t="inlineStr">
        <is>
          <t>SC-01, SC-02, SC-04</t>
        </is>
      </c>
      <c r="I38" s="11" t="inlineStr">
        <is>
          <t>High</t>
        </is>
      </c>
      <c r="J38" s="11" t="inlineStr">
        <is>
          <t>Specified</t>
        </is>
      </c>
      <c r="K38" s="11" t="inlineStr">
        <is>
          <t>Group: Learning. Diagram UC: View courses.</t>
        </is>
      </c>
    </row>
    <row r="39" s="31">
      <c r="A39" s="12" t="inlineStr">
        <is>
          <t>UC-036</t>
        </is>
      </c>
      <c r="B39" s="13" t="inlineStr">
        <is>
          <t>View learning path</t>
        </is>
      </c>
      <c r="C39" s="13" t="inlineStr">
        <is>
          <t>Learner</t>
        </is>
      </c>
      <c r="D39" s="13" t="inlineStr">
        <is>
          <t>—</t>
        </is>
      </c>
      <c r="E39" s="13" t="inlineStr">
        <is>
          <t>The learner is signed in.</t>
        </is>
      </c>
      <c r="F39" s="13" t="inlineStr">
        <is>
          <t>The learner sees the topics of each course in order, each PASSED, IN_PROGRESS or LOCKED, with skills and access level.</t>
        </is>
      </c>
      <c r="G39" s="13" t="inlineStr">
        <is>
          <t>FT-13, FT-20</t>
        </is>
      </c>
      <c r="H39" s="13" t="inlineStr">
        <is>
          <t>SC-01, SC-02</t>
        </is>
      </c>
      <c r="I39" s="13" t="inlineStr">
        <is>
          <t>High</t>
        </is>
      </c>
      <c r="J39" s="13" t="inlineStr">
        <is>
          <t>Specified</t>
        </is>
      </c>
      <c r="K39" s="13" t="inlineStr">
        <is>
          <t>Group: Learning. Diagram UC: View learning path.</t>
        </is>
      </c>
    </row>
    <row r="40" s="31">
      <c r="A40" s="10" t="inlineStr">
        <is>
          <t>UC-037</t>
        </is>
      </c>
      <c r="B40" s="11" t="inlineStr">
        <is>
          <t>View topic lessons</t>
        </is>
      </c>
      <c r="C40" s="11" t="inlineStr">
        <is>
          <t>Learner</t>
        </is>
      </c>
      <c r="D40" s="11" t="inlineStr">
        <is>
          <t>—</t>
        </is>
      </c>
      <c r="E40" s="11" t="inlineStr">
        <is>
          <t>The topic is not LOCKED.</t>
        </is>
      </c>
      <c r="F40" s="11" t="inlineStr">
        <is>
          <t>The learner sees the topic's lessons in order with their status, skills and practice status, and the topic test status.</t>
        </is>
      </c>
      <c r="G40" s="11" t="inlineStr">
        <is>
          <t>FT-20, FT-21, FT-27, FT-29</t>
        </is>
      </c>
      <c r="H40" s="11" t="inlineStr">
        <is>
          <t>SC-01, SC-02, SC-03, SC-04</t>
        </is>
      </c>
      <c r="I40" s="11" t="inlineStr">
        <is>
          <t>High</t>
        </is>
      </c>
      <c r="J40" s="11" t="inlineStr">
        <is>
          <t>Specified</t>
        </is>
      </c>
      <c r="K40" s="11" t="inlineStr">
        <is>
          <t>Group: Learning. Diagram UC: View learning path. A lesson is AVAILABLE only when the earlier lessons are completed and have cleared practice: Draft.</t>
        </is>
      </c>
    </row>
    <row r="41" s="31">
      <c r="A41" s="12" t="inlineStr">
        <is>
          <t>UC-038</t>
        </is>
      </c>
      <c r="B41" s="13" t="inlineStr">
        <is>
          <t>Open lesson</t>
        </is>
      </c>
      <c r="C41" s="13" t="inlineStr">
        <is>
          <t>Learner</t>
        </is>
      </c>
      <c r="D41" s="13" t="inlineStr">
        <is>
          <t>—</t>
        </is>
      </c>
      <c r="E41" s="13" t="inlineStr">
        <is>
          <t>The topic is not LOCKED; every earlier lesson is completed and has cleared practice; no review blocks the lesson.</t>
        </is>
      </c>
      <c r="F41" s="13" t="inlineStr">
        <is>
          <t>The lesson's blocks are returned in order without answer specifications; the Listening transcript only after completion.</t>
        </is>
      </c>
      <c r="G41" s="13" t="inlineStr">
        <is>
          <t>FT-13, FT-21, FT-24</t>
        </is>
      </c>
      <c r="H41" s="13" t="inlineStr">
        <is>
          <t>SC-02, SC-04</t>
        </is>
      </c>
      <c r="I41" s="13" t="inlineStr">
        <is>
          <t>High</t>
        </is>
      </c>
      <c r="J41" s="13" t="inlineStr">
        <is>
          <t>Specified</t>
        </is>
      </c>
      <c r="K41" s="13" t="inlineStr">
        <is>
          <t>Group: Learning. Diagram UC: Study lesson. Practice gate on earlier lessons: Draft.</t>
        </is>
      </c>
    </row>
    <row r="42" s="31">
      <c r="A42" s="10" t="inlineStr">
        <is>
          <t>UC-039</t>
        </is>
      </c>
      <c r="B42" s="11" t="inlineStr">
        <is>
          <t>Submit exercise block</t>
        </is>
      </c>
      <c r="C42" s="11" t="inlineStr">
        <is>
          <t>Learner</t>
        </is>
      </c>
      <c r="D42" s="11" t="inlineStr">
        <is>
          <t>—</t>
        </is>
      </c>
      <c r="E42" s="11" t="inlineStr">
        <is>
          <t>The lesson is open to the learner.</t>
        </is>
      </c>
      <c r="F42" s="11" t="inlineStr">
        <is>
          <t>The block is graded at a 70% pass mark; hints show for wrong answers until it passes; evidence comes only from the first submission.</t>
        </is>
      </c>
      <c r="G42" s="11" t="inlineStr">
        <is>
          <t>FT-21, FT-22, FT-23, FT-26</t>
        </is>
      </c>
      <c r="H42" s="11" t="inlineStr">
        <is>
          <t>SC-02, SC-03, SC-04</t>
        </is>
      </c>
      <c r="I42" s="11" t="inlineStr">
        <is>
          <t>High</t>
        </is>
      </c>
      <c r="J42" s="11" t="inlineStr">
        <is>
          <t>Specified</t>
        </is>
      </c>
      <c r="K42" s="11" t="inlineStr">
        <is>
          <t>Group: Learning. Diagram UC: Study lesson.</t>
        </is>
      </c>
    </row>
    <row r="43" s="31">
      <c r="A43" s="12" t="inlineStr">
        <is>
          <t>UC-040</t>
        </is>
      </c>
      <c r="B43" s="13" t="inlineStr">
        <is>
          <t>Complete lesson without exercises</t>
        </is>
      </c>
      <c r="C43" s="13" t="inlineStr">
        <is>
          <t>Learner</t>
        </is>
      </c>
      <c r="D43" s="13" t="inlineStr">
        <is>
          <t>—</t>
        </is>
      </c>
      <c r="E43" s="13" t="inlineStr">
        <is>
          <t>The lesson is open and has no exercise block.</t>
        </is>
      </c>
      <c r="F43" s="13" t="inlineStr">
        <is>
          <t>The lesson is completed and its practice sets open.</t>
        </is>
      </c>
      <c r="G43" s="13" t="inlineStr">
        <is>
          <t>FT-21</t>
        </is>
      </c>
      <c r="H43" s="13" t="inlineStr">
        <is>
          <t>SC-02</t>
        </is>
      </c>
      <c r="I43" s="13" t="inlineStr">
        <is>
          <t>High</t>
        </is>
      </c>
      <c r="J43" s="13" t="inlineStr">
        <is>
          <t>Specified</t>
        </is>
      </c>
      <c r="K43" s="13" t="inlineStr">
        <is>
          <t>Group: Learning. Diagram UC: Study lesson.</t>
        </is>
      </c>
    </row>
    <row r="44" s="31">
      <c r="A44" s="10" t="inlineStr">
        <is>
          <t>UC-041</t>
        </is>
      </c>
      <c r="B44" s="11" t="inlineStr">
        <is>
          <t>Submit lesson essay</t>
        </is>
      </c>
      <c r="C44" s="11" t="inlineStr">
        <is>
          <t>Learner</t>
        </is>
      </c>
      <c r="D44" s="11" t="inlineStr">
        <is>
          <t>LLM Provider</t>
        </is>
      </c>
      <c r="E44" s="11" t="inlineStr">
        <is>
          <t>The lesson is open; balance at least 3 points; fewer than 10 gradings today; essay of 50–1,000 words.</t>
        </is>
      </c>
      <c r="F44" s="11" t="inlineStr">
        <is>
          <t>The essay is GRADED with four criterion bands, an overall band and feedback; 3 points are debited once.</t>
        </is>
      </c>
      <c r="G44" s="11" t="inlineStr">
        <is>
          <t>FT-25, FT-12</t>
        </is>
      </c>
      <c r="H44" s="11" t="inlineStr">
        <is>
          <t>—</t>
        </is>
      </c>
      <c r="I44" s="11" t="inlineStr">
        <is>
          <t>Medium</t>
        </is>
      </c>
      <c r="J44" s="11" t="inlineStr">
        <is>
          <t>Specified</t>
        </is>
      </c>
      <c r="K44" s="11" t="inlineStr">
        <is>
          <t>Group: Learning. Diagram UC: Submit Writing task. «include» Grade essay.</t>
        </is>
      </c>
    </row>
    <row r="45" s="31">
      <c r="A45" s="12" t="inlineStr">
        <is>
          <t>UC-042</t>
        </is>
      </c>
      <c r="B45" s="13" t="inlineStr">
        <is>
          <t>View Writing submission</t>
        </is>
      </c>
      <c r="C45" s="13" t="inlineStr">
        <is>
          <t>Learner</t>
        </is>
      </c>
      <c r="D45" s="13" t="inlineStr">
        <is>
          <t>—</t>
        </is>
      </c>
      <c r="E45" s="13" t="inlineStr">
        <is>
          <t>The submission belongs to the learner.</t>
        </is>
      </c>
      <c r="F45" s="13" t="inlineStr">
        <is>
          <t>The learner sees the status, bands and feedback of their essay.</t>
        </is>
      </c>
      <c r="G45" s="13" t="inlineStr">
        <is>
          <t>FT-25</t>
        </is>
      </c>
      <c r="H45" s="13" t="inlineStr">
        <is>
          <t>—</t>
        </is>
      </c>
      <c r="I45" s="13" t="inlineStr">
        <is>
          <t>Medium</t>
        </is>
      </c>
      <c r="J45" s="13" t="inlineStr">
        <is>
          <t>Specified</t>
        </is>
      </c>
      <c r="K45" s="13" t="inlineStr">
        <is>
          <t>Group: Learning. Diagram UC: Submit Writing task.</t>
        </is>
      </c>
    </row>
    <row r="46" s="31">
      <c r="A46" s="10" t="inlineStr">
        <is>
          <t>UC-043</t>
        </is>
      </c>
      <c r="B46" s="11" t="inlineStr">
        <is>
          <t>Grade essay</t>
        </is>
      </c>
      <c r="C46" s="11" t="inlineStr">
        <is>
          <t>System (via Submit lesson essay, Submit practice essay, Submit test essay)</t>
        </is>
      </c>
      <c r="D46" s="11" t="inlineStr">
        <is>
          <t>LLM Provider</t>
        </is>
      </c>
      <c r="E46" s="11" t="inlineStr">
        <is>
          <t>An essay and its task prompt are ready; the LLM Provider is configured.</t>
        </is>
      </c>
      <c r="F46" s="11" t="inlineStr">
        <is>
          <t>Four criterion bands and feedback are returned (20 s per call, one retry on a malformed reply); no points are charged on failure.</t>
        </is>
      </c>
      <c r="G46" s="11" t="inlineStr">
        <is>
          <t>FT-25, FT-33</t>
        </is>
      </c>
      <c r="H46" s="11" t="inlineStr">
        <is>
          <t>SC-04</t>
        </is>
      </c>
      <c r="I46" s="11" t="inlineStr">
        <is>
          <t>High</t>
        </is>
      </c>
      <c r="J46" s="11" t="inlineStr">
        <is>
          <t>Specified</t>
        </is>
      </c>
      <c r="K46" s="11" t="inlineStr">
        <is>
          <t>Group: Learning. Diagram UC: Grade essay.</t>
        </is>
      </c>
    </row>
    <row r="47" s="31">
      <c r="A47" s="12" t="inlineStr">
        <is>
          <t>UC-044</t>
        </is>
      </c>
      <c r="B47" s="13" t="inlineStr">
        <is>
          <t>View lesson practice sets</t>
        </is>
      </c>
      <c r="C47" s="13" t="inlineStr">
        <is>
          <t>Learner</t>
        </is>
      </c>
      <c r="D47" s="13" t="inlineStr">
        <is>
          <t>—</t>
        </is>
      </c>
      <c r="E47" s="13" t="inlineStr">
        <is>
          <t>The lesson is completed.</t>
        </is>
      </c>
      <c r="F47" s="13" t="inlineStr">
        <is>
          <t>The learner sees the lesson's practice sets with skills, access level, attempt and clearance status and whether each was revealed.</t>
        </is>
      </c>
      <c r="G47" s="13" t="inlineStr">
        <is>
          <t>FT-27</t>
        </is>
      </c>
      <c r="H47" s="13" t="inlineStr">
        <is>
          <t>SC-03</t>
        </is>
      </c>
      <c r="I47" s="13" t="inlineStr">
        <is>
          <t>High</t>
        </is>
      </c>
      <c r="J47" s="13" t="inlineStr">
        <is>
          <t>Specified</t>
        </is>
      </c>
      <c r="K47" s="13" t="inlineStr">
        <is>
          <t>Group: Learning. Diagram UC: Do lesson practice.</t>
        </is>
      </c>
    </row>
    <row r="48" s="31">
      <c r="A48" s="10" t="inlineStr">
        <is>
          <t>UC-045</t>
        </is>
      </c>
      <c r="B48" s="11" t="inlineStr">
        <is>
          <t>Start practice attempt</t>
        </is>
      </c>
      <c r="C48" s="11" t="inlineStr">
        <is>
          <t>Learner</t>
        </is>
      </c>
      <c r="D48" s="11" t="inlineStr">
        <is>
          <t>—</t>
        </is>
      </c>
      <c r="E48" s="11" t="inlineStr">
        <is>
          <t>The lesson is completed; no review blocks a skill the lesson teaches.</t>
        </is>
      </c>
      <c r="F48" s="11" t="inlineStr">
        <is>
          <t>An open attempt exists for the set; starting again returns the open attempt.</t>
        </is>
      </c>
      <c r="G48" s="11" t="inlineStr">
        <is>
          <t>FT-27</t>
        </is>
      </c>
      <c r="H48" s="11" t="inlineStr">
        <is>
          <t>SC-03</t>
        </is>
      </c>
      <c r="I48" s="11" t="inlineStr">
        <is>
          <t>High</t>
        </is>
      </c>
      <c r="J48" s="11" t="inlineStr">
        <is>
          <t>Specified</t>
        </is>
      </c>
      <c r="K48" s="11" t="inlineStr">
        <is>
          <t>Group: Learning. Diagram UC: Do lesson practice.</t>
        </is>
      </c>
    </row>
    <row r="49" s="31">
      <c r="A49" s="12" t="inlineStr">
        <is>
          <t>UC-046</t>
        </is>
      </c>
      <c r="B49" s="13" t="inlineStr">
        <is>
          <t>View practice attempt</t>
        </is>
      </c>
      <c r="C49" s="13" t="inlineStr">
        <is>
          <t>Learner</t>
        </is>
      </c>
      <c r="D49" s="13" t="inlineStr">
        <is>
          <t>—</t>
        </is>
      </c>
      <c r="E49" s="13" t="inlineStr">
        <is>
          <t>The attempt belongs to the learner.</t>
        </is>
      </c>
      <c r="F49" s="13" t="inlineStr">
        <is>
          <t>The learner sees the attempt's questions, or its result once submitted.</t>
        </is>
      </c>
      <c r="G49" s="13" t="inlineStr">
        <is>
          <t>FT-27</t>
        </is>
      </c>
      <c r="H49" s="13" t="inlineStr">
        <is>
          <t>SC-03</t>
        </is>
      </c>
      <c r="I49" s="13" t="inlineStr">
        <is>
          <t>High</t>
        </is>
      </c>
      <c r="J49" s="13" t="inlineStr">
        <is>
          <t>Specified</t>
        </is>
      </c>
      <c r="K49" s="13" t="inlineStr">
        <is>
          <t>Group: Learning. Diagram UC: Do lesson practice.</t>
        </is>
      </c>
    </row>
    <row r="50" s="31">
      <c r="A50" s="10" t="inlineStr">
        <is>
          <t>UC-047</t>
        </is>
      </c>
      <c r="B50" s="11" t="inlineStr">
        <is>
          <t>Submit practice essay</t>
        </is>
      </c>
      <c r="C50" s="11" t="inlineStr">
        <is>
          <t>Learner</t>
        </is>
      </c>
      <c r="D50" s="11" t="inlineStr">
        <is>
          <t>LLM Provider</t>
        </is>
      </c>
      <c r="E50" s="11" t="inlineStr">
        <is>
          <t>The practice attempt is open and the question is one of its essays.</t>
        </is>
      </c>
      <c r="F50" s="11" t="inlineStr">
        <is>
          <t>The essay is graded and charged as a lesson essay.</t>
        </is>
      </c>
      <c r="G50" s="11" t="inlineStr">
        <is>
          <t>FT-25, FT-27</t>
        </is>
      </c>
      <c r="H50" s="11" t="inlineStr">
        <is>
          <t>SC-03</t>
        </is>
      </c>
      <c r="I50" s="11" t="inlineStr">
        <is>
          <t>High</t>
        </is>
      </c>
      <c r="J50" s="11" t="inlineStr">
        <is>
          <t>Specified</t>
        </is>
      </c>
      <c r="K50" s="11" t="inlineStr">
        <is>
          <t>Group: Learning. Diagram UC: Do lesson practice. «include» Grade essay. Essays never count toward practice clearance.</t>
        </is>
      </c>
    </row>
    <row r="51" s="31">
      <c r="A51" s="12" t="inlineStr">
        <is>
          <t>UC-048</t>
        </is>
      </c>
      <c r="B51" s="13" t="inlineStr">
        <is>
          <t>Submit practice attempt</t>
        </is>
      </c>
      <c r="C51" s="13" t="inlineStr">
        <is>
          <t>Learner</t>
        </is>
      </c>
      <c r="D51" s="13" t="inlineStr">
        <is>
          <t>—</t>
        </is>
      </c>
      <c r="E51" s="13" t="inlineStr">
        <is>
          <t>The attempt is open; every essay of a Writing set is graded.</t>
        </is>
      </c>
      <c r="F51" s="13" t="inlineStr">
        <is>
          <t>Each skill is scored; solutions and transcripts are returned; the set is marked revealed; a review opens for each Reading or Listening KP below 70%.</t>
        </is>
      </c>
      <c r="G51" s="13" t="inlineStr">
        <is>
          <t>FT-26, FT-27</t>
        </is>
      </c>
      <c r="H51" s="13" t="inlineStr">
        <is>
          <t>SC-02, SC-03, SC-04</t>
        </is>
      </c>
      <c r="I51" s="13" t="inlineStr">
        <is>
          <t>High</t>
        </is>
      </c>
      <c r="J51" s="13" t="inlineStr">
        <is>
          <t>Specified</t>
        </is>
      </c>
      <c r="K51" s="13" t="inlineStr">
        <is>
          <t>Group: Learning. Diagram UC: Do lesson practice. Clearance only after every review of the skill is finished: Draft.</t>
        </is>
      </c>
    </row>
    <row r="52" s="31">
      <c r="A52" s="10" t="inlineStr">
        <is>
          <t>UC-049</t>
        </is>
      </c>
      <c r="B52" s="11" t="inlineStr">
        <is>
          <t>View reviews</t>
        </is>
      </c>
      <c r="C52" s="11" t="inlineStr">
        <is>
          <t>Learner</t>
        </is>
      </c>
      <c r="D52" s="11" t="inlineStr">
        <is>
          <t>—</t>
        </is>
      </c>
      <c r="E52" s="11" t="inlineStr">
        <is>
          <t>The learner is signed in.</t>
        </is>
      </c>
      <c r="F52" s="11" t="inlineStr">
        <is>
          <t>The learner sees their reviews, oldest first, filtered by status and skill.</t>
        </is>
      </c>
      <c r="G52" s="11" t="inlineStr">
        <is>
          <t>FT-28</t>
        </is>
      </c>
      <c r="H52" s="11" t="inlineStr">
        <is>
          <t>SC-03</t>
        </is>
      </c>
      <c r="I52" s="11" t="inlineStr">
        <is>
          <t>High</t>
        </is>
      </c>
      <c r="J52" s="11" t="inlineStr">
        <is>
          <t>Specified</t>
        </is>
      </c>
      <c r="K52" s="11" t="inlineStr">
        <is>
          <t>Group: Learning. Diagram UC: Complete review.</t>
        </is>
      </c>
    </row>
    <row r="53" s="31">
      <c r="A53" s="12" t="inlineStr">
        <is>
          <t>UC-050</t>
        </is>
      </c>
      <c r="B53" s="13" t="inlineStr">
        <is>
          <t>Open review</t>
        </is>
      </c>
      <c r="C53" s="13" t="inlineStr">
        <is>
          <t>Learner</t>
        </is>
      </c>
      <c r="D53" s="13" t="inlineStr">
        <is>
          <t>—</t>
        </is>
      </c>
      <c r="E53" s="13" t="inlineStr">
        <is>
          <t>The review belongs to the learner.</t>
        </is>
      </c>
      <c r="F53" s="13" t="inlineStr">
        <is>
          <t>The learner gets the KP theory and, at PRACTICE, one unseen set with hints or, at THEORY, up to 3 quick-check questions; with no unseen set left the review is SKIPPED.</t>
        </is>
      </c>
      <c r="G53" s="13" t="inlineStr">
        <is>
          <t>FT-28</t>
        </is>
      </c>
      <c r="H53" s="13" t="inlineStr">
        <is>
          <t>SC-03</t>
        </is>
      </c>
      <c r="I53" s="13" t="inlineStr">
        <is>
          <t>High</t>
        </is>
      </c>
      <c r="J53" s="13" t="inlineStr">
        <is>
          <t>Specified</t>
        </is>
      </c>
      <c r="K53" s="13" t="inlineStr">
        <is>
          <t>Group: Learning. Diagram UC: Complete review.</t>
        </is>
      </c>
    </row>
    <row r="54" s="31">
      <c r="A54" s="10" t="inlineStr">
        <is>
          <t>UC-051</t>
        </is>
      </c>
      <c r="B54" s="11" t="inlineStr">
        <is>
          <t>Submit review set</t>
        </is>
      </c>
      <c r="C54" s="11" t="inlineStr">
        <is>
          <t>Learner</t>
        </is>
      </c>
      <c r="D54" s="11" t="inlineStr">
        <is>
          <t>—</t>
        </is>
      </c>
      <c r="E54" s="11" t="inlineStr">
        <is>
          <t>The review is PENDING at PRACTICE with an open set.</t>
        </is>
      </c>
      <c r="F54" s="11" t="inlineStr">
        <is>
          <t>A set of at least 70% makes the review DONE; the first failed set moves it to THEORY; later failed sets give a new set at once.</t>
        </is>
      </c>
      <c r="G54" s="11" t="inlineStr">
        <is>
          <t>FT-26, FT-28</t>
        </is>
      </c>
      <c r="H54" s="11" t="inlineStr">
        <is>
          <t>SC-02, SC-03, SC-04</t>
        </is>
      </c>
      <c r="I54" s="11" t="inlineStr">
        <is>
          <t>High</t>
        </is>
      </c>
      <c r="J54" s="11" t="inlineStr">
        <is>
          <t>Specified</t>
        </is>
      </c>
      <c r="K54" s="11" t="inlineStr">
        <is>
          <t>Group: Learning. Diagram UC: Complete review. Repeating sets until one passes: Draft; current release skips the review after the second failed set.</t>
        </is>
      </c>
    </row>
    <row r="55" s="31">
      <c r="A55" s="12" t="inlineStr">
        <is>
          <t>UC-052</t>
        </is>
      </c>
      <c r="B55" s="13" t="inlineStr">
        <is>
          <t>Submit quick check</t>
        </is>
      </c>
      <c r="C55" s="13" t="inlineStr">
        <is>
          <t>Learner</t>
        </is>
      </c>
      <c r="D55" s="13" t="inlineStr">
        <is>
          <t>—</t>
        </is>
      </c>
      <c r="E55" s="13" t="inlineStr">
        <is>
          <t>The review is PENDING at THEORY.</t>
        </is>
      </c>
      <c r="F55" s="13" t="inlineStr">
        <is>
          <t>The answers are shown; no evidence is recorded; the review returns to PRACTICE.</t>
        </is>
      </c>
      <c r="G55" s="13" t="inlineStr">
        <is>
          <t>FT-28</t>
        </is>
      </c>
      <c r="H55" s="13" t="inlineStr">
        <is>
          <t>SC-03</t>
        </is>
      </c>
      <c r="I55" s="13" t="inlineStr">
        <is>
          <t>High</t>
        </is>
      </c>
      <c r="J55" s="13" t="inlineStr">
        <is>
          <t>Specified</t>
        </is>
      </c>
      <c r="K55" s="13" t="inlineStr">
        <is>
          <t>Group: Learning. Diagram UC: Complete review.</t>
        </is>
      </c>
    </row>
    <row r="56" s="31">
      <c r="A56" s="10" t="inlineStr">
        <is>
          <t>UC-053</t>
        </is>
      </c>
      <c r="B56" s="11" t="inlineStr">
        <is>
          <t>View mastery</t>
        </is>
      </c>
      <c r="C56" s="11" t="inlineStr">
        <is>
          <t>Learner</t>
        </is>
      </c>
      <c r="D56" s="11" t="inlineStr">
        <is>
          <t>—</t>
        </is>
      </c>
      <c r="E56" s="11" t="inlineStr">
        <is>
          <t>The learner is signed in.</t>
        </is>
      </c>
      <c r="F56" s="11" t="inlineStr">
        <is>
          <t>The learner sees a mastery score from 0 to 1 per KP, computed on read.</t>
        </is>
      </c>
      <c r="G56" s="11" t="inlineStr">
        <is>
          <t>FT-26</t>
        </is>
      </c>
      <c r="H56" s="11" t="inlineStr">
        <is>
          <t>SC-02, SC-03, SC-04</t>
        </is>
      </c>
      <c r="I56" s="11" t="inlineStr">
        <is>
          <t>High</t>
        </is>
      </c>
      <c r="J56" s="11" t="inlineStr">
        <is>
          <t>Specified</t>
        </is>
      </c>
      <c r="K56" s="11" t="inlineStr">
        <is>
          <t>Group: Learning. Diagram UC: View mastery.</t>
        </is>
      </c>
    </row>
    <row r="57" s="31">
      <c r="A57" s="12" t="inlineStr">
        <is>
          <t>UC-054</t>
        </is>
      </c>
      <c r="B57" s="13" t="inlineStr">
        <is>
          <t>Record study activity</t>
        </is>
      </c>
      <c r="C57" s="13" t="inlineStr">
        <is>
          <t>Learner</t>
        </is>
      </c>
      <c r="D57" s="13" t="inlineStr">
        <is>
          <t>—</t>
        </is>
      </c>
      <c r="E57" s="13" t="inlineStr">
        <is>
          <t>The learner is signed in.</t>
        </is>
      </c>
      <c r="F57" s="13" t="inlineStr">
        <is>
          <t>A study activity is stored for the learner.</t>
        </is>
      </c>
      <c r="G57" s="13" t="inlineStr">
        <is>
          <t>FT-44</t>
        </is>
      </c>
      <c r="H57" s="13" t="inlineStr">
        <is>
          <t>SC-02</t>
        </is>
      </c>
      <c r="I57" s="13" t="inlineStr">
        <is>
          <t>High</t>
        </is>
      </c>
      <c r="J57" s="13" t="inlineStr">
        <is>
          <t>Specified</t>
        </is>
      </c>
      <c r="K57" s="13" t="inlineStr">
        <is>
          <t>Group: Learning. Diagram UC: View activity and streak. Automatic recording: Draft.</t>
        </is>
      </c>
    </row>
    <row r="58" s="31">
      <c r="A58" s="10" t="inlineStr">
        <is>
          <t>UC-055</t>
        </is>
      </c>
      <c r="B58" s="11" t="inlineStr">
        <is>
          <t>View study activities</t>
        </is>
      </c>
      <c r="C58" s="11" t="inlineStr">
        <is>
          <t>Learner</t>
        </is>
      </c>
      <c r="D58" s="11" t="inlineStr">
        <is>
          <t>—</t>
        </is>
      </c>
      <c r="E58" s="11" t="inlineStr">
        <is>
          <t>The learner is signed in.</t>
        </is>
      </c>
      <c r="F58" s="11" t="inlineStr">
        <is>
          <t>The learner sees one page of their activities.</t>
        </is>
      </c>
      <c r="G58" s="11" t="inlineStr">
        <is>
          <t>FT-44</t>
        </is>
      </c>
      <c r="H58" s="11" t="inlineStr">
        <is>
          <t>SC-02</t>
        </is>
      </c>
      <c r="I58" s="11" t="inlineStr">
        <is>
          <t>High</t>
        </is>
      </c>
      <c r="J58" s="11" t="inlineStr">
        <is>
          <t>Specified</t>
        </is>
      </c>
      <c r="K58" s="11" t="inlineStr">
        <is>
          <t>Group: Learning. Diagram UC: View activity and streak.</t>
        </is>
      </c>
    </row>
    <row r="59" s="31">
      <c r="A59" s="12" t="inlineStr">
        <is>
          <t>UC-056</t>
        </is>
      </c>
      <c r="B59" s="13" t="inlineStr">
        <is>
          <t>Delete study activity</t>
        </is>
      </c>
      <c r="C59" s="13" t="inlineStr">
        <is>
          <t>Learner</t>
        </is>
      </c>
      <c r="D59" s="13" t="inlineStr">
        <is>
          <t>—</t>
        </is>
      </c>
      <c r="E59" s="13" t="inlineStr">
        <is>
          <t>The activity belongs to the learner.</t>
        </is>
      </c>
      <c r="F59" s="13" t="inlineStr">
        <is>
          <t>The activity is removed.</t>
        </is>
      </c>
      <c r="G59" s="13" t="inlineStr">
        <is>
          <t>FT-44</t>
        </is>
      </c>
      <c r="H59" s="13" t="inlineStr">
        <is>
          <t>SC-02</t>
        </is>
      </c>
      <c r="I59" s="13" t="inlineStr">
        <is>
          <t>High</t>
        </is>
      </c>
      <c r="J59" s="13" t="inlineStr">
        <is>
          <t>Specified</t>
        </is>
      </c>
      <c r="K59" s="13" t="inlineStr">
        <is>
          <t>Group: Learning. Diagram UC: View activity and streak.</t>
        </is>
      </c>
    </row>
    <row r="60" s="31">
      <c r="A60" s="10" t="inlineStr">
        <is>
          <t>UC-057</t>
        </is>
      </c>
      <c r="B60" s="11" t="inlineStr">
        <is>
          <t>View study streak</t>
        </is>
      </c>
      <c r="C60" s="11" t="inlineStr">
        <is>
          <t>Learner</t>
        </is>
      </c>
      <c r="D60" s="11" t="inlineStr">
        <is>
          <t>—</t>
        </is>
      </c>
      <c r="E60" s="11" t="inlineStr">
        <is>
          <t>The learner is signed in.</t>
        </is>
      </c>
      <c r="F60" s="11" t="inlineStr">
        <is>
          <t>The learner sees their current and longest streak.</t>
        </is>
      </c>
      <c r="G60" s="11" t="inlineStr">
        <is>
          <t>FT-45</t>
        </is>
      </c>
      <c r="H60" s="11" t="inlineStr">
        <is>
          <t>SC-02</t>
        </is>
      </c>
      <c r="I60" s="11" t="inlineStr">
        <is>
          <t>High</t>
        </is>
      </c>
      <c r="J60" s="11" t="inlineStr">
        <is>
          <t>Specified</t>
        </is>
      </c>
      <c r="K60" s="11" t="inlineStr">
        <is>
          <t>Group: Learning. Diagram UC: View activity and streak.</t>
        </is>
      </c>
    </row>
    <row r="61" s="31">
      <c r="A61" s="12" t="inlineStr">
        <is>
          <t>UC-058</t>
        </is>
      </c>
      <c r="B61" s="13" t="inlineStr">
        <is>
          <t>Update study streak</t>
        </is>
      </c>
      <c r="C61" s="13" t="inlineStr">
        <is>
          <t>Learner</t>
        </is>
      </c>
      <c r="D61" s="13" t="inlineStr">
        <is>
          <t>—</t>
        </is>
      </c>
      <c r="E61" s="13" t="inlineStr">
        <is>
          <t>The learner is signed in.</t>
        </is>
      </c>
      <c r="F61" s="13" t="inlineStr">
        <is>
          <t>The streak is updated for the study day.</t>
        </is>
      </c>
      <c r="G61" s="13" t="inlineStr">
        <is>
          <t>FT-45</t>
        </is>
      </c>
      <c r="H61" s="13" t="inlineStr">
        <is>
          <t>SC-02</t>
        </is>
      </c>
      <c r="I61" s="13" t="inlineStr">
        <is>
          <t>High</t>
        </is>
      </c>
      <c r="J61" s="13" t="inlineStr">
        <is>
          <t>Specified</t>
        </is>
      </c>
      <c r="K61" s="13" t="inlineStr">
        <is>
          <t>Group: Learning. Diagram UC: View activity and streak. Server-side streak: Draft.</t>
        </is>
      </c>
    </row>
    <row r="62" s="31">
      <c r="A62" s="10" t="inlineStr">
        <is>
          <t>UC-059</t>
        </is>
      </c>
      <c r="B62" s="11" t="inlineStr">
        <is>
          <t>Request topic final test code</t>
        </is>
      </c>
      <c r="C62" s="11" t="inlineStr">
        <is>
          <t>Learner</t>
        </is>
      </c>
      <c r="D62" s="11" t="inlineStr">
        <is>
          <t>—</t>
        </is>
      </c>
      <c r="E62" s="11" t="inlineStr">
        <is>
          <t>Every lesson of the topic is completed and practice-cleared; no review blocks a skill the topic teaches.</t>
        </is>
      </c>
      <c r="F62" s="11" t="inlineStr">
        <is>
          <t>A single-use test code for one of the topic's tests is returned; repeating the request returns the same open code.</t>
        </is>
      </c>
      <c r="G62" s="11" t="inlineStr">
        <is>
          <t>FT-29</t>
        </is>
      </c>
      <c r="H62" s="11" t="inlineStr">
        <is>
          <t>SC-04</t>
        </is>
      </c>
      <c r="I62" s="11" t="inlineStr">
        <is>
          <t>High</t>
        </is>
      </c>
      <c r="J62" s="11" t="inlineStr">
        <is>
          <t>Specified</t>
        </is>
      </c>
      <c r="K62" s="11" t="inlineStr">
        <is>
          <t>Group: Learning. Diagram UC: Take test attempt.</t>
        </is>
      </c>
    </row>
    <row r="63" s="31">
      <c r="A63" s="12" t="inlineStr">
        <is>
          <t>UC-060</t>
        </is>
      </c>
      <c r="B63" s="13" t="inlineStr">
        <is>
          <t>Request course final test code</t>
        </is>
      </c>
      <c r="C63" s="13" t="inlineStr">
        <is>
          <t>Learner</t>
        </is>
      </c>
      <c r="D63" s="13" t="inlineStr">
        <is>
          <t>—</t>
        </is>
      </c>
      <c r="E63" s="13" t="inlineStr">
        <is>
          <t>Every topic of the course is PASSED and the course is not passed.</t>
        </is>
      </c>
      <c r="F63" s="13" t="inlineStr">
        <is>
          <t>A single-use test code for one of the course's tests is returned.</t>
        </is>
      </c>
      <c r="G63" s="13" t="inlineStr">
        <is>
          <t>FT-55</t>
        </is>
      </c>
      <c r="H63" s="13" t="inlineStr">
        <is>
          <t>SC-04</t>
        </is>
      </c>
      <c r="I63" s="13" t="inlineStr">
        <is>
          <t>High</t>
        </is>
      </c>
      <c r="J63" s="13" t="inlineStr">
        <is>
          <t>Specified</t>
        </is>
      </c>
      <c r="K63" s="13" t="inlineStr">
        <is>
          <t>Group: Learning. Diagram UC: Take course test. «extend» Take test attempt.</t>
        </is>
      </c>
    </row>
    <row r="64" s="31">
      <c r="A64" s="10" t="inlineStr">
        <is>
          <t>UC-061</t>
        </is>
      </c>
      <c r="B64" s="11" t="inlineStr">
        <is>
          <t>Submit Speaking recording</t>
        </is>
      </c>
      <c r="C64" s="11" t="inlineStr">
        <is>
          <t>Learner</t>
        </is>
      </c>
      <c r="D64" s="11" t="inlineStr">
        <is>
          <t>Speech Assessment Provider</t>
        </is>
      </c>
      <c r="E64" s="11" t="inlineStr">
        <is>
          <t>The learner has recorded a Speaking answer of 10 to 120 seconds.</t>
        </is>
      </c>
      <c r="F64" s="11" t="inlineStr">
        <is>
          <t>The recording is stored (URL or key only) and scored within 30 seconds.</t>
        </is>
      </c>
      <c r="G64" s="11" t="inlineStr">
        <is>
          <t>FT-39</t>
        </is>
      </c>
      <c r="H64" s="11" t="inlineStr">
        <is>
          <t>—</t>
        </is>
      </c>
      <c r="I64" s="11" t="inlineStr">
        <is>
          <t>Medium</t>
        </is>
      </c>
      <c r="J64" s="11" t="inlineStr">
        <is>
          <t>Draft</t>
        </is>
      </c>
      <c r="K64" s="11" t="inlineStr">
        <is>
          <t>Group: Learning. Diagram UC: Submit Speaking recording. «include» Assess speech.</t>
        </is>
      </c>
    </row>
    <row r="65" s="31">
      <c r="A65" s="12" t="inlineStr">
        <is>
          <t>UC-062</t>
        </is>
      </c>
      <c r="B65" s="13" t="inlineStr">
        <is>
          <t>Assess speech</t>
        </is>
      </c>
      <c r="C65" s="13" t="inlineStr">
        <is>
          <t>System (via Submit Speaking recording, Practise shadowing, Request AI grading)</t>
        </is>
      </c>
      <c r="D65" s="13" t="inlineStr">
        <is>
          <t>Speech Assessment Provider</t>
        </is>
      </c>
      <c r="E65" s="13" t="inlineStr">
        <is>
          <t>A recording and its prompt or reference text are available.</t>
        </is>
      </c>
      <c r="F65" s="13" t="inlineStr">
        <is>
          <t>A transcript with pronunciation and fluency scores is returned; on failure the attempt can be resent.</t>
        </is>
      </c>
      <c r="G65" s="13" t="inlineStr">
        <is>
          <t>FT-33, FT-39, FT-40</t>
        </is>
      </c>
      <c r="H65" s="13" t="inlineStr">
        <is>
          <t>SC-04</t>
        </is>
      </c>
      <c r="I65" s="13" t="inlineStr">
        <is>
          <t>High</t>
        </is>
      </c>
      <c r="J65" s="13" t="inlineStr">
        <is>
          <t>Draft</t>
        </is>
      </c>
      <c r="K65" s="13" t="inlineStr">
        <is>
          <t>Group: Learning. Diagram UC: Assess speech.</t>
        </is>
      </c>
    </row>
    <row r="66" s="31">
      <c r="A66" s="10" t="inlineStr">
        <is>
          <t>UC-063</t>
        </is>
      </c>
      <c r="B66" s="11" t="inlineStr">
        <is>
          <t>Request AI grading</t>
        </is>
      </c>
      <c r="C66" s="11" t="inlineStr">
        <is>
          <t>Learner</t>
        </is>
      </c>
      <c r="D66" s="11" t="inlineStr">
        <is>
          <t>LLM Provider, Speech Assessment Provider</t>
        </is>
      </c>
      <c r="E66" s="11" t="inlineStr">
        <is>
          <t>The learner owns a submitted Writing or Speaking response.</t>
        </is>
      </c>
      <c r="F66" s="11" t="inlineStr">
        <is>
          <t>A grading job is created and charged (3 points for Writing, 5 for Speaking) only after a successful grade.</t>
        </is>
      </c>
      <c r="G66" s="11" t="inlineStr">
        <is>
          <t>FT-33</t>
        </is>
      </c>
      <c r="H66" s="11" t="inlineStr">
        <is>
          <t>SC-04</t>
        </is>
      </c>
      <c r="I66" s="11" t="inlineStr">
        <is>
          <t>High</t>
        </is>
      </c>
      <c r="J66" s="11" t="inlineStr">
        <is>
          <t>Draft</t>
        </is>
      </c>
      <c r="K66" s="11" t="inlineStr">
        <is>
          <t>Group: Learning. Diagram UC: Request AI grading. «include» Grade essay, Assess speech. Job records: Specified.</t>
        </is>
      </c>
    </row>
    <row r="67" s="31">
      <c r="A67" s="12" t="inlineStr">
        <is>
          <t>UC-064</t>
        </is>
      </c>
      <c r="B67" s="13" t="inlineStr">
        <is>
          <t>View AI grading job</t>
        </is>
      </c>
      <c r="C67" s="13" t="inlineStr">
        <is>
          <t>Learner</t>
        </is>
      </c>
      <c r="D67" s="13" t="inlineStr">
        <is>
          <t>—</t>
        </is>
      </c>
      <c r="E67" s="13" t="inlineStr">
        <is>
          <t>The job belongs to the learner.</t>
        </is>
      </c>
      <c r="F67" s="13" t="inlineStr">
        <is>
          <t>The learner sees the job status and grade.</t>
        </is>
      </c>
      <c r="G67" s="13" t="inlineStr">
        <is>
          <t>FT-33</t>
        </is>
      </c>
      <c r="H67" s="13" t="inlineStr">
        <is>
          <t>SC-04</t>
        </is>
      </c>
      <c r="I67" s="13" t="inlineStr">
        <is>
          <t>High</t>
        </is>
      </c>
      <c r="J67" s="13" t="inlineStr">
        <is>
          <t>Specified</t>
        </is>
      </c>
      <c r="K67" s="13" t="inlineStr">
        <is>
          <t>Group: Learning. Diagram UC: Request AI grading.</t>
        </is>
      </c>
    </row>
    <row r="68" s="31">
      <c r="A68" s="10" t="inlineStr">
        <is>
          <t>UC-065</t>
        </is>
      </c>
      <c r="B68" s="11" t="inlineStr">
        <is>
          <t>Practise shadowing</t>
        </is>
      </c>
      <c r="C68" s="11" t="inlineStr">
        <is>
          <t>Learner</t>
        </is>
      </c>
      <c r="D68" s="11" t="inlineStr">
        <is>
          <t>Speech Assessment Provider</t>
        </is>
      </c>
      <c r="E68" s="11" t="inlineStr">
        <is>
          <t>A published video segment with reference text exists.</t>
        </is>
      </c>
      <c r="F68" s="11" t="inlineStr">
        <is>
          <t>The attempt keeps a snapshot of the segment and the score of the recording.</t>
        </is>
      </c>
      <c r="G68" s="11" t="inlineStr">
        <is>
          <t>FT-40</t>
        </is>
      </c>
      <c r="H68" s="11" t="inlineStr">
        <is>
          <t>—</t>
        </is>
      </c>
      <c r="I68" s="11" t="inlineStr">
        <is>
          <t>Medium</t>
        </is>
      </c>
      <c r="J68" s="11" t="inlineStr">
        <is>
          <t>Draft</t>
        </is>
      </c>
      <c r="K68" s="11" t="inlineStr">
        <is>
          <t>Group: Learning. Diagram UC: Practise shadowing. «include» Assess speech. Attempt record: Specified.</t>
        </is>
      </c>
    </row>
    <row r="69" s="31">
      <c r="A69" s="12" t="inlineStr">
        <is>
          <t>UC-066</t>
        </is>
      </c>
      <c r="B69" s="13" t="inlineStr">
        <is>
          <t>Start test attempt</t>
        </is>
      </c>
      <c r="C69" s="13" t="inlineStr">
        <is>
          <t>Learner</t>
        </is>
      </c>
      <c r="D69" s="13" t="inlineStr">
        <is>
          <t>—</t>
        </is>
      </c>
      <c r="E69" s="13" t="inlineStr">
        <is>
          <t>The learner holds an open test code, or the package is a placement or mock test.</t>
        </is>
      </c>
      <c r="F69" s="13" t="inlineStr">
        <is>
          <t>An IN_PROGRESS attempt is created from a frozen package snapshot.</t>
        </is>
      </c>
      <c r="G69" s="13" t="inlineStr">
        <is>
          <t>FT-30</t>
        </is>
      </c>
      <c r="H69" s="13" t="inlineStr">
        <is>
          <t>SC-04</t>
        </is>
      </c>
      <c r="I69" s="13" t="inlineStr">
        <is>
          <t>High</t>
        </is>
      </c>
      <c r="J69" s="13" t="inlineStr">
        <is>
          <t>Specified</t>
        </is>
      </c>
      <c r="K69" s="13" t="inlineStr">
        <is>
          <t>Group: Assessment. Diagram UC: Take test attempt.</t>
        </is>
      </c>
    </row>
    <row r="70" s="31">
      <c r="A70" s="10" t="inlineStr">
        <is>
          <t>UC-067</t>
        </is>
      </c>
      <c r="B70" s="11" t="inlineStr">
        <is>
          <t>Resume test attempt</t>
        </is>
      </c>
      <c r="C70" s="11" t="inlineStr">
        <is>
          <t>Learner</t>
        </is>
      </c>
      <c r="D70" s="11" t="inlineStr">
        <is>
          <t>—</t>
        </is>
      </c>
      <c r="E70" s="11" t="inlineStr">
        <is>
          <t>The attempt belongs to the learner and is IN_PROGRESS.</t>
        </is>
      </c>
      <c r="F70" s="11" t="inlineStr">
        <is>
          <t>The learner gets the attempt, its structure (no answers or transcripts) and the saved responses.</t>
        </is>
      </c>
      <c r="G70" s="11" t="inlineStr">
        <is>
          <t>FT-30</t>
        </is>
      </c>
      <c r="H70" s="11" t="inlineStr">
        <is>
          <t>SC-04</t>
        </is>
      </c>
      <c r="I70" s="11" t="inlineStr">
        <is>
          <t>High</t>
        </is>
      </c>
      <c r="J70" s="11" t="inlineStr">
        <is>
          <t>Specified</t>
        </is>
      </c>
      <c r="K70" s="11" t="inlineStr">
        <is>
          <t>Group: Assessment. Diagram UC: Take test attempt.</t>
        </is>
      </c>
    </row>
    <row r="71" s="31">
      <c r="A71" s="12" t="inlineStr">
        <is>
          <t>UC-068</t>
        </is>
      </c>
      <c r="B71" s="13" t="inlineStr">
        <is>
          <t>Start test section</t>
        </is>
      </c>
      <c r="C71" s="13" t="inlineStr">
        <is>
          <t>Learner</t>
        </is>
      </c>
      <c r="D71" s="13" t="inlineStr">
        <is>
          <t>—</t>
        </is>
      </c>
      <c r="E71" s="13" t="inlineStr">
        <is>
          <t>The attempt is IN_PROGRESS and the section is not handed in.</t>
        </is>
      </c>
      <c r="F71" s="13" t="inlineStr">
        <is>
          <t>The section's timer starts.</t>
        </is>
      </c>
      <c r="G71" s="13" t="inlineStr">
        <is>
          <t>FT-30</t>
        </is>
      </c>
      <c r="H71" s="13" t="inlineStr">
        <is>
          <t>SC-04</t>
        </is>
      </c>
      <c r="I71" s="13" t="inlineStr">
        <is>
          <t>High</t>
        </is>
      </c>
      <c r="J71" s="13" t="inlineStr">
        <is>
          <t>Specified</t>
        </is>
      </c>
      <c r="K71" s="13" t="inlineStr">
        <is>
          <t>Group: Assessment. Diagram UC: Take test attempt.</t>
        </is>
      </c>
    </row>
    <row r="72" s="31">
      <c r="A72" s="10" t="inlineStr">
        <is>
          <t>UC-069</t>
        </is>
      </c>
      <c r="B72" s="11" t="inlineStr">
        <is>
          <t>Save answer</t>
        </is>
      </c>
      <c r="C72" s="11" t="inlineStr">
        <is>
          <t>Learner</t>
        </is>
      </c>
      <c r="D72" s="11" t="inlineStr">
        <is>
          <t>—</t>
        </is>
      </c>
      <c r="E72" s="11" t="inlineStr">
        <is>
          <t>The attempt is IN_PROGRESS and the section is open.</t>
        </is>
      </c>
      <c r="F72" s="11" t="inlineStr">
        <is>
          <t>The response to the item is saved.</t>
        </is>
      </c>
      <c r="G72" s="11" t="inlineStr">
        <is>
          <t>FT-30</t>
        </is>
      </c>
      <c r="H72" s="11" t="inlineStr">
        <is>
          <t>SC-04</t>
        </is>
      </c>
      <c r="I72" s="11" t="inlineStr">
        <is>
          <t>High</t>
        </is>
      </c>
      <c r="J72" s="11" t="inlineStr">
        <is>
          <t>Specified</t>
        </is>
      </c>
      <c r="K72" s="11" t="inlineStr">
        <is>
          <t>Group: Assessment. Diagram UC: Take test attempt.</t>
        </is>
      </c>
    </row>
    <row r="73" s="31">
      <c r="A73" s="12" t="inlineStr">
        <is>
          <t>UC-070</t>
        </is>
      </c>
      <c r="B73" s="13" t="inlineStr">
        <is>
          <t>Submit test essay</t>
        </is>
      </c>
      <c r="C73" s="13" t="inlineStr">
        <is>
          <t>Learner</t>
        </is>
      </c>
      <c r="D73" s="13" t="inlineStr">
        <is>
          <t>LLM Provider</t>
        </is>
      </c>
      <c r="E73" s="13" t="inlineStr">
        <is>
          <t>The attempt is IN_PROGRESS and the item is an essay.</t>
        </is>
      </c>
      <c r="F73" s="13" t="inlineStr">
        <is>
          <t>The essay is stored for grading; in topic and course tests it is graded by the LLM free of charge.</t>
        </is>
      </c>
      <c r="G73" s="13" t="inlineStr">
        <is>
          <t>FT-30, FT-31, FT-33</t>
        </is>
      </c>
      <c r="H73" s="13" t="inlineStr">
        <is>
          <t>SC-04</t>
        </is>
      </c>
      <c r="I73" s="13" t="inlineStr">
        <is>
          <t>High</t>
        </is>
      </c>
      <c r="J73" s="13" t="inlineStr">
        <is>
          <t>Specified</t>
        </is>
      </c>
      <c r="K73" s="13" t="inlineStr">
        <is>
          <t>Group: Assessment. Diagram UC: Take test attempt. «include» Grade essay; Examiner fallback (FT-32).</t>
        </is>
      </c>
    </row>
    <row r="74" s="31">
      <c r="A74" s="10" t="inlineStr">
        <is>
          <t>UC-071</t>
        </is>
      </c>
      <c r="B74" s="11" t="inlineStr">
        <is>
          <t>Hand in test section</t>
        </is>
      </c>
      <c r="C74" s="11" t="inlineStr">
        <is>
          <t>Learner</t>
        </is>
      </c>
      <c r="D74" s="11" t="inlineStr">
        <is>
          <t>—</t>
        </is>
      </c>
      <c r="E74" s="11" t="inlineStr">
        <is>
          <t>The section is open.</t>
        </is>
      </c>
      <c r="F74" s="11" t="inlineStr">
        <is>
          <t>The section takes no further answers.</t>
        </is>
      </c>
      <c r="G74" s="11" t="inlineStr">
        <is>
          <t>FT-30, FT-35</t>
        </is>
      </c>
      <c r="H74" s="11" t="inlineStr">
        <is>
          <t>SC-01, SC-04</t>
        </is>
      </c>
      <c r="I74" s="11" t="inlineStr">
        <is>
          <t>High</t>
        </is>
      </c>
      <c r="J74" s="11" t="inlineStr">
        <is>
          <t>Specified</t>
        </is>
      </c>
      <c r="K74" s="11" t="inlineStr">
        <is>
          <t>Group: Assessment. Diagram UC: Take test attempt.</t>
        </is>
      </c>
    </row>
    <row r="75" s="31">
      <c r="A75" s="12" t="inlineStr">
        <is>
          <t>UC-072</t>
        </is>
      </c>
      <c r="B75" s="13" t="inlineStr">
        <is>
          <t>Submit test attempt</t>
        </is>
      </c>
      <c r="C75" s="13" t="inlineStr">
        <is>
          <t>Learner</t>
        </is>
      </c>
      <c r="D75" s="13" t="inlineStr">
        <is>
          <t>—</t>
        </is>
      </c>
      <c r="E75" s="13" t="inlineStr">
        <is>
          <t>The attempt is IN_PROGRESS.</t>
        </is>
      </c>
      <c r="F75" s="13" t="inlineStr">
        <is>
          <t>The attempt is SUBMITTED; objective items are auto-graded; a final result publishes AssessmentCompleted.v2.</t>
        </is>
      </c>
      <c r="G75" s="13" t="inlineStr">
        <is>
          <t>FT-29, FT-30, FT-31, FT-55</t>
        </is>
      </c>
      <c r="H75" s="13" t="inlineStr">
        <is>
          <t>SC-04</t>
        </is>
      </c>
      <c r="I75" s="13" t="inlineStr">
        <is>
          <t>High</t>
        </is>
      </c>
      <c r="J75" s="13" t="inlineStr">
        <is>
          <t>Specified</t>
        </is>
      </c>
      <c r="K75" s="13" t="inlineStr">
        <is>
          <t>Group: Assessment. Diagram UC: Take test attempt.</t>
        </is>
      </c>
    </row>
    <row r="76" s="31">
      <c r="A76" s="10" t="inlineStr">
        <is>
          <t>UC-073</t>
        </is>
      </c>
      <c r="B76" s="11" t="inlineStr">
        <is>
          <t>Expire overdue test attempt</t>
        </is>
      </c>
      <c r="C76" s="11" t="inlineStr">
        <is>
          <t>Learner</t>
        </is>
      </c>
      <c r="D76" s="11" t="inlineStr">
        <is>
          <t>—</t>
        </is>
      </c>
      <c r="E76" s="11" t="inlineStr">
        <is>
          <t>The attempt's time limit has passed.</t>
        </is>
      </c>
      <c r="F76" s="11" t="inlineStr">
        <is>
          <t>The attempt is closed with the responses saved so far.</t>
        </is>
      </c>
      <c r="G76" s="11" t="inlineStr">
        <is>
          <t>FT-30</t>
        </is>
      </c>
      <c r="H76" s="11" t="inlineStr">
        <is>
          <t>SC-04</t>
        </is>
      </c>
      <c r="I76" s="11" t="inlineStr">
        <is>
          <t>High</t>
        </is>
      </c>
      <c r="J76" s="11" t="inlineStr">
        <is>
          <t>Specified</t>
        </is>
      </c>
      <c r="K76" s="11" t="inlineStr">
        <is>
          <t>Group: Assessment. Diagram UC: Take test attempt.</t>
        </is>
      </c>
    </row>
    <row r="77" s="31">
      <c r="A77" s="12" t="inlineStr">
        <is>
          <t>UC-074</t>
        </is>
      </c>
      <c r="B77" s="13" t="inlineStr">
        <is>
          <t>View test result</t>
        </is>
      </c>
      <c r="C77" s="13" t="inlineStr">
        <is>
          <t>Learner</t>
        </is>
      </c>
      <c r="D77" s="13" t="inlineStr">
        <is>
          <t>—</t>
        </is>
      </c>
      <c r="E77" s="13" t="inlineStr">
        <is>
          <t>The attempt is submitted.</t>
        </is>
      </c>
      <c r="F77" s="13" t="inlineStr">
        <is>
          <t>The learner sees the score and feedback; solutions and transcripts only at 70% or more.</t>
        </is>
      </c>
      <c r="G77" s="13" t="inlineStr">
        <is>
          <t>FT-24, FT-31</t>
        </is>
      </c>
      <c r="H77" s="13" t="inlineStr">
        <is>
          <t>SC-04</t>
        </is>
      </c>
      <c r="I77" s="13" t="inlineStr">
        <is>
          <t>High</t>
        </is>
      </c>
      <c r="J77" s="13" t="inlineStr">
        <is>
          <t>Specified</t>
        </is>
      </c>
      <c r="K77" s="13" t="inlineStr">
        <is>
          <t>Group: Assessment. Diagram UC: View result.</t>
        </is>
      </c>
    </row>
    <row r="78" s="31">
      <c r="A78" s="10" t="inlineStr">
        <is>
          <t>UC-075</t>
        </is>
      </c>
      <c r="B78" s="11" t="inlineStr">
        <is>
          <t>View placement test</t>
        </is>
      </c>
      <c r="C78" s="11" t="inlineStr">
        <is>
          <t>Learner</t>
        </is>
      </c>
      <c r="D78" s="11" t="inlineStr">
        <is>
          <t>—</t>
        </is>
      </c>
      <c r="E78" s="11" t="inlineStr">
        <is>
          <t>The learner is signed in.</t>
        </is>
      </c>
      <c r="F78" s="11" t="inlineStr">
        <is>
          <t>The learner sees whether the placement test is available or done.</t>
        </is>
      </c>
      <c r="G78" s="11" t="inlineStr">
        <is>
          <t>FT-35</t>
        </is>
      </c>
      <c r="H78" s="11" t="inlineStr">
        <is>
          <t>SC-01</t>
        </is>
      </c>
      <c r="I78" s="11" t="inlineStr">
        <is>
          <t>High</t>
        </is>
      </c>
      <c r="J78" s="11" t="inlineStr">
        <is>
          <t>Specified</t>
        </is>
      </c>
      <c r="K78" s="11" t="inlineStr">
        <is>
          <t>Group: Assessment. Diagram UC: Take placement test.</t>
        </is>
      </c>
    </row>
    <row r="79" s="31">
      <c r="A79" s="12" t="inlineStr">
        <is>
          <t>UC-076</t>
        </is>
      </c>
      <c r="B79" s="13" t="inlineStr">
        <is>
          <t>Start or resume placement test</t>
        </is>
      </c>
      <c r="C79" s="13" t="inlineStr">
        <is>
          <t>Learner</t>
        </is>
      </c>
      <c r="D79" s="13" t="inlineStr">
        <is>
          <t>—</t>
        </is>
      </c>
      <c r="E79" s="13" t="inlineStr">
        <is>
          <t>A published placement test exists; the learner has not finished one.</t>
        </is>
      </c>
      <c r="F79" s="13" t="inlineStr">
        <is>
          <t>The learner's single placement attempt is created or resumed section by section.</t>
        </is>
      </c>
      <c r="G79" s="13" t="inlineStr">
        <is>
          <t>FT-35</t>
        </is>
      </c>
      <c r="H79" s="13" t="inlineStr">
        <is>
          <t>SC-01</t>
        </is>
      </c>
      <c r="I79" s="13" t="inlineStr">
        <is>
          <t>High</t>
        </is>
      </c>
      <c r="J79" s="13" t="inlineStr">
        <is>
          <t>Specified</t>
        </is>
      </c>
      <c r="K79" s="13" t="inlineStr">
        <is>
          <t>Group: Assessment. Diagram UC: Take placement test. «extend» Take test attempt.</t>
        </is>
      </c>
    </row>
    <row r="80" s="31">
      <c r="A80" s="10" t="inlineStr">
        <is>
          <t>UC-077</t>
        </is>
      </c>
      <c r="B80" s="11" t="inlineStr">
        <is>
          <t>View placement report</t>
        </is>
      </c>
      <c r="C80" s="11" t="inlineStr">
        <is>
          <t>Learner</t>
        </is>
      </c>
      <c r="D80" s="11" t="inlineStr">
        <is>
          <t>—</t>
        </is>
      </c>
      <c r="E80" s="11" t="inlineStr">
        <is>
          <t>The placement attempt is graded.</t>
        </is>
      </c>
      <c r="F80" s="11" t="inlineStr">
        <is>
          <t>The learner sees the estimated band per skill and overall, the expected answers and the Writing feedback; a course is recommended.</t>
        </is>
      </c>
      <c r="G80" s="11" t="inlineStr">
        <is>
          <t>FT-35</t>
        </is>
      </c>
      <c r="H80" s="11" t="inlineStr">
        <is>
          <t>SC-01</t>
        </is>
      </c>
      <c r="I80" s="11" t="inlineStr">
        <is>
          <t>High</t>
        </is>
      </c>
      <c r="J80" s="11" t="inlineStr">
        <is>
          <t>Specified</t>
        </is>
      </c>
      <c r="K80" s="11" t="inlineStr">
        <is>
          <t>Group: Assessment. Diagram UC: Take placement test.</t>
        </is>
      </c>
    </row>
    <row r="81" s="31">
      <c r="A81" s="12" t="inlineStr">
        <is>
          <t>UC-078</t>
        </is>
      </c>
      <c r="B81" s="13" t="inlineStr">
        <is>
          <t>Reset placement test</t>
        </is>
      </c>
      <c r="C81" s="13" t="inlineStr">
        <is>
          <t>Administrator</t>
        </is>
      </c>
      <c r="D81" s="13" t="inlineStr">
        <is>
          <t>—</t>
        </is>
      </c>
      <c r="E81" s="13" t="inlineStr">
        <is>
          <t>The Administrator is signed in with role ADMIN.</t>
        </is>
      </c>
      <c r="F81" s="13" t="inlineStr">
        <is>
          <t>The learner may take the placement test once more.</t>
        </is>
      </c>
      <c r="G81" s="13" t="inlineStr">
        <is>
          <t>FT-35</t>
        </is>
      </c>
      <c r="H81" s="13" t="inlineStr">
        <is>
          <t>—</t>
        </is>
      </c>
      <c r="I81" s="13" t="inlineStr">
        <is>
          <t>Medium</t>
        </is>
      </c>
      <c r="J81" s="13" t="inlineStr">
        <is>
          <t>Draft</t>
        </is>
      </c>
      <c r="K81" s="13" t="inlineStr">
        <is>
          <t>Group: Assessment. Diagram UC: Take placement test.</t>
        </is>
      </c>
    </row>
    <row r="82" s="31">
      <c r="A82" s="10" t="inlineStr">
        <is>
          <t>UC-079</t>
        </is>
      </c>
      <c r="B82" s="11" t="inlineStr">
        <is>
          <t>Take mock test</t>
        </is>
      </c>
      <c r="C82" s="11" t="inlineStr">
        <is>
          <t>Learner</t>
        </is>
      </c>
      <c r="D82" s="11" t="inlineStr">
        <is>
          <t>—</t>
        </is>
      </c>
      <c r="E82" s="11" t="inlineStr">
        <is>
          <t>A published four-skill MOCK_TEST package exists.</t>
        </is>
      </c>
      <c r="F82" s="11" t="inlineStr">
        <is>
          <t>The learner receives an estimated band per skill and overall.</t>
        </is>
      </c>
      <c r="G82" s="11" t="inlineStr">
        <is>
          <t>FT-34</t>
        </is>
      </c>
      <c r="H82" s="11" t="inlineStr">
        <is>
          <t>SC-04</t>
        </is>
      </c>
      <c r="I82" s="11" t="inlineStr">
        <is>
          <t>High</t>
        </is>
      </c>
      <c r="J82" s="11" t="inlineStr">
        <is>
          <t>Draft</t>
        </is>
      </c>
      <c r="K82" s="11" t="inlineStr">
        <is>
          <t>Group: Assessment. Diagram UC: Take mock test. «extend» Take test attempt.</t>
        </is>
      </c>
    </row>
    <row r="83" s="31">
      <c r="A83" s="12" t="inlineStr">
        <is>
          <t>UC-080</t>
        </is>
      </c>
      <c r="B83" s="13" t="inlineStr">
        <is>
          <t>Request examiner grading</t>
        </is>
      </c>
      <c r="C83" s="13" t="inlineStr">
        <is>
          <t>Learner</t>
        </is>
      </c>
      <c r="D83" s="13" t="inlineStr">
        <is>
          <t>—</t>
        </is>
      </c>
      <c r="E83" s="13" t="inlineStr">
        <is>
          <t>The learner has an ACTIVE subscription with at least 1 examiner grading credit and a submitted attempt.</t>
        </is>
      </c>
      <c r="F83" s="13" t="inlineStr">
        <is>
          <t>One credit is consumed and the attempt waits for an Examiner.</t>
        </is>
      </c>
      <c r="G83" s="13" t="inlineStr">
        <is>
          <t>FT-14</t>
        </is>
      </c>
      <c r="H83" s="13" t="inlineStr">
        <is>
          <t>SC-04</t>
        </is>
      </c>
      <c r="I83" s="13" t="inlineStr">
        <is>
          <t>High</t>
        </is>
      </c>
      <c r="J83" s="13" t="inlineStr">
        <is>
          <t>Draft</t>
        </is>
      </c>
      <c r="K83" s="13" t="inlineStr">
        <is>
          <t>Group: Assessment. Diagram UC: Request examiner grading. Credits on plans and keys: Specified.</t>
        </is>
      </c>
    </row>
    <row r="84" s="31">
      <c r="A84" s="10" t="inlineStr">
        <is>
          <t>UC-081</t>
        </is>
      </c>
      <c r="B84" s="11" t="inlineStr">
        <is>
          <t>Create grading result</t>
        </is>
      </c>
      <c r="C84" s="11" t="inlineStr">
        <is>
          <t>Examiner</t>
        </is>
      </c>
      <c r="D84" s="11" t="inlineStr">
        <is>
          <t>—</t>
        </is>
      </c>
      <c r="E84" s="11" t="inlineStr">
        <is>
          <t>An attempt is SUBMITTED and needs manual grading.</t>
        </is>
      </c>
      <c r="F84" s="11" t="inlineStr">
        <is>
          <t>A result version in progress is created for the attempt.</t>
        </is>
      </c>
      <c r="G84" s="11" t="inlineStr">
        <is>
          <t>FT-32</t>
        </is>
      </c>
      <c r="H84" s="11" t="inlineStr">
        <is>
          <t>SC-04</t>
        </is>
      </c>
      <c r="I84" s="11" t="inlineStr">
        <is>
          <t>High</t>
        </is>
      </c>
      <c r="J84" s="11" t="inlineStr">
        <is>
          <t>Specified</t>
        </is>
      </c>
      <c r="K84" s="11" t="inlineStr">
        <is>
          <t>Group: Assessment. Diagram UC: Grade attempt manually and finalize result. An Administrator can also perform it.</t>
        </is>
      </c>
    </row>
    <row r="85" s="31">
      <c r="A85" s="12" t="inlineStr">
        <is>
          <t>UC-082</t>
        </is>
      </c>
      <c r="B85" s="13" t="inlineStr">
        <is>
          <t>Enter grading details</t>
        </is>
      </c>
      <c r="C85" s="13" t="inlineStr">
        <is>
          <t>Examiner</t>
        </is>
      </c>
      <c r="D85" s="13" t="inlineStr">
        <is>
          <t>—</t>
        </is>
      </c>
      <c r="E85" s="13" t="inlineStr">
        <is>
          <t>The result version is not finalized.</t>
        </is>
      </c>
      <c r="F85" s="13" t="inlineStr">
        <is>
          <t>Item grades and comments are saved.</t>
        </is>
      </c>
      <c r="G85" s="13" t="inlineStr">
        <is>
          <t>FT-32</t>
        </is>
      </c>
      <c r="H85" s="13" t="inlineStr">
        <is>
          <t>SC-04</t>
        </is>
      </c>
      <c r="I85" s="13" t="inlineStr">
        <is>
          <t>High</t>
        </is>
      </c>
      <c r="J85" s="13" t="inlineStr">
        <is>
          <t>Specified</t>
        </is>
      </c>
      <c r="K85" s="13" t="inlineStr">
        <is>
          <t>Group: Assessment. Diagram UC: Grade attempt manually and finalize result.</t>
        </is>
      </c>
    </row>
    <row r="86" s="31">
      <c r="A86" s="10" t="inlineStr">
        <is>
          <t>UC-083</t>
        </is>
      </c>
      <c r="B86" s="11" t="inlineStr">
        <is>
          <t>Finalize result</t>
        </is>
      </c>
      <c r="C86" s="11" t="inlineStr">
        <is>
          <t>Examiner</t>
        </is>
      </c>
      <c r="D86" s="11" t="inlineStr">
        <is>
          <t>—</t>
        </is>
      </c>
      <c r="E86" s="11" t="inlineStr">
        <is>
          <t>Every item of the result is graded.</t>
        </is>
      </c>
      <c r="F86" s="11" t="inlineStr">
        <is>
          <t>The result version is final and AssessmentCompleted.v2 is published; finalizing again has no effect.</t>
        </is>
      </c>
      <c r="G86" s="11" t="inlineStr">
        <is>
          <t>FT-32</t>
        </is>
      </c>
      <c r="H86" s="11" t="inlineStr">
        <is>
          <t>SC-04</t>
        </is>
      </c>
      <c r="I86" s="11" t="inlineStr">
        <is>
          <t>High</t>
        </is>
      </c>
      <c r="J86" s="11" t="inlineStr">
        <is>
          <t>Specified</t>
        </is>
      </c>
      <c r="K86" s="11" t="inlineStr">
        <is>
          <t>Group: Assessment. Diagram UC: Grade attempt manually and finalize result.</t>
        </is>
      </c>
    </row>
    <row r="87" s="31">
      <c r="A87" s="12" t="inlineStr">
        <is>
          <t>UC-084</t>
        </is>
      </c>
      <c r="B87" s="13" t="inlineStr">
        <is>
          <t>View plans</t>
        </is>
      </c>
      <c r="C87" s="13" t="inlineStr">
        <is>
          <t>Signed-in user</t>
        </is>
      </c>
      <c r="D87" s="13" t="inlineStr">
        <is>
          <t>—</t>
        </is>
      </c>
      <c r="E87" s="13" t="inlineStr">
        <is>
          <t>The user is signed in.</t>
        </is>
      </c>
      <c r="F87" s="13" t="inlineStr">
        <is>
          <t>The user sees the plans and their feature keys.</t>
        </is>
      </c>
      <c r="G87" s="13" t="inlineStr">
        <is>
          <t>FT-10</t>
        </is>
      </c>
      <c r="H87" s="13" t="inlineStr">
        <is>
          <t>—</t>
        </is>
      </c>
      <c r="I87" s="13" t="inlineStr">
        <is>
          <t>Medium</t>
        </is>
      </c>
      <c r="J87" s="13" t="inlineStr">
        <is>
          <t>Specified</t>
        </is>
      </c>
      <c r="K87" s="13" t="inlineStr">
        <is>
          <t>Group: Access. Diagram UC: View subscription.</t>
        </is>
      </c>
    </row>
    <row r="88" s="31">
      <c r="A88" s="10" t="inlineStr">
        <is>
          <t>UC-085</t>
        </is>
      </c>
      <c r="B88" s="11" t="inlineStr">
        <is>
          <t>View subscription</t>
        </is>
      </c>
      <c r="C88" s="11" t="inlineStr">
        <is>
          <t>Learner</t>
        </is>
      </c>
      <c r="D88" s="11" t="inlineStr">
        <is>
          <t>—</t>
        </is>
      </c>
      <c r="E88" s="11" t="inlineStr">
        <is>
          <t>The learner is signed in.</t>
        </is>
      </c>
      <c r="F88" s="11" t="inlineStr">
        <is>
          <t>The learner sees which plan is active and until when.</t>
        </is>
      </c>
      <c r="G88" s="11" t="inlineStr">
        <is>
          <t>FT-10</t>
        </is>
      </c>
      <c r="H88" s="11" t="inlineStr">
        <is>
          <t>—</t>
        </is>
      </c>
      <c r="I88" s="11" t="inlineStr">
        <is>
          <t>Medium</t>
        </is>
      </c>
      <c r="J88" s="11" t="inlineStr">
        <is>
          <t>Specified</t>
        </is>
      </c>
      <c r="K88" s="11" t="inlineStr">
        <is>
          <t>Group: Access. Diagram UC: View subscription.</t>
        </is>
      </c>
    </row>
    <row r="89" s="31">
      <c r="A89" s="12" t="inlineStr">
        <is>
          <t>UC-086</t>
        </is>
      </c>
      <c r="B89" s="13" t="inlineStr">
        <is>
          <t>View point balance</t>
        </is>
      </c>
      <c r="C89" s="13" t="inlineStr">
        <is>
          <t>Learner</t>
        </is>
      </c>
      <c r="D89" s="13" t="inlineStr">
        <is>
          <t>—</t>
        </is>
      </c>
      <c r="E89" s="13" t="inlineStr">
        <is>
          <t>The learner is signed in.</t>
        </is>
      </c>
      <c r="F89" s="13" t="inlineStr">
        <is>
          <t>The learner sees the point balance (never below 0).</t>
        </is>
      </c>
      <c r="G89" s="13" t="inlineStr">
        <is>
          <t>FT-12</t>
        </is>
      </c>
      <c r="H89" s="13" t="inlineStr">
        <is>
          <t>—</t>
        </is>
      </c>
      <c r="I89" s="13" t="inlineStr">
        <is>
          <t>Medium</t>
        </is>
      </c>
      <c r="J89" s="13" t="inlineStr">
        <is>
          <t>Specified</t>
        </is>
      </c>
      <c r="K89" s="13" t="inlineStr">
        <is>
          <t>Group: Access. Diagram UC: View points.</t>
        </is>
      </c>
    </row>
    <row r="90" s="31">
      <c r="A90" s="10" t="inlineStr">
        <is>
          <t>UC-087</t>
        </is>
      </c>
      <c r="B90" s="11" t="inlineStr">
        <is>
          <t>View point history</t>
        </is>
      </c>
      <c r="C90" s="11" t="inlineStr">
        <is>
          <t>Learner</t>
        </is>
      </c>
      <c r="D90" s="11" t="inlineStr">
        <is>
          <t>—</t>
        </is>
      </c>
      <c r="E90" s="11" t="inlineStr">
        <is>
          <t>The learner is signed in.</t>
        </is>
      </c>
      <c r="F90" s="11" t="inlineStr">
        <is>
          <t>The learner sees one page of ledger entries.</t>
        </is>
      </c>
      <c r="G90" s="11" t="inlineStr">
        <is>
          <t>FT-12</t>
        </is>
      </c>
      <c r="H90" s="11" t="inlineStr">
        <is>
          <t>—</t>
        </is>
      </c>
      <c r="I90" s="11" t="inlineStr">
        <is>
          <t>Medium</t>
        </is>
      </c>
      <c r="J90" s="11" t="inlineStr">
        <is>
          <t>Specified</t>
        </is>
      </c>
      <c r="K90" s="11" t="inlineStr">
        <is>
          <t>Group: Access. Diagram UC: View points.</t>
        </is>
      </c>
    </row>
    <row r="91" s="31">
      <c r="A91" s="12" t="inlineStr">
        <is>
          <t>UC-088</t>
        </is>
      </c>
      <c r="B91" s="13" t="inlineStr">
        <is>
          <t>Activate key</t>
        </is>
      </c>
      <c r="C91" s="13" t="inlineStr">
        <is>
          <t>Learner</t>
        </is>
      </c>
      <c r="D91" s="13" t="inlineStr">
        <is>
          <t>—</t>
        </is>
      </c>
      <c r="E91" s="13" t="inlineStr">
        <is>
          <t>The learner holds an ACTIVE, unexpired activation key.</t>
        </is>
      </c>
      <c r="F91" s="13" t="inlineStr">
        <is>
          <t>The key is REDEEMED once; the subscription is created or extended, or the wallet is credited.</t>
        </is>
      </c>
      <c r="G91" s="13" t="inlineStr">
        <is>
          <t>FT-10, FT-11, FT-14</t>
        </is>
      </c>
      <c r="H91" s="13" t="inlineStr">
        <is>
          <t>SC-04</t>
        </is>
      </c>
      <c r="I91" s="13" t="inlineStr">
        <is>
          <t>High</t>
        </is>
      </c>
      <c r="J91" s="13" t="inlineStr">
        <is>
          <t>Specified</t>
        </is>
      </c>
      <c r="K91" s="13" t="inlineStr">
        <is>
          <t>Group: Access. Diagram UC: Activate key.</t>
        </is>
      </c>
    </row>
    <row r="92" s="31">
      <c r="A92" s="10" t="inlineStr">
        <is>
          <t>UC-089</t>
        </is>
      </c>
      <c r="B92" s="11" t="inlineStr">
        <is>
          <t>Access Premium content</t>
        </is>
      </c>
      <c r="C92" s="11" t="inlineStr">
        <is>
          <t>Learner</t>
        </is>
      </c>
      <c r="D92" s="11" t="inlineStr">
        <is>
          <t>—</t>
        </is>
      </c>
      <c r="E92" s="11" t="inlineStr">
        <is>
          <t>The content requires a feature key.</t>
        </is>
      </c>
      <c r="F92" s="11" t="inlineStr">
        <is>
          <t>Premium lessons and practice sets open only with an ACTIVE subscription that includes the key.</t>
        </is>
      </c>
      <c r="G92" s="11" t="inlineStr">
        <is>
          <t>FT-13</t>
        </is>
      </c>
      <c r="H92" s="11" t="inlineStr">
        <is>
          <t>—</t>
        </is>
      </c>
      <c r="I92" s="11" t="inlineStr">
        <is>
          <t>Medium</t>
        </is>
      </c>
      <c r="J92" s="11" t="inlineStr">
        <is>
          <t>Draft</t>
        </is>
      </c>
      <c r="K92" s="11" t="inlineStr">
        <is>
          <t>Group: Access. Diagram UC: Study lesson. Entitlement lookup: Specified; enforcement in lessons and practice: Draft.</t>
        </is>
      </c>
    </row>
    <row r="93" s="31">
      <c r="A93" s="12" t="inlineStr">
        <is>
          <t>UC-090</t>
        </is>
      </c>
      <c r="B93" s="13" t="inlineStr">
        <is>
          <t>View key products</t>
        </is>
      </c>
      <c r="C93" s="13" t="inlineStr">
        <is>
          <t>Sale, Administrator</t>
        </is>
      </c>
      <c r="D93" s="13" t="inlineStr">
        <is>
          <t>—</t>
        </is>
      </c>
      <c r="E93" s="13" t="inlineStr">
        <is>
          <t>The user holds role SALES_STAFF or ADMIN.</t>
        </is>
      </c>
      <c r="F93" s="13" t="inlineStr">
        <is>
          <t>The user sees the key products (POINTS or PREMIUM).</t>
        </is>
      </c>
      <c r="G93" s="13" t="inlineStr">
        <is>
          <t>FT-11</t>
        </is>
      </c>
      <c r="H93" s="13" t="inlineStr">
        <is>
          <t>—</t>
        </is>
      </c>
      <c r="I93" s="13" t="inlineStr">
        <is>
          <t>Medium</t>
        </is>
      </c>
      <c r="J93" s="13" t="inlineStr">
        <is>
          <t>Specified</t>
        </is>
      </c>
      <c r="K93" s="13" t="inlineStr">
        <is>
          <t>Group: Access. Diagram UC: Generate and revoke activation keys.</t>
        </is>
      </c>
    </row>
    <row r="94" s="31">
      <c r="A94" s="10" t="inlineStr">
        <is>
          <t>UC-091</t>
        </is>
      </c>
      <c r="B94" s="11" t="inlineStr">
        <is>
          <t>Generate activation keys</t>
        </is>
      </c>
      <c r="C94" s="11" t="inlineStr">
        <is>
          <t>Sale, Administrator</t>
        </is>
      </c>
      <c r="D94" s="11" t="inlineStr">
        <is>
          <t>—</t>
        </is>
      </c>
      <c r="E94" s="11" t="inlineStr">
        <is>
          <t>A key product exists.</t>
        </is>
      </c>
      <c r="F94" s="11" t="inlineStr">
        <is>
          <t>1–1,000 ACTIVE keys are created; each raw key is returned once and stored as a SHA-256 hash with a 4-character hint.</t>
        </is>
      </c>
      <c r="G94" s="11" t="inlineStr">
        <is>
          <t>FT-11</t>
        </is>
      </c>
      <c r="H94" s="11" t="inlineStr">
        <is>
          <t>—</t>
        </is>
      </c>
      <c r="I94" s="11" t="inlineStr">
        <is>
          <t>Medium</t>
        </is>
      </c>
      <c r="J94" s="11" t="inlineStr">
        <is>
          <t>Specified</t>
        </is>
      </c>
      <c r="K94" s="11" t="inlineStr">
        <is>
          <t>Group: Access. Diagram UC: Generate and revoke activation keys. Sale role access: Draft.</t>
        </is>
      </c>
    </row>
    <row r="95" s="31">
      <c r="A95" s="12" t="inlineStr">
        <is>
          <t>UC-092</t>
        </is>
      </c>
      <c r="B95" s="13" t="inlineStr">
        <is>
          <t>Revoke activation key</t>
        </is>
      </c>
      <c r="C95" s="13" t="inlineStr">
        <is>
          <t>Sale, Administrator</t>
        </is>
      </c>
      <c r="D95" s="13" t="inlineStr">
        <is>
          <t>—</t>
        </is>
      </c>
      <c r="E95" s="13" t="inlineStr">
        <is>
          <t>The key is ACTIVE and not redeemed.</t>
        </is>
      </c>
      <c r="F95" s="13" t="inlineStr">
        <is>
          <t>The key is REVOKED.</t>
        </is>
      </c>
      <c r="G95" s="13" t="inlineStr">
        <is>
          <t>FT-11</t>
        </is>
      </c>
      <c r="H95" s="13" t="inlineStr">
        <is>
          <t>—</t>
        </is>
      </c>
      <c r="I95" s="13" t="inlineStr">
        <is>
          <t>Medium</t>
        </is>
      </c>
      <c r="J95" s="13" t="inlineStr">
        <is>
          <t>Specified</t>
        </is>
      </c>
      <c r="K95" s="13" t="inlineStr">
        <is>
          <t>Group: Access. Diagram UC: Generate and revoke activation keys.</t>
        </is>
      </c>
    </row>
    <row r="96" s="31">
      <c r="A96" s="10" t="inlineStr">
        <is>
          <t>UC-093</t>
        </is>
      </c>
      <c r="B96" s="11" t="inlineStr">
        <is>
          <t>View issued keys</t>
        </is>
      </c>
      <c r="C96" s="11" t="inlineStr">
        <is>
          <t>Sale, Administrator</t>
        </is>
      </c>
      <c r="D96" s="11" t="inlineStr">
        <is>
          <t>—</t>
        </is>
      </c>
      <c r="E96" s="11" t="inlineStr">
        <is>
          <t>The user holds role SALES_STAFF or ADMIN.</t>
        </is>
      </c>
      <c r="F96" s="11" t="inlineStr">
        <is>
          <t>The user sees issued keys with status and hint, never the raw key.</t>
        </is>
      </c>
      <c r="G96" s="11" t="inlineStr">
        <is>
          <t>FT-11</t>
        </is>
      </c>
      <c r="H96" s="11" t="inlineStr">
        <is>
          <t>—</t>
        </is>
      </c>
      <c r="I96" s="11" t="inlineStr">
        <is>
          <t>Medium</t>
        </is>
      </c>
      <c r="J96" s="11" t="inlineStr">
        <is>
          <t>Draft</t>
        </is>
      </c>
      <c r="K96" s="11" t="inlineStr">
        <is>
          <t>Group: Access. Diagram UC: Generate and revoke activation keys.</t>
        </is>
      </c>
    </row>
    <row r="97" s="31">
      <c r="A97" s="12" t="inlineStr">
        <is>
          <t>UC-094</t>
        </is>
      </c>
      <c r="B97" s="13" t="inlineStr">
        <is>
          <t>Create plan</t>
        </is>
      </c>
      <c r="C97" s="13" t="inlineStr">
        <is>
          <t>Administrator</t>
        </is>
      </c>
      <c r="D97" s="13" t="inlineStr">
        <is>
          <t>—</t>
        </is>
      </c>
      <c r="E97" s="13" t="inlineStr">
        <is>
          <t>The Administrator is signed in with role ADMIN.</t>
        </is>
      </c>
      <c r="F97" s="13" t="inlineStr">
        <is>
          <t>A plan with its feature keys is created.</t>
        </is>
      </c>
      <c r="G97" s="13" t="inlineStr">
        <is>
          <t>FT-10</t>
        </is>
      </c>
      <c r="H97" s="13" t="inlineStr">
        <is>
          <t>—</t>
        </is>
      </c>
      <c r="I97" s="13" t="inlineStr">
        <is>
          <t>Medium</t>
        </is>
      </c>
      <c r="J97" s="13" t="inlineStr">
        <is>
          <t>Specified</t>
        </is>
      </c>
      <c r="K97" s="13" t="inlineStr">
        <is>
          <t>Group: Access. Diagram UC: Manage plans and point adjustments.</t>
        </is>
      </c>
    </row>
    <row r="98" s="31">
      <c r="A98" s="10" t="inlineStr">
        <is>
          <t>UC-095</t>
        </is>
      </c>
      <c r="B98" s="11" t="inlineStr">
        <is>
          <t>Create key product</t>
        </is>
      </c>
      <c r="C98" s="11" t="inlineStr">
        <is>
          <t>Administrator</t>
        </is>
      </c>
      <c r="D98" s="11" t="inlineStr">
        <is>
          <t>—</t>
        </is>
      </c>
      <c r="E98" s="11" t="inlineStr">
        <is>
          <t>The Administrator is signed in with role ADMIN.</t>
        </is>
      </c>
      <c r="F98" s="11" t="inlineStr">
        <is>
          <t>A POINTS or PREMIUM key product is created.</t>
        </is>
      </c>
      <c r="G98" s="11" t="inlineStr">
        <is>
          <t>FT-10, FT-11</t>
        </is>
      </c>
      <c r="H98" s="11" t="inlineStr">
        <is>
          <t>—</t>
        </is>
      </c>
      <c r="I98" s="11" t="inlineStr">
        <is>
          <t>Medium</t>
        </is>
      </c>
      <c r="J98" s="11" t="inlineStr">
        <is>
          <t>Specified</t>
        </is>
      </c>
      <c r="K98" s="11" t="inlineStr">
        <is>
          <t>Group: Access. Diagram UC: Manage plans and point adjustments.</t>
        </is>
      </c>
    </row>
    <row r="99" s="31">
      <c r="A99" s="12" t="inlineStr">
        <is>
          <t>UC-096</t>
        </is>
      </c>
      <c r="B99" s="13" t="inlineStr">
        <is>
          <t>Adjust learner points</t>
        </is>
      </c>
      <c r="C99" s="13" t="inlineStr">
        <is>
          <t>Administrator</t>
        </is>
      </c>
      <c r="D99" s="13" t="inlineStr">
        <is>
          <t>—</t>
        </is>
      </c>
      <c r="E99" s="13" t="inlineStr">
        <is>
          <t>The Administrator is signed in with role ADMIN.</t>
        </is>
      </c>
      <c r="F99" s="13" t="inlineStr">
        <is>
          <t>An ADMIN_ADJUSTMENT ledger entry changes the balance, never below 0.</t>
        </is>
      </c>
      <c r="G99" s="13" t="inlineStr">
        <is>
          <t>FT-12</t>
        </is>
      </c>
      <c r="H99" s="13" t="inlineStr">
        <is>
          <t>—</t>
        </is>
      </c>
      <c r="I99" s="13" t="inlineStr">
        <is>
          <t>Medium</t>
        </is>
      </c>
      <c r="J99" s="13" t="inlineStr">
        <is>
          <t>Specified</t>
        </is>
      </c>
      <c r="K99" s="13" t="inlineStr">
        <is>
          <t>Group: Access. Diagram UC: Manage plans and point adjustments.</t>
        </is>
      </c>
    </row>
    <row r="100" s="31">
      <c r="A100" s="10" t="inlineStr">
        <is>
          <t>UC-097</t>
        </is>
      </c>
      <c r="B100" s="11" t="inlineStr">
        <is>
          <t>Grant subscription</t>
        </is>
      </c>
      <c r="C100" s="11" t="inlineStr">
        <is>
          <t>Administrator</t>
        </is>
      </c>
      <c r="D100" s="11" t="inlineStr">
        <is>
          <t>—</t>
        </is>
      </c>
      <c r="E100" s="11" t="inlineStr">
        <is>
          <t>The Administrator is signed in with role ADMIN.</t>
        </is>
      </c>
      <c r="F100" s="11" t="inlineStr">
        <is>
          <t>The learner's subscription is created or extended.</t>
        </is>
      </c>
      <c r="G100" s="11" t="inlineStr">
        <is>
          <t>FT-10</t>
        </is>
      </c>
      <c r="H100" s="11" t="inlineStr">
        <is>
          <t>—</t>
        </is>
      </c>
      <c r="I100" s="11" t="inlineStr">
        <is>
          <t>Medium</t>
        </is>
      </c>
      <c r="J100" s="11" t="inlineStr">
        <is>
          <t>Specified</t>
        </is>
      </c>
      <c r="K100" s="11" t="inlineStr">
        <is>
          <t>Group: Access. Diagram UC: Manage plans and point adjustments.</t>
        </is>
      </c>
    </row>
    <row r="101" s="31">
      <c r="A101" s="12" t="inlineStr">
        <is>
          <t>UC-098</t>
        </is>
      </c>
      <c r="B101" s="13" t="inlineStr">
        <is>
          <t>Set notification preferences</t>
        </is>
      </c>
      <c r="C101" s="13" t="inlineStr">
        <is>
          <t>Learner</t>
        </is>
      </c>
      <c r="D101" s="13" t="inlineStr">
        <is>
          <t>—</t>
        </is>
      </c>
      <c r="E101" s="13" t="inlineStr">
        <is>
          <t>The learner is signed in.</t>
        </is>
      </c>
      <c r="F101" s="13" t="inlineStr">
        <is>
          <t>One preference per channel (PUSH, EMAIL, IN_APP) is stored: on or off, preferred time and timezone.</t>
        </is>
      </c>
      <c r="G101" s="13" t="inlineStr">
        <is>
          <t>FT-51</t>
        </is>
      </c>
      <c r="H101" s="13" t="inlineStr">
        <is>
          <t>SC-04</t>
        </is>
      </c>
      <c r="I101" s="13" t="inlineStr">
        <is>
          <t>High</t>
        </is>
      </c>
      <c r="J101" s="13" t="inlineStr">
        <is>
          <t>Draft</t>
        </is>
      </c>
      <c r="K101" s="13" t="inlineStr">
        <is>
          <t>Group: Notification. Diagram UC: Manage notification preferences.</t>
        </is>
      </c>
    </row>
    <row r="102" s="31">
      <c r="A102" s="10" t="inlineStr">
        <is>
          <t>UC-099</t>
        </is>
      </c>
      <c r="B102" s="11" t="inlineStr">
        <is>
          <t>Register push device</t>
        </is>
      </c>
      <c r="C102" s="11" t="inlineStr">
        <is>
          <t>Learner</t>
        </is>
      </c>
      <c r="D102" s="11" t="inlineStr">
        <is>
          <t>Firebase Cloud Messaging</t>
        </is>
      </c>
      <c r="E102" s="11" t="inlineStr">
        <is>
          <t>The learner is signed in.</t>
        </is>
      </c>
      <c r="F102" s="11" t="inlineStr">
        <is>
          <t>The device token is registered for push notifications.</t>
        </is>
      </c>
      <c r="G102" s="11" t="inlineStr">
        <is>
          <t>FT-51</t>
        </is>
      </c>
      <c r="H102" s="11" t="inlineStr">
        <is>
          <t>SC-04</t>
        </is>
      </c>
      <c r="I102" s="11" t="inlineStr">
        <is>
          <t>High</t>
        </is>
      </c>
      <c r="J102" s="11" t="inlineStr">
        <is>
          <t>Draft</t>
        </is>
      </c>
      <c r="K102" s="11" t="inlineStr">
        <is>
          <t>Group: Notification. Diagram UC: Manage notification preferences.</t>
        </is>
      </c>
    </row>
    <row r="103" s="31">
      <c r="A103" s="12" t="inlineStr">
        <is>
          <t>UC-100</t>
        </is>
      </c>
      <c r="B103" s="13" t="inlineStr">
        <is>
          <t>Receive grading-done alert</t>
        </is>
      </c>
      <c r="C103" s="13" t="inlineStr">
        <is>
          <t>Learner</t>
        </is>
      </c>
      <c r="D103" s="13" t="inlineStr">
        <is>
          <t>Firebase Cloud Messaging, Email Service</t>
        </is>
      </c>
      <c r="E103" s="13" t="inlineStr">
        <is>
          <t>A result was finalized; the channel is enabled.</t>
        </is>
      </c>
      <c r="F103" s="13" t="inlineStr">
        <is>
          <t>One alert per finalized result arrives within 5 minutes on every enabled channel.</t>
        </is>
      </c>
      <c r="G103" s="13" t="inlineStr">
        <is>
          <t>FT-52, FT-54</t>
        </is>
      </c>
      <c r="H103" s="13" t="inlineStr">
        <is>
          <t>SC-04</t>
        </is>
      </c>
      <c r="I103" s="13" t="inlineStr">
        <is>
          <t>High</t>
        </is>
      </c>
      <c r="J103" s="13" t="inlineStr">
        <is>
          <t>Draft</t>
        </is>
      </c>
      <c r="K103" s="13" t="inlineStr">
        <is>
          <t>Group: Notification. Diagram UC: Receive study reminders and grading-done alerts.</t>
        </is>
      </c>
    </row>
    <row r="104" s="31">
      <c r="A104" s="10" t="inlineStr">
        <is>
          <t>UC-101</t>
        </is>
      </c>
      <c r="B104" s="11" t="inlineStr">
        <is>
          <t>Receive study reminder</t>
        </is>
      </c>
      <c r="C104" s="11" t="inlineStr">
        <is>
          <t>Learner</t>
        </is>
      </c>
      <c r="D104" s="11" t="inlineStr">
        <is>
          <t>Firebase Cloud Messaging, Email Service</t>
        </is>
      </c>
      <c r="E104" s="11" t="inlineStr">
        <is>
          <t>The learner has not studied today; reminders are enabled.</t>
        </is>
      </c>
      <c r="F104" s="11" t="inlineStr">
        <is>
          <t>At most one reminder per day arrives at the preferred time.</t>
        </is>
      </c>
      <c r="G104" s="11" t="inlineStr">
        <is>
          <t>FT-53, FT-54</t>
        </is>
      </c>
      <c r="H104" s="11" t="inlineStr">
        <is>
          <t>SC-04</t>
        </is>
      </c>
      <c r="I104" s="11" t="inlineStr">
        <is>
          <t>High</t>
        </is>
      </c>
      <c r="J104" s="11" t="inlineStr">
        <is>
          <t>Draft</t>
        </is>
      </c>
      <c r="K104" s="11" t="inlineStr">
        <is>
          <t>Group: Notification. Diagram UC: Receive study reminders and grading-done alerts.</t>
        </is>
      </c>
    </row>
    <row r="105" s="31">
      <c r="A105" s="12" t="inlineStr">
        <is>
          <t>UC-102</t>
        </is>
      </c>
      <c r="B105" s="13" t="inlineStr">
        <is>
          <t>View in-app notifications</t>
        </is>
      </c>
      <c r="C105" s="13" t="inlineStr">
        <is>
          <t>Learner</t>
        </is>
      </c>
      <c r="D105" s="13" t="inlineStr">
        <is>
          <t>—</t>
        </is>
      </c>
      <c r="E105" s="13" t="inlineStr">
        <is>
          <t>The learner is signed in.</t>
        </is>
      </c>
      <c r="F105" s="13" t="inlineStr">
        <is>
          <t>The learner sees their in-app notifications; failed deliveries are retried up to 3 times.</t>
        </is>
      </c>
      <c r="G105" s="13" t="inlineStr">
        <is>
          <t>FT-54</t>
        </is>
      </c>
      <c r="H105" s="13" t="inlineStr">
        <is>
          <t>SC-04</t>
        </is>
      </c>
      <c r="I105" s="13" t="inlineStr">
        <is>
          <t>High</t>
        </is>
      </c>
      <c r="J105" s="13" t="inlineStr">
        <is>
          <t>Draft</t>
        </is>
      </c>
      <c r="K105" s="13" t="inlineStr">
        <is>
          <t>Group: Notification. Diagram UC: Receive study reminders and grading-done alerts.</t>
        </is>
      </c>
    </row>
    <row r="106" s="31">
      <c r="A106" s="10" t="inlineStr">
        <is>
          <t>UC-103</t>
        </is>
      </c>
      <c r="B106" s="11" t="inlineStr">
        <is>
          <t>Search vocabulary</t>
        </is>
      </c>
      <c r="C106" s="11" t="inlineStr">
        <is>
          <t>Learner</t>
        </is>
      </c>
      <c r="D106" s="11" t="inlineStr">
        <is>
          <t>—</t>
        </is>
      </c>
      <c r="E106" s="11" t="inlineStr">
        <is>
          <t>Published vocabulary items exist.</t>
        </is>
      </c>
      <c r="F106" s="11" t="inlineStr">
        <is>
          <t>The learner sees matching words with senses.</t>
        </is>
      </c>
      <c r="G106" s="11" t="inlineStr">
        <is>
          <t>FT-36</t>
        </is>
      </c>
      <c r="H106" s="11" t="inlineStr">
        <is>
          <t>—</t>
        </is>
      </c>
      <c r="I106" s="11" t="inlineStr">
        <is>
          <t>Low</t>
        </is>
      </c>
      <c r="J106" s="11" t="inlineStr">
        <is>
          <t>Specified</t>
        </is>
      </c>
      <c r="K106" s="11" t="inlineStr">
        <is>
          <t>Group: Library &amp; Community. Diagram UC: Browse vocabulary and videos.</t>
        </is>
      </c>
    </row>
    <row r="107" s="31">
      <c r="A107" s="12" t="inlineStr">
        <is>
          <t>UC-104</t>
        </is>
      </c>
      <c r="B107" s="13" t="inlineStr">
        <is>
          <t>View vocabulary entry</t>
        </is>
      </c>
      <c r="C107" s="13" t="inlineStr">
        <is>
          <t>Learner</t>
        </is>
      </c>
      <c r="D107" s="13" t="inlineStr">
        <is>
          <t>—</t>
        </is>
      </c>
      <c r="E107" s="13" t="inlineStr">
        <is>
          <t>The entry is published.</t>
        </is>
      </c>
      <c r="F107" s="13" t="inlineStr">
        <is>
          <t>The learner sees the word with its senses.</t>
        </is>
      </c>
      <c r="G107" s="13" t="inlineStr">
        <is>
          <t>FT-36</t>
        </is>
      </c>
      <c r="H107" s="13" t="inlineStr">
        <is>
          <t>—</t>
        </is>
      </c>
      <c r="I107" s="13" t="inlineStr">
        <is>
          <t>Low</t>
        </is>
      </c>
      <c r="J107" s="13" t="inlineStr">
        <is>
          <t>Specified</t>
        </is>
      </c>
      <c r="K107" s="13" t="inlineStr">
        <is>
          <t>Group: Library &amp; Community. Diagram UC: Browse vocabulary and videos.</t>
        </is>
      </c>
    </row>
    <row r="108" s="31">
      <c r="A108" s="10" t="inlineStr">
        <is>
          <t>UC-105</t>
        </is>
      </c>
      <c r="B108" s="11" t="inlineStr">
        <is>
          <t>View videos</t>
        </is>
      </c>
      <c r="C108" s="11" t="inlineStr">
        <is>
          <t>Learner</t>
        </is>
      </c>
      <c r="D108" s="11" t="inlineStr">
        <is>
          <t>—</t>
        </is>
      </c>
      <c r="E108" s="11" t="inlineStr">
        <is>
          <t>Published videos exist.</t>
        </is>
      </c>
      <c r="F108" s="11" t="inlineStr">
        <is>
          <t>The learner sees one page of videos.</t>
        </is>
      </c>
      <c r="G108" s="11" t="inlineStr">
        <is>
          <t>FT-37</t>
        </is>
      </c>
      <c r="H108" s="11" t="inlineStr">
        <is>
          <t>—</t>
        </is>
      </c>
      <c r="I108" s="11" t="inlineStr">
        <is>
          <t>Low</t>
        </is>
      </c>
      <c r="J108" s="11" t="inlineStr">
        <is>
          <t>Specified</t>
        </is>
      </c>
      <c r="K108" s="11" t="inlineStr">
        <is>
          <t>Group: Library &amp; Community. Diagram UC: Browse vocabulary and videos.</t>
        </is>
      </c>
    </row>
    <row r="109" s="31">
      <c r="A109" s="12" t="inlineStr">
        <is>
          <t>UC-106</t>
        </is>
      </c>
      <c r="B109" s="13" t="inlineStr">
        <is>
          <t>View video</t>
        </is>
      </c>
      <c r="C109" s="13" t="inlineStr">
        <is>
          <t>Learner</t>
        </is>
      </c>
      <c r="D109" s="13" t="inlineStr">
        <is>
          <t>—</t>
        </is>
      </c>
      <c r="E109" s="13" t="inlineStr">
        <is>
          <t>The video is published.</t>
        </is>
      </c>
      <c r="F109" s="13" t="inlineStr">
        <is>
          <t>The learner sees the video with its segments.</t>
        </is>
      </c>
      <c r="G109" s="13" t="inlineStr">
        <is>
          <t>FT-37</t>
        </is>
      </c>
      <c r="H109" s="13" t="inlineStr">
        <is>
          <t>—</t>
        </is>
      </c>
      <c r="I109" s="13" t="inlineStr">
        <is>
          <t>Low</t>
        </is>
      </c>
      <c r="J109" s="13" t="inlineStr">
        <is>
          <t>Specified</t>
        </is>
      </c>
      <c r="K109" s="13" t="inlineStr">
        <is>
          <t>Group: Library &amp; Community. Diagram UC: Browse vocabulary and videos.</t>
        </is>
      </c>
    </row>
    <row r="110" s="31">
      <c r="A110" s="10" t="inlineStr">
        <is>
          <t>UC-107</t>
        </is>
      </c>
      <c r="B110" s="11" t="inlineStr">
        <is>
          <t>Save video progress</t>
        </is>
      </c>
      <c r="C110" s="11" t="inlineStr">
        <is>
          <t>Learner</t>
        </is>
      </c>
      <c r="D110" s="11" t="inlineStr">
        <is>
          <t>—</t>
        </is>
      </c>
      <c r="E110" s="11" t="inlineStr">
        <is>
          <t>The learner is watching a published video.</t>
        </is>
      </c>
      <c r="F110" s="11" t="inlineStr">
        <is>
          <t>One record per video keeps the last position, watched time and progress (0–100%).</t>
        </is>
      </c>
      <c r="G110" s="11" t="inlineStr">
        <is>
          <t>FT-38</t>
        </is>
      </c>
      <c r="H110" s="11" t="inlineStr">
        <is>
          <t>—</t>
        </is>
      </c>
      <c r="I110" s="11" t="inlineStr">
        <is>
          <t>Low</t>
        </is>
      </c>
      <c r="J110" s="11" t="inlineStr">
        <is>
          <t>Specified</t>
        </is>
      </c>
      <c r="K110" s="11" t="inlineStr">
        <is>
          <t>Group: Library &amp; Community. Diagram UC: Track video progress and saved segments.</t>
        </is>
      </c>
    </row>
    <row r="111" s="31">
      <c r="A111" s="12" t="inlineStr">
        <is>
          <t>UC-108</t>
        </is>
      </c>
      <c r="B111" s="13" t="inlineStr">
        <is>
          <t>View video progress list</t>
        </is>
      </c>
      <c r="C111" s="13" t="inlineStr">
        <is>
          <t>Learner</t>
        </is>
      </c>
      <c r="D111" s="13" t="inlineStr">
        <is>
          <t>—</t>
        </is>
      </c>
      <c r="E111" s="13" t="inlineStr">
        <is>
          <t>The learner is signed in.</t>
        </is>
      </c>
      <c r="F111" s="13" t="inlineStr">
        <is>
          <t>The learner sees their progress per video.</t>
        </is>
      </c>
      <c r="G111" s="13" t="inlineStr">
        <is>
          <t>FT-38</t>
        </is>
      </c>
      <c r="H111" s="13" t="inlineStr">
        <is>
          <t>—</t>
        </is>
      </c>
      <c r="I111" s="13" t="inlineStr">
        <is>
          <t>Low</t>
        </is>
      </c>
      <c r="J111" s="13" t="inlineStr">
        <is>
          <t>Specified</t>
        </is>
      </c>
      <c r="K111" s="13" t="inlineStr">
        <is>
          <t>Group: Library &amp; Community. Diagram UC: Track video progress and saved segments.</t>
        </is>
      </c>
    </row>
    <row r="112" s="31">
      <c r="A112" s="10" t="inlineStr">
        <is>
          <t>UC-109</t>
        </is>
      </c>
      <c r="B112" s="11" t="inlineStr">
        <is>
          <t>View video progress</t>
        </is>
      </c>
      <c r="C112" s="11" t="inlineStr">
        <is>
          <t>Learner</t>
        </is>
      </c>
      <c r="D112" s="11" t="inlineStr">
        <is>
          <t>—</t>
        </is>
      </c>
      <c r="E112" s="11" t="inlineStr">
        <is>
          <t>The record belongs to the learner.</t>
        </is>
      </c>
      <c r="F112" s="11" t="inlineStr">
        <is>
          <t>The learner sees one progress record.</t>
        </is>
      </c>
      <c r="G112" s="11" t="inlineStr">
        <is>
          <t>FT-38</t>
        </is>
      </c>
      <c r="H112" s="11" t="inlineStr">
        <is>
          <t>—</t>
        </is>
      </c>
      <c r="I112" s="11" t="inlineStr">
        <is>
          <t>Low</t>
        </is>
      </c>
      <c r="J112" s="11" t="inlineStr">
        <is>
          <t>Specified</t>
        </is>
      </c>
      <c r="K112" s="11" t="inlineStr">
        <is>
          <t>Group: Library &amp; Community. Diagram UC: Track video progress and saved segments.</t>
        </is>
      </c>
    </row>
    <row r="113" s="31">
      <c r="A113" s="12" t="inlineStr">
        <is>
          <t>UC-110</t>
        </is>
      </c>
      <c r="B113" s="13" t="inlineStr">
        <is>
          <t>Delete video progress</t>
        </is>
      </c>
      <c r="C113" s="13" t="inlineStr">
        <is>
          <t>Learner</t>
        </is>
      </c>
      <c r="D113" s="13" t="inlineStr">
        <is>
          <t>—</t>
        </is>
      </c>
      <c r="E113" s="13" t="inlineStr">
        <is>
          <t>The record belongs to the learner.</t>
        </is>
      </c>
      <c r="F113" s="13" t="inlineStr">
        <is>
          <t>The progress record is removed.</t>
        </is>
      </c>
      <c r="G113" s="13" t="inlineStr">
        <is>
          <t>FT-38</t>
        </is>
      </c>
      <c r="H113" s="13" t="inlineStr">
        <is>
          <t>—</t>
        </is>
      </c>
      <c r="I113" s="13" t="inlineStr">
        <is>
          <t>Low</t>
        </is>
      </c>
      <c r="J113" s="13" t="inlineStr">
        <is>
          <t>Specified</t>
        </is>
      </c>
      <c r="K113" s="13" t="inlineStr">
        <is>
          <t>Group: Library &amp; Community. Diagram UC: Track video progress and saved segments.</t>
        </is>
      </c>
    </row>
    <row r="114" s="31">
      <c r="A114" s="10" t="inlineStr">
        <is>
          <t>UC-111</t>
        </is>
      </c>
      <c r="B114" s="11" t="inlineStr">
        <is>
          <t>Save video segment</t>
        </is>
      </c>
      <c r="C114" s="11" t="inlineStr">
        <is>
          <t>Learner</t>
        </is>
      </c>
      <c r="D114" s="11" t="inlineStr">
        <is>
          <t>—</t>
        </is>
      </c>
      <c r="E114" s="11" t="inlineStr">
        <is>
          <t>The segment belongs to a published video.</t>
        </is>
      </c>
      <c r="F114" s="11" t="inlineStr">
        <is>
          <t>The segment is saved for the learner.</t>
        </is>
      </c>
      <c r="G114" s="11" t="inlineStr">
        <is>
          <t>FT-38</t>
        </is>
      </c>
      <c r="H114" s="11" t="inlineStr">
        <is>
          <t>—</t>
        </is>
      </c>
      <c r="I114" s="11" t="inlineStr">
        <is>
          <t>Low</t>
        </is>
      </c>
      <c r="J114" s="11" t="inlineStr">
        <is>
          <t>Specified</t>
        </is>
      </c>
      <c r="K114" s="11" t="inlineStr">
        <is>
          <t>Group: Library &amp; Community. Diagram UC: Track video progress and saved segments.</t>
        </is>
      </c>
    </row>
    <row r="115" s="31">
      <c r="A115" s="12" t="inlineStr">
        <is>
          <t>UC-112</t>
        </is>
      </c>
      <c r="B115" s="13" t="inlineStr">
        <is>
          <t>View saved segments</t>
        </is>
      </c>
      <c r="C115" s="13" t="inlineStr">
        <is>
          <t>Learner</t>
        </is>
      </c>
      <c r="D115" s="13" t="inlineStr">
        <is>
          <t>—</t>
        </is>
      </c>
      <c r="E115" s="13" t="inlineStr">
        <is>
          <t>The learner is signed in.</t>
        </is>
      </c>
      <c r="F115" s="13" t="inlineStr">
        <is>
          <t>The learner sees their saved segments.</t>
        </is>
      </c>
      <c r="G115" s="13" t="inlineStr">
        <is>
          <t>FT-38</t>
        </is>
      </c>
      <c r="H115" s="13" t="inlineStr">
        <is>
          <t>—</t>
        </is>
      </c>
      <c r="I115" s="13" t="inlineStr">
        <is>
          <t>Low</t>
        </is>
      </c>
      <c r="J115" s="13" t="inlineStr">
        <is>
          <t>Specified</t>
        </is>
      </c>
      <c r="K115" s="13" t="inlineStr">
        <is>
          <t>Group: Library &amp; Community. Diagram UC: Track video progress and saved segments.</t>
        </is>
      </c>
    </row>
    <row r="116" s="31">
      <c r="A116" s="10" t="inlineStr">
        <is>
          <t>UC-113</t>
        </is>
      </c>
      <c r="B116" s="11" t="inlineStr">
        <is>
          <t>Delete saved segment</t>
        </is>
      </c>
      <c r="C116" s="11" t="inlineStr">
        <is>
          <t>Learner</t>
        </is>
      </c>
      <c r="D116" s="11" t="inlineStr">
        <is>
          <t>—</t>
        </is>
      </c>
      <c r="E116" s="11" t="inlineStr">
        <is>
          <t>The saved segment belongs to the learner.</t>
        </is>
      </c>
      <c r="F116" s="11" t="inlineStr">
        <is>
          <t>The saved segment is removed.</t>
        </is>
      </c>
      <c r="G116" s="11" t="inlineStr">
        <is>
          <t>FT-38</t>
        </is>
      </c>
      <c r="H116" s="11" t="inlineStr">
        <is>
          <t>—</t>
        </is>
      </c>
      <c r="I116" s="11" t="inlineStr">
        <is>
          <t>Low</t>
        </is>
      </c>
      <c r="J116" s="11" t="inlineStr">
        <is>
          <t>Specified</t>
        </is>
      </c>
      <c r="K116" s="11" t="inlineStr">
        <is>
          <t>Group: Library &amp; Community. Diagram UC: Track video progress and saved segments.</t>
        </is>
      </c>
    </row>
    <row r="117" s="31">
      <c r="A117" s="12" t="inlineStr">
        <is>
          <t>UC-114</t>
        </is>
      </c>
      <c r="B117" s="13" t="inlineStr">
        <is>
          <t>Practise dictation</t>
        </is>
      </c>
      <c r="C117" s="13" t="inlineStr">
        <is>
          <t>Learner</t>
        </is>
      </c>
      <c r="D117" s="13" t="inlineStr">
        <is>
          <t>—</t>
        </is>
      </c>
      <c r="E117" s="13" t="inlineStr">
        <is>
          <t>A published video segment with reference text exists.</t>
        </is>
      </c>
      <c r="F117" s="13" t="inlineStr">
        <is>
          <t>The typed answer is scored as the percentage of words typed correctly; the attempt keeps a snapshot of the segment.</t>
        </is>
      </c>
      <c r="G117" s="13" t="inlineStr">
        <is>
          <t>FT-41</t>
        </is>
      </c>
      <c r="H117" s="13" t="inlineStr">
        <is>
          <t>—</t>
        </is>
      </c>
      <c r="I117" s="13" t="inlineStr">
        <is>
          <t>Low</t>
        </is>
      </c>
      <c r="J117" s="13" t="inlineStr">
        <is>
          <t>Draft</t>
        </is>
      </c>
      <c r="K117" s="13" t="inlineStr">
        <is>
          <t>Group: Library &amp; Community. Diagram UC: Practise dictation. Attempt record: Specified.</t>
        </is>
      </c>
    </row>
    <row r="118" s="31">
      <c r="A118" s="10" t="inlineStr">
        <is>
          <t>UC-115</t>
        </is>
      </c>
      <c r="B118" s="11" t="inlineStr">
        <is>
          <t>View notes</t>
        </is>
      </c>
      <c r="C118" s="11" t="inlineStr">
        <is>
          <t>Learner</t>
        </is>
      </c>
      <c r="D118" s="11" t="inlineStr">
        <is>
          <t>—</t>
        </is>
      </c>
      <c r="E118" s="11" t="inlineStr">
        <is>
          <t>The learner is signed in.</t>
        </is>
      </c>
      <c r="F118" s="11" t="inlineStr">
        <is>
          <t>The learner sees one page of their notes.</t>
        </is>
      </c>
      <c r="G118" s="11" t="inlineStr">
        <is>
          <t>FT-42</t>
        </is>
      </c>
      <c r="H118" s="11" t="inlineStr">
        <is>
          <t>—</t>
        </is>
      </c>
      <c r="I118" s="11" t="inlineStr">
        <is>
          <t>Low</t>
        </is>
      </c>
      <c r="J118" s="11" t="inlineStr">
        <is>
          <t>Specified</t>
        </is>
      </c>
      <c r="K118" s="11" t="inlineStr">
        <is>
          <t>Group: Library &amp; Community. Diagram UC: Manage notes and flashcards.</t>
        </is>
      </c>
    </row>
    <row r="119" s="31">
      <c r="A119" s="12" t="inlineStr">
        <is>
          <t>UC-116</t>
        </is>
      </c>
      <c r="B119" s="13" t="inlineStr">
        <is>
          <t>View note</t>
        </is>
      </c>
      <c r="C119" s="13" t="inlineStr">
        <is>
          <t>Learner</t>
        </is>
      </c>
      <c r="D119" s="13" t="inlineStr">
        <is>
          <t>—</t>
        </is>
      </c>
      <c r="E119" s="13" t="inlineStr">
        <is>
          <t>The note belongs to the learner.</t>
        </is>
      </c>
      <c r="F119" s="13" t="inlineStr">
        <is>
          <t>The learner sees the note.</t>
        </is>
      </c>
      <c r="G119" s="13" t="inlineStr">
        <is>
          <t>FT-42</t>
        </is>
      </c>
      <c r="H119" s="13" t="inlineStr">
        <is>
          <t>—</t>
        </is>
      </c>
      <c r="I119" s="13" t="inlineStr">
        <is>
          <t>Low</t>
        </is>
      </c>
      <c r="J119" s="13" t="inlineStr">
        <is>
          <t>Specified</t>
        </is>
      </c>
      <c r="K119" s="13" t="inlineStr">
        <is>
          <t>Group: Library &amp; Community. Diagram UC: Manage notes and flashcards.</t>
        </is>
      </c>
    </row>
    <row r="120" s="31">
      <c r="A120" s="10" t="inlineStr">
        <is>
          <t>UC-117</t>
        </is>
      </c>
      <c r="B120" s="11" t="inlineStr">
        <is>
          <t>Create note</t>
        </is>
      </c>
      <c r="C120" s="11" t="inlineStr">
        <is>
          <t>Learner</t>
        </is>
      </c>
      <c r="D120" s="11" t="inlineStr">
        <is>
          <t>—</t>
        </is>
      </c>
      <c r="E120" s="11" t="inlineStr">
        <is>
          <t>The learner is signed in.</t>
        </is>
      </c>
      <c r="F120" s="11" t="inlineStr">
        <is>
          <t>A private note is stored.</t>
        </is>
      </c>
      <c r="G120" s="11" t="inlineStr">
        <is>
          <t>FT-42</t>
        </is>
      </c>
      <c r="H120" s="11" t="inlineStr">
        <is>
          <t>—</t>
        </is>
      </c>
      <c r="I120" s="11" t="inlineStr">
        <is>
          <t>Low</t>
        </is>
      </c>
      <c r="J120" s="11" t="inlineStr">
        <is>
          <t>Specified</t>
        </is>
      </c>
      <c r="K120" s="11" t="inlineStr">
        <is>
          <t>Group: Library &amp; Community. Diagram UC: Manage notes and flashcards.</t>
        </is>
      </c>
    </row>
    <row r="121" s="31">
      <c r="A121" s="12" t="inlineStr">
        <is>
          <t>UC-118</t>
        </is>
      </c>
      <c r="B121" s="13" t="inlineStr">
        <is>
          <t>Update note</t>
        </is>
      </c>
      <c r="C121" s="13" t="inlineStr">
        <is>
          <t>Learner</t>
        </is>
      </c>
      <c r="D121" s="13" t="inlineStr">
        <is>
          <t>—</t>
        </is>
      </c>
      <c r="E121" s="13" t="inlineStr">
        <is>
          <t>The note belongs to the learner.</t>
        </is>
      </c>
      <c r="F121" s="13" t="inlineStr">
        <is>
          <t>The note is updated.</t>
        </is>
      </c>
      <c r="G121" s="13" t="inlineStr">
        <is>
          <t>FT-42</t>
        </is>
      </c>
      <c r="H121" s="13" t="inlineStr">
        <is>
          <t>—</t>
        </is>
      </c>
      <c r="I121" s="13" t="inlineStr">
        <is>
          <t>Low</t>
        </is>
      </c>
      <c r="J121" s="13" t="inlineStr">
        <is>
          <t>Specified</t>
        </is>
      </c>
      <c r="K121" s="13" t="inlineStr">
        <is>
          <t>Group: Library &amp; Community. Diagram UC: Manage notes and flashcards.</t>
        </is>
      </c>
    </row>
    <row r="122" s="31">
      <c r="A122" s="10" t="inlineStr">
        <is>
          <t>UC-119</t>
        </is>
      </c>
      <c r="B122" s="11" t="inlineStr">
        <is>
          <t>Delete note</t>
        </is>
      </c>
      <c r="C122" s="11" t="inlineStr">
        <is>
          <t>Learner</t>
        </is>
      </c>
      <c r="D122" s="11" t="inlineStr">
        <is>
          <t>—</t>
        </is>
      </c>
      <c r="E122" s="11" t="inlineStr">
        <is>
          <t>The note belongs to the learner.</t>
        </is>
      </c>
      <c r="F122" s="11" t="inlineStr">
        <is>
          <t>The note is removed.</t>
        </is>
      </c>
      <c r="G122" s="11" t="inlineStr">
        <is>
          <t>FT-42</t>
        </is>
      </c>
      <c r="H122" s="11" t="inlineStr">
        <is>
          <t>—</t>
        </is>
      </c>
      <c r="I122" s="11" t="inlineStr">
        <is>
          <t>Low</t>
        </is>
      </c>
      <c r="J122" s="11" t="inlineStr">
        <is>
          <t>Specified</t>
        </is>
      </c>
      <c r="K122" s="11" t="inlineStr">
        <is>
          <t>Group: Library &amp; Community. Diagram UC: Manage notes and flashcards.</t>
        </is>
      </c>
    </row>
    <row r="123" s="31">
      <c r="A123" s="12" t="inlineStr">
        <is>
          <t>UC-120</t>
        </is>
      </c>
      <c r="B123" s="13" t="inlineStr">
        <is>
          <t>View flashcards</t>
        </is>
      </c>
      <c r="C123" s="13" t="inlineStr">
        <is>
          <t>Learner</t>
        </is>
      </c>
      <c r="D123" s="13" t="inlineStr">
        <is>
          <t>—</t>
        </is>
      </c>
      <c r="E123" s="13" t="inlineStr">
        <is>
          <t>The learner is signed in.</t>
        </is>
      </c>
      <c r="F123" s="13" t="inlineStr">
        <is>
          <t>The learner sees their flashcards.</t>
        </is>
      </c>
      <c r="G123" s="13" t="inlineStr">
        <is>
          <t>FT-43</t>
        </is>
      </c>
      <c r="H123" s="13" t="inlineStr">
        <is>
          <t>—</t>
        </is>
      </c>
      <c r="I123" s="13" t="inlineStr">
        <is>
          <t>Low</t>
        </is>
      </c>
      <c r="J123" s="13" t="inlineStr">
        <is>
          <t>Specified</t>
        </is>
      </c>
      <c r="K123" s="13" t="inlineStr">
        <is>
          <t>Group: Library &amp; Community. Diagram UC: Manage notes and flashcards.</t>
        </is>
      </c>
    </row>
    <row r="124" s="31">
      <c r="A124" s="10" t="inlineStr">
        <is>
          <t>UC-121</t>
        </is>
      </c>
      <c r="B124" s="11" t="inlineStr">
        <is>
          <t>View flashcard</t>
        </is>
      </c>
      <c r="C124" s="11" t="inlineStr">
        <is>
          <t>Learner</t>
        </is>
      </c>
      <c r="D124" s="11" t="inlineStr">
        <is>
          <t>—</t>
        </is>
      </c>
      <c r="E124" s="11" t="inlineStr">
        <is>
          <t>The flashcard belongs to the learner.</t>
        </is>
      </c>
      <c r="F124" s="11" t="inlineStr">
        <is>
          <t>The learner sees the flashcard.</t>
        </is>
      </c>
      <c r="G124" s="11" t="inlineStr">
        <is>
          <t>FT-43</t>
        </is>
      </c>
      <c r="H124" s="11" t="inlineStr">
        <is>
          <t>—</t>
        </is>
      </c>
      <c r="I124" s="11" t="inlineStr">
        <is>
          <t>Low</t>
        </is>
      </c>
      <c r="J124" s="11" t="inlineStr">
        <is>
          <t>Specified</t>
        </is>
      </c>
      <c r="K124" s="11" t="inlineStr">
        <is>
          <t>Group: Library &amp; Community. Diagram UC: Manage notes and flashcards.</t>
        </is>
      </c>
    </row>
    <row r="125" s="31">
      <c r="A125" s="12" t="inlineStr">
        <is>
          <t>UC-122</t>
        </is>
      </c>
      <c r="B125" s="13" t="inlineStr">
        <is>
          <t>Create flashcard</t>
        </is>
      </c>
      <c r="C125" s="13" t="inlineStr">
        <is>
          <t>Learner</t>
        </is>
      </c>
      <c r="D125" s="13" t="inlineStr">
        <is>
          <t>—</t>
        </is>
      </c>
      <c r="E125" s="13" t="inlineStr">
        <is>
          <t>The learner is signed in.</t>
        </is>
      </c>
      <c r="F125" s="13" t="inlineStr">
        <is>
          <t>A flashcard is stored; saving the same practice question twice keeps one card.</t>
        </is>
      </c>
      <c r="G125" s="13" t="inlineStr">
        <is>
          <t>FT-43</t>
        </is>
      </c>
      <c r="H125" s="13" t="inlineStr">
        <is>
          <t>—</t>
        </is>
      </c>
      <c r="I125" s="13" t="inlineStr">
        <is>
          <t>Low</t>
        </is>
      </c>
      <c r="J125" s="13" t="inlineStr">
        <is>
          <t>Specified</t>
        </is>
      </c>
      <c r="K125" s="13" t="inlineStr">
        <is>
          <t>Group: Library &amp; Community. Diagram UC: Manage notes and flashcards.</t>
        </is>
      </c>
    </row>
    <row r="126" s="31">
      <c r="A126" s="10" t="inlineStr">
        <is>
          <t>UC-123</t>
        </is>
      </c>
      <c r="B126" s="11" t="inlineStr">
        <is>
          <t>Update flashcard</t>
        </is>
      </c>
      <c r="C126" s="11" t="inlineStr">
        <is>
          <t>Learner</t>
        </is>
      </c>
      <c r="D126" s="11" t="inlineStr">
        <is>
          <t>—</t>
        </is>
      </c>
      <c r="E126" s="11" t="inlineStr">
        <is>
          <t>The flashcard belongs to the learner.</t>
        </is>
      </c>
      <c r="F126" s="11" t="inlineStr">
        <is>
          <t>The flashcard is updated.</t>
        </is>
      </c>
      <c r="G126" s="11" t="inlineStr">
        <is>
          <t>FT-43</t>
        </is>
      </c>
      <c r="H126" s="11" t="inlineStr">
        <is>
          <t>—</t>
        </is>
      </c>
      <c r="I126" s="11" t="inlineStr">
        <is>
          <t>Low</t>
        </is>
      </c>
      <c r="J126" s="11" t="inlineStr">
        <is>
          <t>Specified</t>
        </is>
      </c>
      <c r="K126" s="11" t="inlineStr">
        <is>
          <t>Group: Library &amp; Community. Diagram UC: Manage notes and flashcards.</t>
        </is>
      </c>
    </row>
    <row r="127" s="31">
      <c r="A127" s="12" t="inlineStr">
        <is>
          <t>UC-124</t>
        </is>
      </c>
      <c r="B127" s="13" t="inlineStr">
        <is>
          <t>Delete flashcard</t>
        </is>
      </c>
      <c r="C127" s="13" t="inlineStr">
        <is>
          <t>Learner</t>
        </is>
      </c>
      <c r="D127" s="13" t="inlineStr">
        <is>
          <t>—</t>
        </is>
      </c>
      <c r="E127" s="13" t="inlineStr">
        <is>
          <t>The flashcard belongs to the learner.</t>
        </is>
      </c>
      <c r="F127" s="13" t="inlineStr">
        <is>
          <t>The flashcard is removed.</t>
        </is>
      </c>
      <c r="G127" s="13" t="inlineStr">
        <is>
          <t>FT-43</t>
        </is>
      </c>
      <c r="H127" s="13" t="inlineStr">
        <is>
          <t>—</t>
        </is>
      </c>
      <c r="I127" s="13" t="inlineStr">
        <is>
          <t>Low</t>
        </is>
      </c>
      <c r="J127" s="13" t="inlineStr">
        <is>
          <t>Specified</t>
        </is>
      </c>
      <c r="K127" s="13" t="inlineStr">
        <is>
          <t>Group: Library &amp; Community. Diagram UC: Manage notes and flashcards.</t>
        </is>
      </c>
    </row>
    <row r="128" s="31">
      <c r="A128" s="10" t="inlineStr">
        <is>
          <t>UC-125</t>
        </is>
      </c>
      <c r="B128" s="11" t="inlineStr">
        <is>
          <t>View decks</t>
        </is>
      </c>
      <c r="C128" s="11" t="inlineStr">
        <is>
          <t>Learner</t>
        </is>
      </c>
      <c r="D128" s="11" t="inlineStr">
        <is>
          <t>—</t>
        </is>
      </c>
      <c r="E128" s="11" t="inlineStr">
        <is>
          <t>The learner is signed in.</t>
        </is>
      </c>
      <c r="F128" s="11" t="inlineStr">
        <is>
          <t>The learner sees their decks.</t>
        </is>
      </c>
      <c r="G128" s="11" t="inlineStr">
        <is>
          <t>FT-43</t>
        </is>
      </c>
      <c r="H128" s="11" t="inlineStr">
        <is>
          <t>—</t>
        </is>
      </c>
      <c r="I128" s="11" t="inlineStr">
        <is>
          <t>Low</t>
        </is>
      </c>
      <c r="J128" s="11" t="inlineStr">
        <is>
          <t>Specified</t>
        </is>
      </c>
      <c r="K128" s="11" t="inlineStr">
        <is>
          <t>Group: Library &amp; Community. Diagram UC: Manage notes and flashcards.</t>
        </is>
      </c>
    </row>
    <row r="129" s="31">
      <c r="A129" s="12" t="inlineStr">
        <is>
          <t>UC-126</t>
        </is>
      </c>
      <c r="B129" s="13" t="inlineStr">
        <is>
          <t>View deck</t>
        </is>
      </c>
      <c r="C129" s="13" t="inlineStr">
        <is>
          <t>Learner</t>
        </is>
      </c>
      <c r="D129" s="13" t="inlineStr">
        <is>
          <t>—</t>
        </is>
      </c>
      <c r="E129" s="13" t="inlineStr">
        <is>
          <t>The deck belongs to the learner.</t>
        </is>
      </c>
      <c r="F129" s="13" t="inlineStr">
        <is>
          <t>The learner sees the deck.</t>
        </is>
      </c>
      <c r="G129" s="13" t="inlineStr">
        <is>
          <t>FT-43</t>
        </is>
      </c>
      <c r="H129" s="13" t="inlineStr">
        <is>
          <t>—</t>
        </is>
      </c>
      <c r="I129" s="13" t="inlineStr">
        <is>
          <t>Low</t>
        </is>
      </c>
      <c r="J129" s="13" t="inlineStr">
        <is>
          <t>Specified</t>
        </is>
      </c>
      <c r="K129" s="13" t="inlineStr">
        <is>
          <t>Group: Library &amp; Community. Diagram UC: Manage notes and flashcards.</t>
        </is>
      </c>
    </row>
    <row r="130" s="31">
      <c r="A130" s="10" t="inlineStr">
        <is>
          <t>UC-127</t>
        </is>
      </c>
      <c r="B130" s="11" t="inlineStr">
        <is>
          <t>Create deck</t>
        </is>
      </c>
      <c r="C130" s="11" t="inlineStr">
        <is>
          <t>Learner</t>
        </is>
      </c>
      <c r="D130" s="11" t="inlineStr">
        <is>
          <t>—</t>
        </is>
      </c>
      <c r="E130" s="11" t="inlineStr">
        <is>
          <t>The learner is signed in.</t>
        </is>
      </c>
      <c r="F130" s="11" t="inlineStr">
        <is>
          <t>A deck is stored.</t>
        </is>
      </c>
      <c r="G130" s="11" t="inlineStr">
        <is>
          <t>FT-43</t>
        </is>
      </c>
      <c r="H130" s="11" t="inlineStr">
        <is>
          <t>—</t>
        </is>
      </c>
      <c r="I130" s="11" t="inlineStr">
        <is>
          <t>Low</t>
        </is>
      </c>
      <c r="J130" s="11" t="inlineStr">
        <is>
          <t>Specified</t>
        </is>
      </c>
      <c r="K130" s="11" t="inlineStr">
        <is>
          <t>Group: Library &amp; Community. Diagram UC: Manage notes and flashcards.</t>
        </is>
      </c>
    </row>
    <row r="131" s="31">
      <c r="A131" s="12" t="inlineStr">
        <is>
          <t>UC-128</t>
        </is>
      </c>
      <c r="B131" s="13" t="inlineStr">
        <is>
          <t>Update deck</t>
        </is>
      </c>
      <c r="C131" s="13" t="inlineStr">
        <is>
          <t>Learner</t>
        </is>
      </c>
      <c r="D131" s="13" t="inlineStr">
        <is>
          <t>—</t>
        </is>
      </c>
      <c r="E131" s="13" t="inlineStr">
        <is>
          <t>The deck belongs to the learner.</t>
        </is>
      </c>
      <c r="F131" s="13" t="inlineStr">
        <is>
          <t>The deck is updated.</t>
        </is>
      </c>
      <c r="G131" s="13" t="inlineStr">
        <is>
          <t>FT-43</t>
        </is>
      </c>
      <c r="H131" s="13" t="inlineStr">
        <is>
          <t>—</t>
        </is>
      </c>
      <c r="I131" s="13" t="inlineStr">
        <is>
          <t>Low</t>
        </is>
      </c>
      <c r="J131" s="13" t="inlineStr">
        <is>
          <t>Specified</t>
        </is>
      </c>
      <c r="K131" s="13" t="inlineStr">
        <is>
          <t>Group: Library &amp; Community. Diagram UC: Manage notes and flashcards.</t>
        </is>
      </c>
    </row>
    <row r="132" s="31">
      <c r="A132" s="10" t="inlineStr">
        <is>
          <t>UC-129</t>
        </is>
      </c>
      <c r="B132" s="11" t="inlineStr">
        <is>
          <t>Delete deck</t>
        </is>
      </c>
      <c r="C132" s="11" t="inlineStr">
        <is>
          <t>Learner</t>
        </is>
      </c>
      <c r="D132" s="11" t="inlineStr">
        <is>
          <t>—</t>
        </is>
      </c>
      <c r="E132" s="11" t="inlineStr">
        <is>
          <t>The deck belongs to the learner.</t>
        </is>
      </c>
      <c r="F132" s="11" t="inlineStr">
        <is>
          <t>The deck is removed.</t>
        </is>
      </c>
      <c r="G132" s="11" t="inlineStr">
        <is>
          <t>FT-43</t>
        </is>
      </c>
      <c r="H132" s="11" t="inlineStr">
        <is>
          <t>—</t>
        </is>
      </c>
      <c r="I132" s="11" t="inlineStr">
        <is>
          <t>Low</t>
        </is>
      </c>
      <c r="J132" s="11" t="inlineStr">
        <is>
          <t>Specified</t>
        </is>
      </c>
      <c r="K132" s="11" t="inlineStr">
        <is>
          <t>Group: Library &amp; Community. Diagram UC: Manage notes and flashcards.</t>
        </is>
      </c>
    </row>
    <row r="133" s="31">
      <c r="A133" s="12" t="inlineStr">
        <is>
          <t>UC-130</t>
        </is>
      </c>
      <c r="B133" s="13" t="inlineStr">
        <is>
          <t>Add flashcard to deck</t>
        </is>
      </c>
      <c r="C133" s="13" t="inlineStr">
        <is>
          <t>Learner</t>
        </is>
      </c>
      <c r="D133" s="13" t="inlineStr">
        <is>
          <t>—</t>
        </is>
      </c>
      <c r="E133" s="13" t="inlineStr">
        <is>
          <t>The deck and the flashcard belong to the learner.</t>
        </is>
      </c>
      <c r="F133" s="13" t="inlineStr">
        <is>
          <t>The flashcard is in the deck once.</t>
        </is>
      </c>
      <c r="G133" s="13" t="inlineStr">
        <is>
          <t>FT-43</t>
        </is>
      </c>
      <c r="H133" s="13" t="inlineStr">
        <is>
          <t>—</t>
        </is>
      </c>
      <c r="I133" s="13" t="inlineStr">
        <is>
          <t>Low</t>
        </is>
      </c>
      <c r="J133" s="13" t="inlineStr">
        <is>
          <t>Specified</t>
        </is>
      </c>
      <c r="K133" s="13" t="inlineStr">
        <is>
          <t>Group: Library &amp; Community. Diagram UC: Manage notes and flashcards.</t>
        </is>
      </c>
    </row>
    <row r="134" s="31">
      <c r="A134" s="10" t="inlineStr">
        <is>
          <t>UC-131</t>
        </is>
      </c>
      <c r="B134" s="11" t="inlineStr">
        <is>
          <t>View deck items</t>
        </is>
      </c>
      <c r="C134" s="11" t="inlineStr">
        <is>
          <t>Learner</t>
        </is>
      </c>
      <c r="D134" s="11" t="inlineStr">
        <is>
          <t>—</t>
        </is>
      </c>
      <c r="E134" s="11" t="inlineStr">
        <is>
          <t>The deck belongs to the learner.</t>
        </is>
      </c>
      <c r="F134" s="11" t="inlineStr">
        <is>
          <t>The learner sees the flashcards of the deck.</t>
        </is>
      </c>
      <c r="G134" s="11" t="inlineStr">
        <is>
          <t>FT-43</t>
        </is>
      </c>
      <c r="H134" s="11" t="inlineStr">
        <is>
          <t>—</t>
        </is>
      </c>
      <c r="I134" s="11" t="inlineStr">
        <is>
          <t>Low</t>
        </is>
      </c>
      <c r="J134" s="11" t="inlineStr">
        <is>
          <t>Specified</t>
        </is>
      </c>
      <c r="K134" s="11" t="inlineStr">
        <is>
          <t>Group: Library &amp; Community. Diagram UC: Manage notes and flashcards.</t>
        </is>
      </c>
    </row>
    <row r="135" s="31">
      <c r="A135" s="12" t="inlineStr">
        <is>
          <t>UC-132</t>
        </is>
      </c>
      <c r="B135" s="13" t="inlineStr">
        <is>
          <t>Remove flashcard from deck</t>
        </is>
      </c>
      <c r="C135" s="13" t="inlineStr">
        <is>
          <t>Learner</t>
        </is>
      </c>
      <c r="D135" s="13" t="inlineStr">
        <is>
          <t>—</t>
        </is>
      </c>
      <c r="E135" s="13" t="inlineStr">
        <is>
          <t>The flashcard is in the deck.</t>
        </is>
      </c>
      <c r="F135" s="13" t="inlineStr">
        <is>
          <t>The flashcard leaves the deck.</t>
        </is>
      </c>
      <c r="G135" s="13" t="inlineStr">
        <is>
          <t>FT-43</t>
        </is>
      </c>
      <c r="H135" s="13" t="inlineStr">
        <is>
          <t>—</t>
        </is>
      </c>
      <c r="I135" s="13" t="inlineStr">
        <is>
          <t>Low</t>
        </is>
      </c>
      <c r="J135" s="13" t="inlineStr">
        <is>
          <t>Specified</t>
        </is>
      </c>
      <c r="K135" s="13" t="inlineStr">
        <is>
          <t>Group: Library &amp; Community. Diagram UC: Manage notes and flashcards.</t>
        </is>
      </c>
    </row>
    <row r="136" s="31">
      <c r="A136" s="10" t="inlineStr">
        <is>
          <t>UC-133</t>
        </is>
      </c>
      <c r="B136" s="11" t="inlineStr">
        <is>
          <t>Start single-player game</t>
        </is>
      </c>
      <c r="C136" s="11" t="inlineStr">
        <is>
          <t>Learner</t>
        </is>
      </c>
      <c r="D136" s="11" t="inlineStr">
        <is>
          <t>—</t>
        </is>
      </c>
      <c r="E136" s="11" t="inlineStr">
        <is>
          <t>Vocabulary or grammar content exists for the game type.</t>
        </is>
      </c>
      <c r="F136" s="11" t="inlineStr">
        <is>
          <t>A session starts on a frozen content snapshot.</t>
        </is>
      </c>
      <c r="G136" s="11" t="inlineStr">
        <is>
          <t>FT-46</t>
        </is>
      </c>
      <c r="H136" s="11" t="inlineStr">
        <is>
          <t>—</t>
        </is>
      </c>
      <c r="I136" s="11" t="inlineStr">
        <is>
          <t>Low</t>
        </is>
      </c>
      <c r="J136" s="11" t="inlineStr">
        <is>
          <t>Specified</t>
        </is>
      </c>
      <c r="K136" s="11" t="inlineStr">
        <is>
          <t>Group: Library &amp; Community. Diagram UC: Play game.</t>
        </is>
      </c>
    </row>
    <row r="137" s="31">
      <c r="A137" s="12" t="inlineStr">
        <is>
          <t>UC-134</t>
        </is>
      </c>
      <c r="B137" s="13" t="inlineStr">
        <is>
          <t>Answer game question</t>
        </is>
      </c>
      <c r="C137" s="13" t="inlineStr">
        <is>
          <t>Learner</t>
        </is>
      </c>
      <c r="D137" s="13" t="inlineStr">
        <is>
          <t>—</t>
        </is>
      </c>
      <c r="E137" s="13" t="inlineStr">
        <is>
          <t>The session is in progress.</t>
        </is>
      </c>
      <c r="F137" s="13" t="inlineStr">
        <is>
          <t>The answer is scored (1 point per correct answer).</t>
        </is>
      </c>
      <c r="G137" s="13" t="inlineStr">
        <is>
          <t>FT-46</t>
        </is>
      </c>
      <c r="H137" s="13" t="inlineStr">
        <is>
          <t>—</t>
        </is>
      </c>
      <c r="I137" s="13" t="inlineStr">
        <is>
          <t>Low</t>
        </is>
      </c>
      <c r="J137" s="13" t="inlineStr">
        <is>
          <t>Specified</t>
        </is>
      </c>
      <c r="K137" s="13" t="inlineStr">
        <is>
          <t>Group: Library &amp; Community. Diagram UC: Play game.</t>
        </is>
      </c>
    </row>
    <row r="138" s="31">
      <c r="A138" s="10" t="inlineStr">
        <is>
          <t>UC-135</t>
        </is>
      </c>
      <c r="B138" s="11" t="inlineStr">
        <is>
          <t>View game session</t>
        </is>
      </c>
      <c r="C138" s="11" t="inlineStr">
        <is>
          <t>Learner</t>
        </is>
      </c>
      <c r="D138" s="11" t="inlineStr">
        <is>
          <t>—</t>
        </is>
      </c>
      <c r="E138" s="11" t="inlineStr">
        <is>
          <t>The session belongs to the learner.</t>
        </is>
      </c>
      <c r="F138" s="11" t="inlineStr">
        <is>
          <t>The learner sees the session and its score.</t>
        </is>
      </c>
      <c r="G138" s="11" t="inlineStr">
        <is>
          <t>FT-46</t>
        </is>
      </c>
      <c r="H138" s="11" t="inlineStr">
        <is>
          <t>—</t>
        </is>
      </c>
      <c r="I138" s="11" t="inlineStr">
        <is>
          <t>Low</t>
        </is>
      </c>
      <c r="J138" s="11" t="inlineStr">
        <is>
          <t>Specified</t>
        </is>
      </c>
      <c r="K138" s="11" t="inlineStr">
        <is>
          <t>Group: Library &amp; Community. Diagram UC: Play game.</t>
        </is>
      </c>
    </row>
    <row r="139" s="31">
      <c r="A139" s="12" t="inlineStr">
        <is>
          <t>UC-136</t>
        </is>
      </c>
      <c r="B139" s="13" t="inlineStr">
        <is>
          <t>View game history</t>
        </is>
      </c>
      <c r="C139" s="13" t="inlineStr">
        <is>
          <t>Learner</t>
        </is>
      </c>
      <c r="D139" s="13" t="inlineStr">
        <is>
          <t>—</t>
        </is>
      </c>
      <c r="E139" s="13" t="inlineStr">
        <is>
          <t>The learner is signed in.</t>
        </is>
      </c>
      <c r="F139" s="13" t="inlineStr">
        <is>
          <t>The learner sees their past sessions.</t>
        </is>
      </c>
      <c r="G139" s="13" t="inlineStr">
        <is>
          <t>FT-46</t>
        </is>
      </c>
      <c r="H139" s="13" t="inlineStr">
        <is>
          <t>—</t>
        </is>
      </c>
      <c r="I139" s="13" t="inlineStr">
        <is>
          <t>Low</t>
        </is>
      </c>
      <c r="J139" s="13" t="inlineStr">
        <is>
          <t>Specified</t>
        </is>
      </c>
      <c r="K139" s="13" t="inlineStr">
        <is>
          <t>Group: Library &amp; Community. Diagram UC: Play game.</t>
        </is>
      </c>
    </row>
    <row r="140" s="31">
      <c r="A140" s="10" t="inlineStr">
        <is>
          <t>UC-137</t>
        </is>
      </c>
      <c r="B140" s="11" t="inlineStr">
        <is>
          <t>Abandon game session</t>
        </is>
      </c>
      <c r="C140" s="11" t="inlineStr">
        <is>
          <t>Learner</t>
        </is>
      </c>
      <c r="D140" s="11" t="inlineStr">
        <is>
          <t>—</t>
        </is>
      </c>
      <c r="E140" s="11" t="inlineStr">
        <is>
          <t>The session is in progress.</t>
        </is>
      </c>
      <c r="F140" s="11" t="inlineStr">
        <is>
          <t>The session ends as abandoned.</t>
        </is>
      </c>
      <c r="G140" s="11" t="inlineStr">
        <is>
          <t>FT-46</t>
        </is>
      </c>
      <c r="H140" s="11" t="inlineStr">
        <is>
          <t>—</t>
        </is>
      </c>
      <c r="I140" s="11" t="inlineStr">
        <is>
          <t>Low</t>
        </is>
      </c>
      <c r="J140" s="11" t="inlineStr">
        <is>
          <t>Specified</t>
        </is>
      </c>
      <c r="K140" s="11" t="inlineStr">
        <is>
          <t>Group: Library &amp; Community. Diagram UC: Play game.</t>
        </is>
      </c>
    </row>
    <row r="141" s="31">
      <c r="A141" s="12" t="inlineStr">
        <is>
          <t>UC-138</t>
        </is>
      </c>
      <c r="B141" s="13" t="inlineStr">
        <is>
          <t>Create game room</t>
        </is>
      </c>
      <c r="C141" s="13" t="inlineStr">
        <is>
          <t>Learner</t>
        </is>
      </c>
      <c r="D141" s="13" t="inlineStr">
        <is>
          <t>—</t>
        </is>
      </c>
      <c r="E141" s="13" t="inlineStr">
        <is>
          <t>The learner is signed in.</t>
        </is>
      </c>
      <c r="F141" s="13" t="inlineStr">
        <is>
          <t>A room with a room code is created and the learner is its host.</t>
        </is>
      </c>
      <c r="G141" s="13" t="inlineStr">
        <is>
          <t>FT-47</t>
        </is>
      </c>
      <c r="H141" s="13" t="inlineStr">
        <is>
          <t>—</t>
        </is>
      </c>
      <c r="I141" s="13" t="inlineStr">
        <is>
          <t>Low</t>
        </is>
      </c>
      <c r="J141" s="13" t="inlineStr">
        <is>
          <t>Specified</t>
        </is>
      </c>
      <c r="K141" s="13" t="inlineStr">
        <is>
          <t>Group: Library &amp; Community. Diagram UC: Play game.</t>
        </is>
      </c>
    </row>
    <row r="142" s="31">
      <c r="A142" s="10" t="inlineStr">
        <is>
          <t>UC-139</t>
        </is>
      </c>
      <c r="B142" s="11" t="inlineStr">
        <is>
          <t>View game room</t>
        </is>
      </c>
      <c r="C142" s="11" t="inlineStr">
        <is>
          <t>Learner</t>
        </is>
      </c>
      <c r="D142" s="11" t="inlineStr">
        <is>
          <t>—</t>
        </is>
      </c>
      <c r="E142" s="11" t="inlineStr">
        <is>
          <t>The room exists.</t>
        </is>
      </c>
      <c r="F142" s="11" t="inlineStr">
        <is>
          <t>The learner sees the room and its members.</t>
        </is>
      </c>
      <c r="G142" s="11" t="inlineStr">
        <is>
          <t>FT-47</t>
        </is>
      </c>
      <c r="H142" s="11" t="inlineStr">
        <is>
          <t>—</t>
        </is>
      </c>
      <c r="I142" s="11" t="inlineStr">
        <is>
          <t>Low</t>
        </is>
      </c>
      <c r="J142" s="11" t="inlineStr">
        <is>
          <t>Specified</t>
        </is>
      </c>
      <c r="K142" s="11" t="inlineStr">
        <is>
          <t>Group: Library &amp; Community. Diagram UC: Play game.</t>
        </is>
      </c>
    </row>
    <row r="143" s="31">
      <c r="A143" s="12" t="inlineStr">
        <is>
          <t>UC-140</t>
        </is>
      </c>
      <c r="B143" s="13" t="inlineStr">
        <is>
          <t>Find room by code</t>
        </is>
      </c>
      <c r="C143" s="13" t="inlineStr">
        <is>
          <t>Learner</t>
        </is>
      </c>
      <c r="D143" s="13" t="inlineStr">
        <is>
          <t>—</t>
        </is>
      </c>
      <c r="E143" s="13" t="inlineStr">
        <is>
          <t>The learner has a room code.</t>
        </is>
      </c>
      <c r="F143" s="13" t="inlineStr">
        <is>
          <t>The learner sees the room of that code.</t>
        </is>
      </c>
      <c r="G143" s="13" t="inlineStr">
        <is>
          <t>FT-47</t>
        </is>
      </c>
      <c r="H143" s="13" t="inlineStr">
        <is>
          <t>—</t>
        </is>
      </c>
      <c r="I143" s="13" t="inlineStr">
        <is>
          <t>Low</t>
        </is>
      </c>
      <c r="J143" s="13" t="inlineStr">
        <is>
          <t>Specified</t>
        </is>
      </c>
      <c r="K143" s="13" t="inlineStr">
        <is>
          <t>Group: Library &amp; Community. Diagram UC: Play game.</t>
        </is>
      </c>
    </row>
    <row r="144" s="31">
      <c r="A144" s="10" t="inlineStr">
        <is>
          <t>UC-141</t>
        </is>
      </c>
      <c r="B144" s="11" t="inlineStr">
        <is>
          <t>Join game room</t>
        </is>
      </c>
      <c r="C144" s="11" t="inlineStr">
        <is>
          <t>Learner</t>
        </is>
      </c>
      <c r="D144" s="11" t="inlineStr">
        <is>
          <t>—</t>
        </is>
      </c>
      <c r="E144" s="11" t="inlineStr">
        <is>
          <t>The room is open and has fewer than 32 players.</t>
        </is>
      </c>
      <c r="F144" s="11" t="inlineStr">
        <is>
          <t>The learner is a member of the room.</t>
        </is>
      </c>
      <c r="G144" s="11" t="inlineStr">
        <is>
          <t>FT-47</t>
        </is>
      </c>
      <c r="H144" s="11" t="inlineStr">
        <is>
          <t>—</t>
        </is>
      </c>
      <c r="I144" s="11" t="inlineStr">
        <is>
          <t>Low</t>
        </is>
      </c>
      <c r="J144" s="11" t="inlineStr">
        <is>
          <t>Specified</t>
        </is>
      </c>
      <c r="K144" s="11" t="inlineStr">
        <is>
          <t>Group: Library &amp; Community. Diagram UC: Play game.</t>
        </is>
      </c>
    </row>
    <row r="145" s="31">
      <c r="A145" s="12" t="inlineStr">
        <is>
          <t>UC-142</t>
        </is>
      </c>
      <c r="B145" s="13" t="inlineStr">
        <is>
          <t>Join room by code</t>
        </is>
      </c>
      <c r="C145" s="13" t="inlineStr">
        <is>
          <t>Learner</t>
        </is>
      </c>
      <c r="D145" s="13" t="inlineStr">
        <is>
          <t>—</t>
        </is>
      </c>
      <c r="E145" s="13" t="inlineStr">
        <is>
          <t>The learner has the code of an open room.</t>
        </is>
      </c>
      <c r="F145" s="13" t="inlineStr">
        <is>
          <t>The learner is a member of the room.</t>
        </is>
      </c>
      <c r="G145" s="13" t="inlineStr">
        <is>
          <t>FT-47</t>
        </is>
      </c>
      <c r="H145" s="13" t="inlineStr">
        <is>
          <t>—</t>
        </is>
      </c>
      <c r="I145" s="13" t="inlineStr">
        <is>
          <t>Low</t>
        </is>
      </c>
      <c r="J145" s="13" t="inlineStr">
        <is>
          <t>Specified</t>
        </is>
      </c>
      <c r="K145" s="13" t="inlineStr">
        <is>
          <t>Group: Library &amp; Community. Diagram UC: Play game.</t>
        </is>
      </c>
    </row>
    <row r="146" s="31">
      <c r="A146" s="10" t="inlineStr">
        <is>
          <t>UC-143</t>
        </is>
      </c>
      <c r="B146" s="11" t="inlineStr">
        <is>
          <t>Mark ready</t>
        </is>
      </c>
      <c r="C146" s="11" t="inlineStr">
        <is>
          <t>Learner</t>
        </is>
      </c>
      <c r="D146" s="11" t="inlineStr">
        <is>
          <t>—</t>
        </is>
      </c>
      <c r="E146" s="11" t="inlineStr">
        <is>
          <t>The learner is a room member.</t>
        </is>
      </c>
      <c r="F146" s="11" t="inlineStr">
        <is>
          <t>The learner is marked ready.</t>
        </is>
      </c>
      <c r="G146" s="11" t="inlineStr">
        <is>
          <t>FT-47</t>
        </is>
      </c>
      <c r="H146" s="11" t="inlineStr">
        <is>
          <t>—</t>
        </is>
      </c>
      <c r="I146" s="11" t="inlineStr">
        <is>
          <t>Low</t>
        </is>
      </c>
      <c r="J146" s="11" t="inlineStr">
        <is>
          <t>Specified</t>
        </is>
      </c>
      <c r="K146" s="11" t="inlineStr">
        <is>
          <t>Group: Library &amp; Community. Diagram UC: Play game.</t>
        </is>
      </c>
    </row>
    <row r="147" s="31">
      <c r="A147" s="12" t="inlineStr">
        <is>
          <t>UC-144</t>
        </is>
      </c>
      <c r="B147" s="13" t="inlineStr">
        <is>
          <t>Leave game room</t>
        </is>
      </c>
      <c r="C147" s="13" t="inlineStr">
        <is>
          <t>Learner</t>
        </is>
      </c>
      <c r="D147" s="13" t="inlineStr">
        <is>
          <t>—</t>
        </is>
      </c>
      <c r="E147" s="13" t="inlineStr">
        <is>
          <t>The learner is a room member.</t>
        </is>
      </c>
      <c r="F147" s="13" t="inlineStr">
        <is>
          <t>The learner leaves the room.</t>
        </is>
      </c>
      <c r="G147" s="13" t="inlineStr">
        <is>
          <t>FT-47</t>
        </is>
      </c>
      <c r="H147" s="13" t="inlineStr">
        <is>
          <t>—</t>
        </is>
      </c>
      <c r="I147" s="13" t="inlineStr">
        <is>
          <t>Low</t>
        </is>
      </c>
      <c r="J147" s="13" t="inlineStr">
        <is>
          <t>Specified</t>
        </is>
      </c>
      <c r="K147" s="13" t="inlineStr">
        <is>
          <t>Group: Library &amp; Community. Diagram UC: Play game.</t>
        </is>
      </c>
    </row>
    <row r="148" s="31">
      <c r="A148" s="10" t="inlineStr">
        <is>
          <t>UC-145</t>
        </is>
      </c>
      <c r="B148" s="11" t="inlineStr">
        <is>
          <t>Close game room</t>
        </is>
      </c>
      <c r="C148" s="11" t="inlineStr">
        <is>
          <t>Learner</t>
        </is>
      </c>
      <c r="D148" s="11" t="inlineStr">
        <is>
          <t>—</t>
        </is>
      </c>
      <c r="E148" s="11" t="inlineStr">
        <is>
          <t>The learner hosts the room.</t>
        </is>
      </c>
      <c r="F148" s="11" t="inlineStr">
        <is>
          <t>The room is closed.</t>
        </is>
      </c>
      <c r="G148" s="11" t="inlineStr">
        <is>
          <t>FT-47</t>
        </is>
      </c>
      <c r="H148" s="11" t="inlineStr">
        <is>
          <t>—</t>
        </is>
      </c>
      <c r="I148" s="11" t="inlineStr">
        <is>
          <t>Low</t>
        </is>
      </c>
      <c r="J148" s="11" t="inlineStr">
        <is>
          <t>Specified</t>
        </is>
      </c>
      <c r="K148" s="11" t="inlineStr">
        <is>
          <t>Group: Library &amp; Community. Diagram UC: Play game.</t>
        </is>
      </c>
    </row>
    <row r="149" s="31">
      <c r="A149" s="12" t="inlineStr">
        <is>
          <t>UC-146</t>
        </is>
      </c>
      <c r="B149" s="13" t="inlineStr">
        <is>
          <t>Play multiplayer match</t>
        </is>
      </c>
      <c r="C149" s="13" t="inlineStr">
        <is>
          <t>Learner</t>
        </is>
      </c>
      <c r="D149" s="13" t="inlineStr">
        <is>
          <t>—</t>
        </is>
      </c>
      <c r="E149" s="13" t="inlineStr">
        <is>
          <t>The host starts the room with at least 2 ready members.</t>
        </is>
      </c>
      <c r="F149" s="13" t="inlineStr">
        <is>
          <t>Members answer the same snapshot in real time over WebSocket; the match result is recorded.</t>
        </is>
      </c>
      <c r="G149" s="13" t="inlineStr">
        <is>
          <t>FT-47</t>
        </is>
      </c>
      <c r="H149" s="13" t="inlineStr">
        <is>
          <t>—</t>
        </is>
      </c>
      <c r="I149" s="13" t="inlineStr">
        <is>
          <t>Low</t>
        </is>
      </c>
      <c r="J149" s="13" t="inlineStr">
        <is>
          <t>Specified</t>
        </is>
      </c>
      <c r="K149" s="13" t="inlineStr">
        <is>
          <t>Group: Library &amp; Community. Diagram UC: Play game. The WebSocket uses a single-use ticket valid for 30 seconds.</t>
        </is>
      </c>
    </row>
    <row r="150" s="31">
      <c r="A150" s="10" t="inlineStr">
        <is>
          <t>UC-147</t>
        </is>
      </c>
      <c r="B150" s="11" t="inlineStr">
        <is>
          <t>View match result</t>
        </is>
      </c>
      <c r="C150" s="11" t="inlineStr">
        <is>
          <t>Learner</t>
        </is>
      </c>
      <c r="D150" s="11" t="inlineStr">
        <is>
          <t>—</t>
        </is>
      </c>
      <c r="E150" s="11" t="inlineStr">
        <is>
          <t>The learner played the match.</t>
        </is>
      </c>
      <c r="F150" s="11" t="inlineStr">
        <is>
          <t>The learner sees the ranking and scores.</t>
        </is>
      </c>
      <c r="G150" s="11" t="inlineStr">
        <is>
          <t>FT-47</t>
        </is>
      </c>
      <c r="H150" s="11" t="inlineStr">
        <is>
          <t>—</t>
        </is>
      </c>
      <c r="I150" s="11" t="inlineStr">
        <is>
          <t>Low</t>
        </is>
      </c>
      <c r="J150" s="11" t="inlineStr">
        <is>
          <t>Specified</t>
        </is>
      </c>
      <c r="K150" s="11" t="inlineStr">
        <is>
          <t>Group: Library &amp; Community. Diagram UC: Play game.</t>
        </is>
      </c>
    </row>
    <row r="151" s="31">
      <c r="A151" s="12" t="inlineStr">
        <is>
          <t>UC-148</t>
        </is>
      </c>
      <c r="B151" s="13" t="inlineStr">
        <is>
          <t>Find a match automatically</t>
        </is>
      </c>
      <c r="C151" s="13" t="inlineStr">
        <is>
          <t>Learner</t>
        </is>
      </c>
      <c r="D151" s="13" t="inlineStr">
        <is>
          <t>—</t>
        </is>
      </c>
      <c r="E151" s="13" t="inlineStr">
        <is>
          <t>The learner is signed in.</t>
        </is>
      </c>
      <c r="F151" s="13" t="inlineStr">
        <is>
          <t>The learner is matched with one other learner within 60 seconds.</t>
        </is>
      </c>
      <c r="G151" s="13" t="inlineStr">
        <is>
          <t>FT-48</t>
        </is>
      </c>
      <c r="H151" s="13" t="inlineStr">
        <is>
          <t>—</t>
        </is>
      </c>
      <c r="I151" s="13" t="inlineStr">
        <is>
          <t>Low</t>
        </is>
      </c>
      <c r="J151" s="13" t="inlineStr">
        <is>
          <t>Draft</t>
        </is>
      </c>
      <c r="K151" s="13" t="inlineStr">
        <is>
          <t>Group: Library &amp; Community. Diagram UC: Play game.</t>
        </is>
      </c>
    </row>
    <row r="152" s="31">
      <c r="A152" s="10" t="inlineStr">
        <is>
          <t>UC-149</t>
        </is>
      </c>
      <c r="B152" s="11" t="inlineStr">
        <is>
          <t>Create post</t>
        </is>
      </c>
      <c r="C152" s="11" t="inlineStr">
        <is>
          <t>Signed-in user</t>
        </is>
      </c>
      <c r="D152" s="11" t="inlineStr">
        <is>
          <t>—</t>
        </is>
      </c>
      <c r="E152" s="11" t="inlineStr">
        <is>
          <t>The user is signed in.</t>
        </is>
      </c>
      <c r="F152" s="11" t="inlineStr">
        <is>
          <t>The post is ACTIVE and visible in the feed.</t>
        </is>
      </c>
      <c r="G152" s="11" t="inlineStr">
        <is>
          <t>FT-49</t>
        </is>
      </c>
      <c r="H152" s="11" t="inlineStr">
        <is>
          <t>—</t>
        </is>
      </c>
      <c r="I152" s="11" t="inlineStr">
        <is>
          <t>Low</t>
        </is>
      </c>
      <c r="J152" s="11" t="inlineStr">
        <is>
          <t>Specified</t>
        </is>
      </c>
      <c r="K152" s="11" t="inlineStr">
        <is>
          <t>Group: Library &amp; Community. Diagram UC: Post and comment.</t>
        </is>
      </c>
    </row>
    <row r="153" s="31">
      <c r="A153" s="12" t="inlineStr">
        <is>
          <t>UC-150</t>
        </is>
      </c>
      <c r="B153" s="13" t="inlineStr">
        <is>
          <t>View posts</t>
        </is>
      </c>
      <c r="C153" s="13" t="inlineStr">
        <is>
          <t>Signed-in user</t>
        </is>
      </c>
      <c r="D153" s="13" t="inlineStr">
        <is>
          <t>—</t>
        </is>
      </c>
      <c r="E153" s="13" t="inlineStr">
        <is>
          <t>The user is signed in.</t>
        </is>
      </c>
      <c r="F153" s="13" t="inlineStr">
        <is>
          <t>The user sees one page of ACTIVE posts.</t>
        </is>
      </c>
      <c r="G153" s="13" t="inlineStr">
        <is>
          <t>FT-49</t>
        </is>
      </c>
      <c r="H153" s="13" t="inlineStr">
        <is>
          <t>—</t>
        </is>
      </c>
      <c r="I153" s="13" t="inlineStr">
        <is>
          <t>Low</t>
        </is>
      </c>
      <c r="J153" s="13" t="inlineStr">
        <is>
          <t>Specified</t>
        </is>
      </c>
      <c r="K153" s="13" t="inlineStr">
        <is>
          <t>Group: Library &amp; Community. Diagram UC: Post and comment.</t>
        </is>
      </c>
    </row>
    <row r="154" s="31">
      <c r="A154" s="10" t="inlineStr">
        <is>
          <t>UC-151</t>
        </is>
      </c>
      <c r="B154" s="11" t="inlineStr">
        <is>
          <t>View post</t>
        </is>
      </c>
      <c r="C154" s="11" t="inlineStr">
        <is>
          <t>Signed-in user</t>
        </is>
      </c>
      <c r="D154" s="11" t="inlineStr">
        <is>
          <t>—</t>
        </is>
      </c>
      <c r="E154" s="11" t="inlineStr">
        <is>
          <t>The post is ACTIVE.</t>
        </is>
      </c>
      <c r="F154" s="11" t="inlineStr">
        <is>
          <t>The user sees the post with its reactions.</t>
        </is>
      </c>
      <c r="G154" s="11" t="inlineStr">
        <is>
          <t>FT-49</t>
        </is>
      </c>
      <c r="H154" s="11" t="inlineStr">
        <is>
          <t>—</t>
        </is>
      </c>
      <c r="I154" s="11" t="inlineStr">
        <is>
          <t>Low</t>
        </is>
      </c>
      <c r="J154" s="11" t="inlineStr">
        <is>
          <t>Specified</t>
        </is>
      </c>
      <c r="K154" s="11" t="inlineStr">
        <is>
          <t>Group: Library &amp; Community. Diagram UC: Post and comment.</t>
        </is>
      </c>
    </row>
    <row r="155" s="31">
      <c r="A155" s="12" t="inlineStr">
        <is>
          <t>UC-152</t>
        </is>
      </c>
      <c r="B155" s="13" t="inlineStr">
        <is>
          <t>Update post</t>
        </is>
      </c>
      <c r="C155" s="13" t="inlineStr">
        <is>
          <t>Signed-in user</t>
        </is>
      </c>
      <c r="D155" s="13" t="inlineStr">
        <is>
          <t>—</t>
        </is>
      </c>
      <c r="E155" s="13" t="inlineStr">
        <is>
          <t>The post is the user's own and ACTIVE.</t>
        </is>
      </c>
      <c r="F155" s="13" t="inlineStr">
        <is>
          <t>The post is updated.</t>
        </is>
      </c>
      <c r="G155" s="13" t="inlineStr">
        <is>
          <t>FT-49</t>
        </is>
      </c>
      <c r="H155" s="13" t="inlineStr">
        <is>
          <t>—</t>
        </is>
      </c>
      <c r="I155" s="13" t="inlineStr">
        <is>
          <t>Low</t>
        </is>
      </c>
      <c r="J155" s="13" t="inlineStr">
        <is>
          <t>Specified</t>
        </is>
      </c>
      <c r="K155" s="13" t="inlineStr">
        <is>
          <t>Group: Library &amp; Community. Diagram UC: Post and comment.</t>
        </is>
      </c>
    </row>
    <row r="156" s="31">
      <c r="A156" s="10" t="inlineStr">
        <is>
          <t>UC-153</t>
        </is>
      </c>
      <c r="B156" s="11" t="inlineStr">
        <is>
          <t>Delete post</t>
        </is>
      </c>
      <c r="C156" s="11" t="inlineStr">
        <is>
          <t>Signed-in user</t>
        </is>
      </c>
      <c r="D156" s="11" t="inlineStr">
        <is>
          <t>—</t>
        </is>
      </c>
      <c r="E156" s="11" t="inlineStr">
        <is>
          <t>The post is the user's own and ACTIVE.</t>
        </is>
      </c>
      <c r="F156" s="11" t="inlineStr">
        <is>
          <t>The post is soft-deleted.</t>
        </is>
      </c>
      <c r="G156" s="11" t="inlineStr">
        <is>
          <t>FT-49</t>
        </is>
      </c>
      <c r="H156" s="11" t="inlineStr">
        <is>
          <t>—</t>
        </is>
      </c>
      <c r="I156" s="11" t="inlineStr">
        <is>
          <t>Low</t>
        </is>
      </c>
      <c r="J156" s="11" t="inlineStr">
        <is>
          <t>Specified</t>
        </is>
      </c>
      <c r="K156" s="11" t="inlineStr">
        <is>
          <t>Group: Library &amp; Community. Diagram UC: Post and comment.</t>
        </is>
      </c>
    </row>
    <row r="157" s="31">
      <c r="A157" s="12" t="inlineStr">
        <is>
          <t>UC-154</t>
        </is>
      </c>
      <c r="B157" s="13" t="inlineStr">
        <is>
          <t>Comment on post</t>
        </is>
      </c>
      <c r="C157" s="13" t="inlineStr">
        <is>
          <t>Signed-in user</t>
        </is>
      </c>
      <c r="D157" s="13" t="inlineStr">
        <is>
          <t>—</t>
        </is>
      </c>
      <c r="E157" s="13" t="inlineStr">
        <is>
          <t>The post is ACTIVE.</t>
        </is>
      </c>
      <c r="F157" s="13" t="inlineStr">
        <is>
          <t>The comment is stored and visible.</t>
        </is>
      </c>
      <c r="G157" s="13" t="inlineStr">
        <is>
          <t>FT-49</t>
        </is>
      </c>
      <c r="H157" s="13" t="inlineStr">
        <is>
          <t>—</t>
        </is>
      </c>
      <c r="I157" s="13" t="inlineStr">
        <is>
          <t>Low</t>
        </is>
      </c>
      <c r="J157" s="13" t="inlineStr">
        <is>
          <t>Specified</t>
        </is>
      </c>
      <c r="K157" s="13" t="inlineStr">
        <is>
          <t>Group: Library &amp; Community. Diagram UC: Post and comment.</t>
        </is>
      </c>
    </row>
    <row r="158" s="31">
      <c r="A158" s="10" t="inlineStr">
        <is>
          <t>UC-155</t>
        </is>
      </c>
      <c r="B158" s="11" t="inlineStr">
        <is>
          <t>View comments</t>
        </is>
      </c>
      <c r="C158" s="11" t="inlineStr">
        <is>
          <t>Signed-in user</t>
        </is>
      </c>
      <c r="D158" s="11" t="inlineStr">
        <is>
          <t>—</t>
        </is>
      </c>
      <c r="E158" s="11" t="inlineStr">
        <is>
          <t>The post is ACTIVE.</t>
        </is>
      </c>
      <c r="F158" s="11" t="inlineStr">
        <is>
          <t>The user sees one page of comments.</t>
        </is>
      </c>
      <c r="G158" s="11" t="inlineStr">
        <is>
          <t>FT-49</t>
        </is>
      </c>
      <c r="H158" s="11" t="inlineStr">
        <is>
          <t>—</t>
        </is>
      </c>
      <c r="I158" s="11" t="inlineStr">
        <is>
          <t>Low</t>
        </is>
      </c>
      <c r="J158" s="11" t="inlineStr">
        <is>
          <t>Specified</t>
        </is>
      </c>
      <c r="K158" s="11" t="inlineStr">
        <is>
          <t>Group: Library &amp; Community. Diagram UC: Post and comment.</t>
        </is>
      </c>
    </row>
    <row r="159" s="31">
      <c r="A159" s="12" t="inlineStr">
        <is>
          <t>UC-156</t>
        </is>
      </c>
      <c r="B159" s="13" t="inlineStr">
        <is>
          <t>Update comment</t>
        </is>
      </c>
      <c r="C159" s="13" t="inlineStr">
        <is>
          <t>Signed-in user</t>
        </is>
      </c>
      <c r="D159" s="13" t="inlineStr">
        <is>
          <t>—</t>
        </is>
      </c>
      <c r="E159" s="13" t="inlineStr">
        <is>
          <t>The comment is the user's own and ACTIVE.</t>
        </is>
      </c>
      <c r="F159" s="13" t="inlineStr">
        <is>
          <t>The comment is updated.</t>
        </is>
      </c>
      <c r="G159" s="13" t="inlineStr">
        <is>
          <t>FT-49</t>
        </is>
      </c>
      <c r="H159" s="13" t="inlineStr">
        <is>
          <t>—</t>
        </is>
      </c>
      <c r="I159" s="13" t="inlineStr">
        <is>
          <t>Low</t>
        </is>
      </c>
      <c r="J159" s="13" t="inlineStr">
        <is>
          <t>Specified</t>
        </is>
      </c>
      <c r="K159" s="13" t="inlineStr">
        <is>
          <t>Group: Library &amp; Community. Diagram UC: Post and comment.</t>
        </is>
      </c>
    </row>
    <row r="160" s="31">
      <c r="A160" s="10" t="inlineStr">
        <is>
          <t>UC-157</t>
        </is>
      </c>
      <c r="B160" s="11" t="inlineStr">
        <is>
          <t>Delete comment</t>
        </is>
      </c>
      <c r="C160" s="11" t="inlineStr">
        <is>
          <t>Signed-in user</t>
        </is>
      </c>
      <c r="D160" s="11" t="inlineStr">
        <is>
          <t>—</t>
        </is>
      </c>
      <c r="E160" s="11" t="inlineStr">
        <is>
          <t>The comment is the user's own and ACTIVE.</t>
        </is>
      </c>
      <c r="F160" s="11" t="inlineStr">
        <is>
          <t>The comment is soft-deleted.</t>
        </is>
      </c>
      <c r="G160" s="11" t="inlineStr">
        <is>
          <t>FT-49</t>
        </is>
      </c>
      <c r="H160" s="11" t="inlineStr">
        <is>
          <t>—</t>
        </is>
      </c>
      <c r="I160" s="11" t="inlineStr">
        <is>
          <t>Low</t>
        </is>
      </c>
      <c r="J160" s="11" t="inlineStr">
        <is>
          <t>Specified</t>
        </is>
      </c>
      <c r="K160" s="11" t="inlineStr">
        <is>
          <t>Group: Library &amp; Community. Diagram UC: Post and comment.</t>
        </is>
      </c>
    </row>
    <row r="161" s="31">
      <c r="A161" s="12" t="inlineStr">
        <is>
          <t>UC-158</t>
        </is>
      </c>
      <c r="B161" s="13" t="inlineStr">
        <is>
          <t>React to post</t>
        </is>
      </c>
      <c r="C161" s="13" t="inlineStr">
        <is>
          <t>Signed-in user</t>
        </is>
      </c>
      <c r="D161" s="13" t="inlineStr">
        <is>
          <t>—</t>
        </is>
      </c>
      <c r="E161" s="13" t="inlineStr">
        <is>
          <t>The post is ACTIVE.</t>
        </is>
      </c>
      <c r="F161" s="13" t="inlineStr">
        <is>
          <t>The user's reaction of that type is stored once.</t>
        </is>
      </c>
      <c r="G161" s="13" t="inlineStr">
        <is>
          <t>FT-49</t>
        </is>
      </c>
      <c r="H161" s="13" t="inlineStr">
        <is>
          <t>—</t>
        </is>
      </c>
      <c r="I161" s="13" t="inlineStr">
        <is>
          <t>Low</t>
        </is>
      </c>
      <c r="J161" s="13" t="inlineStr">
        <is>
          <t>Specified</t>
        </is>
      </c>
      <c r="K161" s="13" t="inlineStr">
        <is>
          <t>Group: Library &amp; Community. Diagram UC: Post and comment.</t>
        </is>
      </c>
    </row>
    <row r="162" s="31">
      <c r="A162" s="10" t="inlineStr">
        <is>
          <t>UC-159</t>
        </is>
      </c>
      <c r="B162" s="11" t="inlineStr">
        <is>
          <t>Remove reaction</t>
        </is>
      </c>
      <c r="C162" s="11" t="inlineStr">
        <is>
          <t>Signed-in user</t>
        </is>
      </c>
      <c r="D162" s="11" t="inlineStr">
        <is>
          <t>—</t>
        </is>
      </c>
      <c r="E162" s="11" t="inlineStr">
        <is>
          <t>The user reacted to the post.</t>
        </is>
      </c>
      <c r="F162" s="11" t="inlineStr">
        <is>
          <t>The reaction is removed.</t>
        </is>
      </c>
      <c r="G162" s="11" t="inlineStr">
        <is>
          <t>FT-49</t>
        </is>
      </c>
      <c r="H162" s="11" t="inlineStr">
        <is>
          <t>—</t>
        </is>
      </c>
      <c r="I162" s="11" t="inlineStr">
        <is>
          <t>Low</t>
        </is>
      </c>
      <c r="J162" s="11" t="inlineStr">
        <is>
          <t>Specified</t>
        </is>
      </c>
      <c r="K162" s="11" t="inlineStr">
        <is>
          <t>Group: Library &amp; Community. Diagram UC: Post and comment.</t>
        </is>
      </c>
    </row>
    <row r="163" s="31">
      <c r="A163" s="12" t="inlineStr">
        <is>
          <t>UC-160</t>
        </is>
      </c>
      <c r="B163" s="13" t="inlineStr">
        <is>
          <t>Hide or restore post</t>
        </is>
      </c>
      <c r="C163" s="13" t="inlineStr">
        <is>
          <t>Administrator</t>
        </is>
      </c>
      <c r="D163" s="13" t="inlineStr">
        <is>
          <t>—</t>
        </is>
      </c>
      <c r="E163" s="13" t="inlineStr">
        <is>
          <t>The post is ACTIVE or HIDDEN.</t>
        </is>
      </c>
      <c r="F163" s="13" t="inlineStr">
        <is>
          <t>The post is HIDDEN (out of the feed) or ACTIVE again; DELETED posts cannot change.</t>
        </is>
      </c>
      <c r="G163" s="13" t="inlineStr">
        <is>
          <t>FT-50</t>
        </is>
      </c>
      <c r="H163" s="13" t="inlineStr">
        <is>
          <t>—</t>
        </is>
      </c>
      <c r="I163" s="13" t="inlineStr">
        <is>
          <t>Low</t>
        </is>
      </c>
      <c r="J163" s="13" t="inlineStr">
        <is>
          <t>Specified</t>
        </is>
      </c>
      <c r="K163" s="13" t="inlineStr">
        <is>
          <t>Group: Library &amp; Community. Diagram UC: Moderate community.</t>
        </is>
      </c>
    </row>
    <row r="164" s="31">
      <c r="A164" s="10" t="inlineStr">
        <is>
          <t>UC-161</t>
        </is>
      </c>
      <c r="B164" s="11" t="inlineStr">
        <is>
          <t>Hide or restore comment</t>
        </is>
      </c>
      <c r="C164" s="11" t="inlineStr">
        <is>
          <t>Administrator</t>
        </is>
      </c>
      <c r="D164" s="11" t="inlineStr">
        <is>
          <t>—</t>
        </is>
      </c>
      <c r="E164" s="11" t="inlineStr">
        <is>
          <t>The comment is ACTIVE or HIDDEN.</t>
        </is>
      </c>
      <c r="F164" s="11" t="inlineStr">
        <is>
          <t>The comment is HIDDEN or ACTIVE again; DELETED comments cannot change.</t>
        </is>
      </c>
      <c r="G164" s="11" t="inlineStr">
        <is>
          <t>FT-50</t>
        </is>
      </c>
      <c r="H164" s="11" t="inlineStr">
        <is>
          <t>—</t>
        </is>
      </c>
      <c r="I164" s="11" t="inlineStr">
        <is>
          <t>Low</t>
        </is>
      </c>
      <c r="J164" s="11" t="inlineStr">
        <is>
          <t>Specified</t>
        </is>
      </c>
      <c r="K164" s="11" t="inlineStr">
        <is>
          <t>Group: Library &amp; Community. Diagram UC: Moderate community.</t>
        </is>
      </c>
    </row>
    <row r="165" s="31">
      <c r="A165" s="12" t="inlineStr">
        <is>
          <t>UC-162</t>
        </is>
      </c>
      <c r="B165" s="13" t="inlineStr">
        <is>
          <t>View course catalog</t>
        </is>
      </c>
      <c r="C165" s="13" t="inlineStr">
        <is>
          <t>Content Author</t>
        </is>
      </c>
      <c r="D165" s="13" t="inlineStr">
        <is>
          <t>—</t>
        </is>
      </c>
      <c r="E165" s="13" t="inlineStr">
        <is>
          <t>The author is signed in with role CONTENT_AUTHOR or ADMIN.</t>
        </is>
      </c>
      <c r="F165" s="13" t="inlineStr">
        <is>
          <t>The author sees every course with band level and status.</t>
        </is>
      </c>
      <c r="G165" s="13" t="inlineStr">
        <is>
          <t>FT-15</t>
        </is>
      </c>
      <c r="H165" s="13" t="inlineStr">
        <is>
          <t>—</t>
        </is>
      </c>
      <c r="I165" s="13" t="inlineStr">
        <is>
          <t>Medium</t>
        </is>
      </c>
      <c r="J165" s="13" t="inlineStr">
        <is>
          <t>Specified</t>
        </is>
      </c>
      <c r="K165" s="13" t="inlineStr">
        <is>
          <t>Group: Content. Diagram UC: Manage topics, knowledge points, questions, packages, vocabulary and videos.</t>
        </is>
      </c>
    </row>
    <row r="166" s="31">
      <c r="A166" s="10" t="inlineStr">
        <is>
          <t>UC-163</t>
        </is>
      </c>
      <c r="B166" s="11" t="inlineStr">
        <is>
          <t>Create course</t>
        </is>
      </c>
      <c r="C166" s="11" t="inlineStr">
        <is>
          <t>Content Author</t>
        </is>
      </c>
      <c r="D166" s="11" t="inlineStr">
        <is>
          <t>—</t>
        </is>
      </c>
      <c r="E166" s="11" t="inlineStr">
        <is>
          <t>The author is signed in with role CONTENT_AUTHOR or ADMIN.</t>
        </is>
      </c>
      <c r="F166" s="11" t="inlineStr">
        <is>
          <t>A course with a unique code and band level is created.</t>
        </is>
      </c>
      <c r="G166" s="11" t="inlineStr">
        <is>
          <t>FT-15</t>
        </is>
      </c>
      <c r="H166" s="11" t="inlineStr">
        <is>
          <t>—</t>
        </is>
      </c>
      <c r="I166" s="11" t="inlineStr">
        <is>
          <t>Medium</t>
        </is>
      </c>
      <c r="J166" s="11" t="inlineStr">
        <is>
          <t>Specified</t>
        </is>
      </c>
      <c r="K166" s="11" t="inlineStr">
        <is>
          <t>Group: Content. Diagram UC: Manage topics, knowledge points, questions, packages, vocabulary and videos.</t>
        </is>
      </c>
    </row>
    <row r="167" s="31">
      <c r="A167" s="12" t="inlineStr">
        <is>
          <t>UC-164</t>
        </is>
      </c>
      <c r="B167" s="13" t="inlineStr">
        <is>
          <t>Update course</t>
        </is>
      </c>
      <c r="C167" s="13" t="inlineStr">
        <is>
          <t>Content Author</t>
        </is>
      </c>
      <c r="D167" s="13" t="inlineStr">
        <is>
          <t>—</t>
        </is>
      </c>
      <c r="E167" s="13" t="inlineStr">
        <is>
          <t>The author is signed in with role CONTENT_AUTHOR or ADMIN.</t>
        </is>
      </c>
      <c r="F167" s="13" t="inlineStr">
        <is>
          <t>The course is updated; its band level stays unique.</t>
        </is>
      </c>
      <c r="G167" s="13" t="inlineStr">
        <is>
          <t>FT-15</t>
        </is>
      </c>
      <c r="H167" s="13" t="inlineStr">
        <is>
          <t>—</t>
        </is>
      </c>
      <c r="I167" s="13" t="inlineStr">
        <is>
          <t>Medium</t>
        </is>
      </c>
      <c r="J167" s="13" t="inlineStr">
        <is>
          <t>Specified</t>
        </is>
      </c>
      <c r="K167" s="13" t="inlineStr">
        <is>
          <t>Group: Content. Diagram UC: Manage topics, knowledge points, questions, packages, vocabulary and videos.</t>
        </is>
      </c>
    </row>
    <row r="168" s="31">
      <c r="A168" s="10" t="inlineStr">
        <is>
          <t>UC-165</t>
        </is>
      </c>
      <c r="B168" s="11" t="inlineStr">
        <is>
          <t>View topics</t>
        </is>
      </c>
      <c r="C168" s="11" t="inlineStr">
        <is>
          <t>Content Author, Examiner</t>
        </is>
      </c>
      <c r="D168" s="11" t="inlineStr">
        <is>
          <t>—</t>
        </is>
      </c>
      <c r="E168" s="11" t="inlineStr">
        <is>
          <t>The user holds role CONTENT_AUTHOR, EXAMINER or ADMIN.</t>
        </is>
      </c>
      <c r="F168" s="11" t="inlineStr">
        <is>
          <t>The user sees one page of topics.</t>
        </is>
      </c>
      <c r="G168" s="11" t="inlineStr">
        <is>
          <t>FT-15</t>
        </is>
      </c>
      <c r="H168" s="11" t="inlineStr">
        <is>
          <t>—</t>
        </is>
      </c>
      <c r="I168" s="11" t="inlineStr">
        <is>
          <t>Medium</t>
        </is>
      </c>
      <c r="J168" s="11" t="inlineStr">
        <is>
          <t>Specified</t>
        </is>
      </c>
      <c r="K168" s="11" t="inlineStr">
        <is>
          <t>Group: Content. Diagram UC: Manage topics, knowledge points, questions, packages, vocabulary and videos. Examiner has read-only access.</t>
        </is>
      </c>
    </row>
    <row r="169" s="31">
      <c r="A169" s="12" t="inlineStr">
        <is>
          <t>UC-166</t>
        </is>
      </c>
      <c r="B169" s="13" t="inlineStr">
        <is>
          <t>View topic</t>
        </is>
      </c>
      <c r="C169" s="13" t="inlineStr">
        <is>
          <t>Content Author, Examiner</t>
        </is>
      </c>
      <c r="D169" s="13" t="inlineStr">
        <is>
          <t>—</t>
        </is>
      </c>
      <c r="E169" s="13" t="inlineStr">
        <is>
          <t>The topic exists.</t>
        </is>
      </c>
      <c r="F169" s="13" t="inlineStr">
        <is>
          <t>The user sees the topic with its skill and course.</t>
        </is>
      </c>
      <c r="G169" s="13" t="inlineStr">
        <is>
          <t>FT-15</t>
        </is>
      </c>
      <c r="H169" s="13" t="inlineStr">
        <is>
          <t>—</t>
        </is>
      </c>
      <c r="I169" s="13" t="inlineStr">
        <is>
          <t>Medium</t>
        </is>
      </c>
      <c r="J169" s="13" t="inlineStr">
        <is>
          <t>Specified</t>
        </is>
      </c>
      <c r="K169" s="13" t="inlineStr">
        <is>
          <t>Group: Content. Diagram UC: Manage topics, knowledge points, questions, packages, vocabulary and videos.</t>
        </is>
      </c>
    </row>
    <row r="170" s="31">
      <c r="A170" s="10" t="inlineStr">
        <is>
          <t>UC-167</t>
        </is>
      </c>
      <c r="B170" s="11" t="inlineStr">
        <is>
          <t>Create topic</t>
        </is>
      </c>
      <c r="C170" s="11" t="inlineStr">
        <is>
          <t>Content Author</t>
        </is>
      </c>
      <c r="D170" s="11" t="inlineStr">
        <is>
          <t>—</t>
        </is>
      </c>
      <c r="E170" s="11" t="inlineStr">
        <is>
          <t>The author is signed in with role CONTENT_AUTHOR or ADMIN.</t>
        </is>
      </c>
      <c r="F170" s="11" t="inlineStr">
        <is>
          <t>A topic is created in a course with at most one skill.</t>
        </is>
      </c>
      <c r="G170" s="11" t="inlineStr">
        <is>
          <t>FT-15</t>
        </is>
      </c>
      <c r="H170" s="11" t="inlineStr">
        <is>
          <t>—</t>
        </is>
      </c>
      <c r="I170" s="11" t="inlineStr">
        <is>
          <t>Medium</t>
        </is>
      </c>
      <c r="J170" s="11" t="inlineStr">
        <is>
          <t>Specified</t>
        </is>
      </c>
      <c r="K170" s="11" t="inlineStr">
        <is>
          <t>Group: Content. Diagram UC: Manage topics, knowledge points, questions, packages, vocabulary and videos.</t>
        </is>
      </c>
    </row>
    <row r="171" s="31">
      <c r="A171" s="12" t="inlineStr">
        <is>
          <t>UC-168</t>
        </is>
      </c>
      <c r="B171" s="13" t="inlineStr">
        <is>
          <t>Update topic</t>
        </is>
      </c>
      <c r="C171" s="13" t="inlineStr">
        <is>
          <t>Content Author</t>
        </is>
      </c>
      <c r="D171" s="13" t="inlineStr">
        <is>
          <t>—</t>
        </is>
      </c>
      <c r="E171" s="13" t="inlineStr">
        <is>
          <t>The author is signed in with role CONTENT_AUTHOR or ADMIN.</t>
        </is>
      </c>
      <c r="F171" s="13" t="inlineStr">
        <is>
          <t>The topic is updated; its skill cannot change once lessons are published.</t>
        </is>
      </c>
      <c r="G171" s="13" t="inlineStr">
        <is>
          <t>FT-15</t>
        </is>
      </c>
      <c r="H171" s="13" t="inlineStr">
        <is>
          <t>—</t>
        </is>
      </c>
      <c r="I171" s="13" t="inlineStr">
        <is>
          <t>Medium</t>
        </is>
      </c>
      <c r="J171" s="13" t="inlineStr">
        <is>
          <t>Specified</t>
        </is>
      </c>
      <c r="K171" s="13" t="inlineStr">
        <is>
          <t>Group: Content. Diagram UC: Manage topics, knowledge points, questions, packages, vocabulary and videos.</t>
        </is>
      </c>
    </row>
    <row r="172" s="31">
      <c r="A172" s="10" t="inlineStr">
        <is>
          <t>UC-169</t>
        </is>
      </c>
      <c r="B172" s="11" t="inlineStr">
        <is>
          <t>View knowledge points</t>
        </is>
      </c>
      <c r="C172" s="11" t="inlineStr">
        <is>
          <t>Content Author</t>
        </is>
      </c>
      <c r="D172" s="11" t="inlineStr">
        <is>
          <t>—</t>
        </is>
      </c>
      <c r="E172" s="11" t="inlineStr">
        <is>
          <t>The author is signed in with role CONTENT_AUTHOR or ADMIN.</t>
        </is>
      </c>
      <c r="F172" s="11" t="inlineStr">
        <is>
          <t>The author sees the knowledge points of a topic.</t>
        </is>
      </c>
      <c r="G172" s="11" t="inlineStr">
        <is>
          <t>FT-15</t>
        </is>
      </c>
      <c r="H172" s="11" t="inlineStr">
        <is>
          <t>—</t>
        </is>
      </c>
      <c r="I172" s="11" t="inlineStr">
        <is>
          <t>Medium</t>
        </is>
      </c>
      <c r="J172" s="11" t="inlineStr">
        <is>
          <t>Specified</t>
        </is>
      </c>
      <c r="K172" s="11" t="inlineStr">
        <is>
          <t>Group: Content. Diagram UC: Manage topics, knowledge points, questions, packages, vocabulary and videos.</t>
        </is>
      </c>
    </row>
    <row r="173" s="31">
      <c r="A173" s="12" t="inlineStr">
        <is>
          <t>UC-170</t>
        </is>
      </c>
      <c r="B173" s="13" t="inlineStr">
        <is>
          <t>Create knowledge point</t>
        </is>
      </c>
      <c r="C173" s="13" t="inlineStr">
        <is>
          <t>Content Author</t>
        </is>
      </c>
      <c r="D173" s="13" t="inlineStr">
        <is>
          <t>—</t>
        </is>
      </c>
      <c r="E173" s="13" t="inlineStr">
        <is>
          <t>The author is signed in with role CONTENT_AUTHOR or ADMIN.</t>
        </is>
      </c>
      <c r="F173" s="13" t="inlineStr">
        <is>
          <t>A knowledge point with a unique code is created in the topic.</t>
        </is>
      </c>
      <c r="G173" s="13" t="inlineStr">
        <is>
          <t>FT-15</t>
        </is>
      </c>
      <c r="H173" s="13" t="inlineStr">
        <is>
          <t>—</t>
        </is>
      </c>
      <c r="I173" s="13" t="inlineStr">
        <is>
          <t>Medium</t>
        </is>
      </c>
      <c r="J173" s="13" t="inlineStr">
        <is>
          <t>Specified</t>
        </is>
      </c>
      <c r="K173" s="13" t="inlineStr">
        <is>
          <t>Group: Content. Diagram UC: Manage topics, knowledge points, questions, packages, vocabulary and videos.</t>
        </is>
      </c>
    </row>
    <row r="174" s="31">
      <c r="A174" s="10" t="inlineStr">
        <is>
          <t>UC-171</t>
        </is>
      </c>
      <c r="B174" s="11" t="inlineStr">
        <is>
          <t>View questions</t>
        </is>
      </c>
      <c r="C174" s="11" t="inlineStr">
        <is>
          <t>Content Author</t>
        </is>
      </c>
      <c r="D174" s="11" t="inlineStr">
        <is>
          <t>—</t>
        </is>
      </c>
      <c r="E174" s="11" t="inlineStr">
        <is>
          <t>The author is signed in with role CONTENT_AUTHOR or ADMIN.</t>
        </is>
      </c>
      <c r="F174" s="11" t="inlineStr">
        <is>
          <t>The author sees one page of questions.</t>
        </is>
      </c>
      <c r="G174" s="11" t="inlineStr">
        <is>
          <t>FT-16</t>
        </is>
      </c>
      <c r="H174" s="11" t="inlineStr">
        <is>
          <t>—</t>
        </is>
      </c>
      <c r="I174" s="11" t="inlineStr">
        <is>
          <t>Medium</t>
        </is>
      </c>
      <c r="J174" s="11" t="inlineStr">
        <is>
          <t>Specified</t>
        </is>
      </c>
      <c r="K174" s="11" t="inlineStr">
        <is>
          <t>Group: Content. Diagram UC: Manage topics, knowledge points, questions, packages, vocabulary and videos.</t>
        </is>
      </c>
    </row>
    <row r="175" s="31">
      <c r="A175" s="12" t="inlineStr">
        <is>
          <t>UC-172</t>
        </is>
      </c>
      <c r="B175" s="13" t="inlineStr">
        <is>
          <t>View question</t>
        </is>
      </c>
      <c r="C175" s="13" t="inlineStr">
        <is>
          <t>Content Author</t>
        </is>
      </c>
      <c r="D175" s="13" t="inlineStr">
        <is>
          <t>—</t>
        </is>
      </c>
      <c r="E175" s="13" t="inlineStr">
        <is>
          <t>The author is signed in with role CONTENT_AUTHOR or ADMIN.</t>
        </is>
      </c>
      <c r="F175" s="13" t="inlineStr">
        <is>
          <t>The author sees the question with its versions.</t>
        </is>
      </c>
      <c r="G175" s="13" t="inlineStr">
        <is>
          <t>FT-16</t>
        </is>
      </c>
      <c r="H175" s="13" t="inlineStr">
        <is>
          <t>—</t>
        </is>
      </c>
      <c r="I175" s="13" t="inlineStr">
        <is>
          <t>Medium</t>
        </is>
      </c>
      <c r="J175" s="13" t="inlineStr">
        <is>
          <t>Specified</t>
        </is>
      </c>
      <c r="K175" s="13" t="inlineStr">
        <is>
          <t>Group: Content. Diagram UC: Manage topics, knowledge points, questions, packages, vocabulary and videos.</t>
        </is>
      </c>
    </row>
    <row r="176" s="31">
      <c r="A176" s="10" t="inlineStr">
        <is>
          <t>UC-173</t>
        </is>
      </c>
      <c r="B176" s="11" t="inlineStr">
        <is>
          <t>Create question</t>
        </is>
      </c>
      <c r="C176" s="11" t="inlineStr">
        <is>
          <t>Content Author</t>
        </is>
      </c>
      <c r="D176" s="11" t="inlineStr">
        <is>
          <t>—</t>
        </is>
      </c>
      <c r="E176" s="11" t="inlineStr">
        <is>
          <t>The author is signed in with role CONTENT_AUTHOR or ADMIN.</t>
        </is>
      </c>
      <c r="F176" s="11" t="inlineStr">
        <is>
          <t>A question with its first version, answer spec, KPs and purpose is created.</t>
        </is>
      </c>
      <c r="G176" s="11" t="inlineStr">
        <is>
          <t>FT-16</t>
        </is>
      </c>
      <c r="H176" s="11" t="inlineStr">
        <is>
          <t>—</t>
        </is>
      </c>
      <c r="I176" s="11" t="inlineStr">
        <is>
          <t>Medium</t>
        </is>
      </c>
      <c r="J176" s="11" t="inlineStr">
        <is>
          <t>Specified</t>
        </is>
      </c>
      <c r="K176" s="11" t="inlineStr">
        <is>
          <t>Group: Content. Diagram UC: Manage topics, knowledge points, questions, packages, vocabulary and videos.</t>
        </is>
      </c>
    </row>
    <row r="177" s="31">
      <c r="A177" s="12" t="inlineStr">
        <is>
          <t>UC-174</t>
        </is>
      </c>
      <c r="B177" s="13" t="inlineStr">
        <is>
          <t>Create question version</t>
        </is>
      </c>
      <c r="C177" s="13" t="inlineStr">
        <is>
          <t>Content Author</t>
        </is>
      </c>
      <c r="D177" s="13" t="inlineStr">
        <is>
          <t>—</t>
        </is>
      </c>
      <c r="E177" s="13" t="inlineStr">
        <is>
          <t>The question is not archived.</t>
        </is>
      </c>
      <c r="F177" s="13" t="inlineStr">
        <is>
          <t>A new version is created; published packages keep their own version.</t>
        </is>
      </c>
      <c r="G177" s="13" t="inlineStr">
        <is>
          <t>FT-16</t>
        </is>
      </c>
      <c r="H177" s="13" t="inlineStr">
        <is>
          <t>—</t>
        </is>
      </c>
      <c r="I177" s="13" t="inlineStr">
        <is>
          <t>Medium</t>
        </is>
      </c>
      <c r="J177" s="13" t="inlineStr">
        <is>
          <t>Specified</t>
        </is>
      </c>
      <c r="K177" s="13" t="inlineStr">
        <is>
          <t>Group: Content. Diagram UC: Manage topics, knowledge points, questions, packages, vocabulary and videos.</t>
        </is>
      </c>
    </row>
    <row r="178" s="31">
      <c r="A178" s="10" t="inlineStr">
        <is>
          <t>UC-175</t>
        </is>
      </c>
      <c r="B178" s="11" t="inlineStr">
        <is>
          <t>Archive question</t>
        </is>
      </c>
      <c r="C178" s="11" t="inlineStr">
        <is>
          <t>Content Author</t>
        </is>
      </c>
      <c r="D178" s="11" t="inlineStr">
        <is>
          <t>—</t>
        </is>
      </c>
      <c r="E178" s="11" t="inlineStr">
        <is>
          <t>The question is not archived.</t>
        </is>
      </c>
      <c r="F178" s="11" t="inlineStr">
        <is>
          <t>The question can no longer be used in new packages.</t>
        </is>
      </c>
      <c r="G178" s="11" t="inlineStr">
        <is>
          <t>FT-16</t>
        </is>
      </c>
      <c r="H178" s="11" t="inlineStr">
        <is>
          <t>—</t>
        </is>
      </c>
      <c r="I178" s="11" t="inlineStr">
        <is>
          <t>Medium</t>
        </is>
      </c>
      <c r="J178" s="11" t="inlineStr">
        <is>
          <t>Specified</t>
        </is>
      </c>
      <c r="K178" s="11" t="inlineStr">
        <is>
          <t>Group: Content. Diagram UC: Manage topics, knowledge points, questions, packages, vocabulary and videos.</t>
        </is>
      </c>
    </row>
    <row r="179" s="31">
      <c r="A179" s="12" t="inlineStr">
        <is>
          <t>UC-176</t>
        </is>
      </c>
      <c r="B179" s="13" t="inlineStr">
        <is>
          <t>View content packages</t>
        </is>
      </c>
      <c r="C179" s="13" t="inlineStr">
        <is>
          <t>Content Author</t>
        </is>
      </c>
      <c r="D179" s="13" t="inlineStr">
        <is>
          <t>—</t>
        </is>
      </c>
      <c r="E179" s="13" t="inlineStr">
        <is>
          <t>The author is signed in with role CONTENT_AUTHOR or ADMIN.</t>
        </is>
      </c>
      <c r="F179" s="13" t="inlineStr">
        <is>
          <t>The author sees one page of packages with type and status.</t>
        </is>
      </c>
      <c r="G179" s="13" t="inlineStr">
        <is>
          <t>FT-17</t>
        </is>
      </c>
      <c r="H179" s="13" t="inlineStr">
        <is>
          <t>—</t>
        </is>
      </c>
      <c r="I179" s="13" t="inlineStr">
        <is>
          <t>Medium</t>
        </is>
      </c>
      <c r="J179" s="13" t="inlineStr">
        <is>
          <t>Specified</t>
        </is>
      </c>
      <c r="K179" s="13" t="inlineStr">
        <is>
          <t>Group: Content. Diagram UC: Manage topics, knowledge points, questions, packages, vocabulary and videos.</t>
        </is>
      </c>
    </row>
    <row r="180" s="31">
      <c r="A180" s="10" t="inlineStr">
        <is>
          <t>UC-177</t>
        </is>
      </c>
      <c r="B180" s="11" t="inlineStr">
        <is>
          <t>View content package</t>
        </is>
      </c>
      <c r="C180" s="11" t="inlineStr">
        <is>
          <t>Content Author</t>
        </is>
      </c>
      <c r="D180" s="11" t="inlineStr">
        <is>
          <t>—</t>
        </is>
      </c>
      <c r="E180" s="11" t="inlineStr">
        <is>
          <t>The author is signed in with role CONTENT_AUTHOR or ADMIN.</t>
        </is>
      </c>
      <c r="F180" s="11" t="inlineStr">
        <is>
          <t>The author sees the package with its versions and sections.</t>
        </is>
      </c>
      <c r="G180" s="11" t="inlineStr">
        <is>
          <t>FT-17</t>
        </is>
      </c>
      <c r="H180" s="11" t="inlineStr">
        <is>
          <t>—</t>
        </is>
      </c>
      <c r="I180" s="11" t="inlineStr">
        <is>
          <t>Medium</t>
        </is>
      </c>
      <c r="J180" s="11" t="inlineStr">
        <is>
          <t>Specified</t>
        </is>
      </c>
      <c r="K180" s="11" t="inlineStr">
        <is>
          <t>Group: Content. Diagram UC: Manage topics, knowledge points, questions, packages, vocabulary and videos.</t>
        </is>
      </c>
    </row>
    <row r="181" s="31">
      <c r="A181" s="12" t="inlineStr">
        <is>
          <t>UC-178</t>
        </is>
      </c>
      <c r="B181" s="13" t="inlineStr">
        <is>
          <t>Create content package</t>
        </is>
      </c>
      <c r="C181" s="13" t="inlineStr">
        <is>
          <t>Content Author</t>
        </is>
      </c>
      <c r="D181" s="13" t="inlineStr">
        <is>
          <t>—</t>
        </is>
      </c>
      <c r="E181" s="13" t="inlineStr">
        <is>
          <t>The author is signed in with role CONTENT_AUTHOR or ADMIN.</t>
        </is>
      </c>
      <c r="F181" s="13" t="inlineStr">
        <is>
          <t>A DRAFT package of one type is created.</t>
        </is>
      </c>
      <c r="G181" s="13" t="inlineStr">
        <is>
          <t>FT-17</t>
        </is>
      </c>
      <c r="H181" s="13" t="inlineStr">
        <is>
          <t>—</t>
        </is>
      </c>
      <c r="I181" s="13" t="inlineStr">
        <is>
          <t>Medium</t>
        </is>
      </c>
      <c r="J181" s="13" t="inlineStr">
        <is>
          <t>Specified</t>
        </is>
      </c>
      <c r="K181" s="13" t="inlineStr">
        <is>
          <t>Group: Content. Diagram UC: Manage topics, knowledge points, questions, packages, vocabulary and videos. Creating topic test packages: Draft.</t>
        </is>
      </c>
    </row>
    <row r="182" s="31">
      <c r="A182" s="10" t="inlineStr">
        <is>
          <t>UC-179</t>
        </is>
      </c>
      <c r="B182" s="11" t="inlineStr">
        <is>
          <t>Create package version</t>
        </is>
      </c>
      <c r="C182" s="11" t="inlineStr">
        <is>
          <t>Content Author</t>
        </is>
      </c>
      <c r="D182" s="11" t="inlineStr">
        <is>
          <t>—</t>
        </is>
      </c>
      <c r="E182" s="11" t="inlineStr">
        <is>
          <t>The package exists.</t>
        </is>
      </c>
      <c r="F182" s="11" t="inlineStr">
        <is>
          <t>A DRAFT version of the package is created.</t>
        </is>
      </c>
      <c r="G182" s="11" t="inlineStr">
        <is>
          <t>FT-17</t>
        </is>
      </c>
      <c r="H182" s="11" t="inlineStr">
        <is>
          <t>—</t>
        </is>
      </c>
      <c r="I182" s="11" t="inlineStr">
        <is>
          <t>Medium</t>
        </is>
      </c>
      <c r="J182" s="11" t="inlineStr">
        <is>
          <t>Specified</t>
        </is>
      </c>
      <c r="K182" s="11" t="inlineStr">
        <is>
          <t>Group: Content. Diagram UC: Manage topics, knowledge points, questions, packages, vocabulary and videos.</t>
        </is>
      </c>
    </row>
    <row r="183" s="31">
      <c r="A183" s="12" t="inlineStr">
        <is>
          <t>UC-180</t>
        </is>
      </c>
      <c r="B183" s="13" t="inlineStr">
        <is>
          <t>Add section to package version</t>
        </is>
      </c>
      <c r="C183" s="13" t="inlineStr">
        <is>
          <t>Content Author</t>
        </is>
      </c>
      <c r="D183" s="13" t="inlineStr">
        <is>
          <t>—</t>
        </is>
      </c>
      <c r="E183" s="13" t="inlineStr">
        <is>
          <t>The version is DRAFT.</t>
        </is>
      </c>
      <c r="F183" s="13" t="inlineStr">
        <is>
          <t>A section with its skill, passage or audio and ordered questions is added.</t>
        </is>
      </c>
      <c r="G183" s="13" t="inlineStr">
        <is>
          <t>FT-17</t>
        </is>
      </c>
      <c r="H183" s="13" t="inlineStr">
        <is>
          <t>—</t>
        </is>
      </c>
      <c r="I183" s="13" t="inlineStr">
        <is>
          <t>Medium</t>
        </is>
      </c>
      <c r="J183" s="13" t="inlineStr">
        <is>
          <t>Specified</t>
        </is>
      </c>
      <c r="K183" s="13" t="inlineStr">
        <is>
          <t>Group: Content. Diagram UC: Manage topics, knowledge points, questions, packages, vocabulary and videos.</t>
        </is>
      </c>
    </row>
    <row r="184" s="31">
      <c r="A184" s="10" t="inlineStr">
        <is>
          <t>UC-181</t>
        </is>
      </c>
      <c r="B184" s="11" t="inlineStr">
        <is>
          <t>Publish content package</t>
        </is>
      </c>
      <c r="C184" s="11" t="inlineStr">
        <is>
          <t>Content Author</t>
        </is>
      </c>
      <c r="D184" s="11" t="inlineStr">
        <is>
          <t>—</t>
        </is>
      </c>
      <c r="E184" s="11" t="inlineStr">
        <is>
          <t>Every question of the version has one owner and the right purpose.</t>
        </is>
      </c>
      <c r="F184" s="11" t="inlineStr">
        <is>
          <t>The version is PUBLISHED and becomes the package's current version.</t>
        </is>
      </c>
      <c r="G184" s="11" t="inlineStr">
        <is>
          <t>FT-17</t>
        </is>
      </c>
      <c r="H184" s="11" t="inlineStr">
        <is>
          <t>—</t>
        </is>
      </c>
      <c r="I184" s="11" t="inlineStr">
        <is>
          <t>Medium</t>
        </is>
      </c>
      <c r="J184" s="11" t="inlineStr">
        <is>
          <t>Specified</t>
        </is>
      </c>
      <c r="K184" s="11" t="inlineStr">
        <is>
          <t>Group: Content. Diagram UC: Manage topics, knowledge points, questions, packages, vocabulary and videos.</t>
        </is>
      </c>
    </row>
    <row r="185" s="31">
      <c r="A185" s="12" t="inlineStr">
        <is>
          <t>UC-182</t>
        </is>
      </c>
      <c r="B185" s="13" t="inlineStr">
        <is>
          <t>View Reading section</t>
        </is>
      </c>
      <c r="C185" s="13" t="inlineStr">
        <is>
          <t>Content Author, Examiner</t>
        </is>
      </c>
      <c r="D185" s="13" t="inlineStr">
        <is>
          <t>—</t>
        </is>
      </c>
      <c r="E185" s="13" t="inlineStr">
        <is>
          <t>The section exists.</t>
        </is>
      </c>
      <c r="F185" s="13" t="inlineStr">
        <is>
          <t>The user sees the passage and questions.</t>
        </is>
      </c>
      <c r="G185" s="13" t="inlineStr">
        <is>
          <t>FT-17</t>
        </is>
      </c>
      <c r="H185" s="13" t="inlineStr">
        <is>
          <t>—</t>
        </is>
      </c>
      <c r="I185" s="13" t="inlineStr">
        <is>
          <t>Medium</t>
        </is>
      </c>
      <c r="J185" s="13" t="inlineStr">
        <is>
          <t>Specified</t>
        </is>
      </c>
      <c r="K185" s="13" t="inlineStr">
        <is>
          <t>Group: Content. Diagram UC: Manage topics, knowledge points, questions, packages, vocabulary and videos. Examiner has read-only access.</t>
        </is>
      </c>
    </row>
    <row r="186" s="31">
      <c r="A186" s="10" t="inlineStr">
        <is>
          <t>UC-183</t>
        </is>
      </c>
      <c r="B186" s="11" t="inlineStr">
        <is>
          <t>Register media asset</t>
        </is>
      </c>
      <c r="C186" s="11" t="inlineStr">
        <is>
          <t>Content Author</t>
        </is>
      </c>
      <c r="D186" s="11" t="inlineStr">
        <is>
          <t>—</t>
        </is>
      </c>
      <c r="E186" s="11" t="inlineStr">
        <is>
          <t>The author is signed in with role CONTENT_AUTHOR or ADMIN.</t>
        </is>
      </c>
      <c r="F186" s="11" t="inlineStr">
        <is>
          <t>An asset record keeps the media URL or object key.</t>
        </is>
      </c>
      <c r="G186" s="11" t="inlineStr">
        <is>
          <t>FT-18</t>
        </is>
      </c>
      <c r="H186" s="11" t="inlineStr">
        <is>
          <t>—</t>
        </is>
      </c>
      <c r="I186" s="11" t="inlineStr">
        <is>
          <t>Medium</t>
        </is>
      </c>
      <c r="J186" s="11" t="inlineStr">
        <is>
          <t>Specified</t>
        </is>
      </c>
      <c r="K186" s="11" t="inlineStr">
        <is>
          <t>Group: Content. Diagram UC: Manage topics, knowledge points, questions, packages, vocabulary and videos.</t>
        </is>
      </c>
    </row>
    <row r="187" s="31">
      <c r="A187" s="12" t="inlineStr">
        <is>
          <t>UC-184</t>
        </is>
      </c>
      <c r="B187" s="13" t="inlineStr">
        <is>
          <t>Link asset to content</t>
        </is>
      </c>
      <c r="C187" s="13" t="inlineStr">
        <is>
          <t>Content Author</t>
        </is>
      </c>
      <c r="D187" s="13" t="inlineStr">
        <is>
          <t>—</t>
        </is>
      </c>
      <c r="E187" s="13" t="inlineStr">
        <is>
          <t>The asset exists.</t>
        </is>
      </c>
      <c r="F187" s="13" t="inlineStr">
        <is>
          <t>The asset is linked to a lesson block or section.</t>
        </is>
      </c>
      <c r="G187" s="13" t="inlineStr">
        <is>
          <t>FT-18</t>
        </is>
      </c>
      <c r="H187" s="13" t="inlineStr">
        <is>
          <t>—</t>
        </is>
      </c>
      <c r="I187" s="13" t="inlineStr">
        <is>
          <t>Medium</t>
        </is>
      </c>
      <c r="J187" s="13" t="inlineStr">
        <is>
          <t>Specified</t>
        </is>
      </c>
      <c r="K187" s="13" t="inlineStr">
        <is>
          <t>Group: Content. Diagram UC: Manage topics, knowledge points, questions, packages, vocabulary and videos.</t>
        </is>
      </c>
    </row>
    <row r="188" s="31">
      <c r="A188" s="10" t="inlineStr">
        <is>
          <t>UC-185</t>
        </is>
      </c>
      <c r="B188" s="11" t="inlineStr">
        <is>
          <t>View media asset</t>
        </is>
      </c>
      <c r="C188" s="11" t="inlineStr">
        <is>
          <t>Content Author</t>
        </is>
      </c>
      <c r="D188" s="11" t="inlineStr">
        <is>
          <t>—</t>
        </is>
      </c>
      <c r="E188" s="11" t="inlineStr">
        <is>
          <t>The asset exists.</t>
        </is>
      </c>
      <c r="F188" s="11" t="inlineStr">
        <is>
          <t>The author sees the asset with its media URL.</t>
        </is>
      </c>
      <c r="G188" s="11" t="inlineStr">
        <is>
          <t>FT-18</t>
        </is>
      </c>
      <c r="H188" s="11" t="inlineStr">
        <is>
          <t>—</t>
        </is>
      </c>
      <c r="I188" s="11" t="inlineStr">
        <is>
          <t>Medium</t>
        </is>
      </c>
      <c r="J188" s="11" t="inlineStr">
        <is>
          <t>Specified</t>
        </is>
      </c>
      <c r="K188" s="11" t="inlineStr">
        <is>
          <t>Group: Content. Diagram UC: Manage topics, knowledge points, questions, packages, vocabulary and videos.</t>
        </is>
      </c>
    </row>
    <row r="189" s="31">
      <c r="A189" s="12" t="inlineStr">
        <is>
          <t>UC-186</t>
        </is>
      </c>
      <c r="B189" s="13" t="inlineStr">
        <is>
          <t>Upload media file</t>
        </is>
      </c>
      <c r="C189" s="13" t="inlineStr">
        <is>
          <t>Content Author</t>
        </is>
      </c>
      <c r="D189" s="13" t="inlineStr">
        <is>
          <t>Media Storage</t>
        </is>
      </c>
      <c r="E189" s="13" t="inlineStr">
        <is>
          <t>A passage image (up to 5 MB) or Listening audio (up to 20 MB) is ready.</t>
        </is>
      </c>
      <c r="F189" s="13" t="inlineStr">
        <is>
          <t>The file is stored in Media Storage and only its URL or object key is kept.</t>
        </is>
      </c>
      <c r="G189" s="13" t="inlineStr">
        <is>
          <t>FT-18</t>
        </is>
      </c>
      <c r="H189" s="13" t="inlineStr">
        <is>
          <t>—</t>
        </is>
      </c>
      <c r="I189" s="13" t="inlineStr">
        <is>
          <t>Medium</t>
        </is>
      </c>
      <c r="J189" s="13" t="inlineStr">
        <is>
          <t>Draft</t>
        </is>
      </c>
      <c r="K189" s="13" t="inlineStr">
        <is>
          <t>Group: Content. Diagram UC: Upload media. Included by the asset use cases. Reference validation: Specified.</t>
        </is>
      </c>
    </row>
    <row r="190" s="31">
      <c r="A190" s="10" t="inlineStr">
        <is>
          <t>UC-187</t>
        </is>
      </c>
      <c r="B190" s="11" t="inlineStr">
        <is>
          <t>Create vocabulary entry</t>
        </is>
      </c>
      <c r="C190" s="11" t="inlineStr">
        <is>
          <t>Content Author</t>
        </is>
      </c>
      <c r="D190" s="11" t="inlineStr">
        <is>
          <t>—</t>
        </is>
      </c>
      <c r="E190" s="11" t="inlineStr">
        <is>
          <t>The author is signed in with role CONTENT_AUTHOR or ADMIN.</t>
        </is>
      </c>
      <c r="F190" s="11" t="inlineStr">
        <is>
          <t>A vocabulary entry is created.</t>
        </is>
      </c>
      <c r="G190" s="11" t="inlineStr">
        <is>
          <t>FT-36</t>
        </is>
      </c>
      <c r="H190" s="11" t="inlineStr">
        <is>
          <t>—</t>
        </is>
      </c>
      <c r="I190" s="11" t="inlineStr">
        <is>
          <t>Medium</t>
        </is>
      </c>
      <c r="J190" s="11" t="inlineStr">
        <is>
          <t>Specified</t>
        </is>
      </c>
      <c r="K190" s="11" t="inlineStr">
        <is>
          <t>Group: Content. Diagram UC: Manage topics, knowledge points, questions, packages, vocabulary and videos.</t>
        </is>
      </c>
    </row>
    <row r="191" s="31">
      <c r="A191" s="12" t="inlineStr">
        <is>
          <t>UC-188</t>
        </is>
      </c>
      <c r="B191" s="13" t="inlineStr">
        <is>
          <t>Add sense to vocabulary entry</t>
        </is>
      </c>
      <c r="C191" s="13" t="inlineStr">
        <is>
          <t>Content Author</t>
        </is>
      </c>
      <c r="D191" s="13" t="inlineStr">
        <is>
          <t>—</t>
        </is>
      </c>
      <c r="E191" s="13" t="inlineStr">
        <is>
          <t>The entry exists.</t>
        </is>
      </c>
      <c r="F191" s="13" t="inlineStr">
        <is>
          <t>A sense with its examples is added.</t>
        </is>
      </c>
      <c r="G191" s="13" t="inlineStr">
        <is>
          <t>FT-36</t>
        </is>
      </c>
      <c r="H191" s="13" t="inlineStr">
        <is>
          <t>—</t>
        </is>
      </c>
      <c r="I191" s="13" t="inlineStr">
        <is>
          <t>Medium</t>
        </is>
      </c>
      <c r="J191" s="13" t="inlineStr">
        <is>
          <t>Specified</t>
        </is>
      </c>
      <c r="K191" s="13" t="inlineStr">
        <is>
          <t>Group: Content. Diagram UC: Manage topics, knowledge points, questions, packages, vocabulary and videos.</t>
        </is>
      </c>
    </row>
    <row r="192" s="31">
      <c r="A192" s="10" t="inlineStr">
        <is>
          <t>UC-189</t>
        </is>
      </c>
      <c r="B192" s="11" t="inlineStr">
        <is>
          <t>Create video</t>
        </is>
      </c>
      <c r="C192" s="11" t="inlineStr">
        <is>
          <t>Content Author</t>
        </is>
      </c>
      <c r="D192" s="11" t="inlineStr">
        <is>
          <t>—</t>
        </is>
      </c>
      <c r="E192" s="11" t="inlineStr">
        <is>
          <t>The author is signed in with role CONTENT_AUTHOR or ADMIN.</t>
        </is>
      </c>
      <c r="F192" s="11" t="inlineStr">
        <is>
          <t>A DRAFT video linked to a topic is created.</t>
        </is>
      </c>
      <c r="G192" s="11" t="inlineStr">
        <is>
          <t>FT-37</t>
        </is>
      </c>
      <c r="H192" s="11" t="inlineStr">
        <is>
          <t>—</t>
        </is>
      </c>
      <c r="I192" s="11" t="inlineStr">
        <is>
          <t>Medium</t>
        </is>
      </c>
      <c r="J192" s="11" t="inlineStr">
        <is>
          <t>Specified</t>
        </is>
      </c>
      <c r="K192" s="11" t="inlineStr">
        <is>
          <t>Group: Content. Diagram UC: Manage topics, knowledge points, questions, packages, vocabulary and videos.</t>
        </is>
      </c>
    </row>
    <row r="193" s="31">
      <c r="A193" s="12" t="inlineStr">
        <is>
          <t>UC-190</t>
        </is>
      </c>
      <c r="B193" s="13" t="inlineStr">
        <is>
          <t>Add video segment</t>
        </is>
      </c>
      <c r="C193" s="13" t="inlineStr">
        <is>
          <t>Content Author</t>
        </is>
      </c>
      <c r="D193" s="13" t="inlineStr">
        <is>
          <t>—</t>
        </is>
      </c>
      <c r="E193" s="13" t="inlineStr">
        <is>
          <t>The video exists.</t>
        </is>
      </c>
      <c r="F193" s="13" t="inlineStr">
        <is>
          <t>A timed segment with reference text is added.</t>
        </is>
      </c>
      <c r="G193" s="13" t="inlineStr">
        <is>
          <t>FT-37</t>
        </is>
      </c>
      <c r="H193" s="13" t="inlineStr">
        <is>
          <t>—</t>
        </is>
      </c>
      <c r="I193" s="13" t="inlineStr">
        <is>
          <t>Medium</t>
        </is>
      </c>
      <c r="J193" s="13" t="inlineStr">
        <is>
          <t>Specified</t>
        </is>
      </c>
      <c r="K193" s="13" t="inlineStr">
        <is>
          <t>Group: Content. Diagram UC: Manage topics, knowledge points, questions, packages, vocabulary and videos.</t>
        </is>
      </c>
    </row>
    <row r="194" s="31">
      <c r="A194" s="10" t="inlineStr">
        <is>
          <t>UC-191</t>
        </is>
      </c>
      <c r="B194" s="11" t="inlineStr">
        <is>
          <t>Add lexical entry to segment</t>
        </is>
      </c>
      <c r="C194" s="11" t="inlineStr">
        <is>
          <t>Content Author</t>
        </is>
      </c>
      <c r="D194" s="11" t="inlineStr">
        <is>
          <t>—</t>
        </is>
      </c>
      <c r="E194" s="11" t="inlineStr">
        <is>
          <t>The segment exists.</t>
        </is>
      </c>
      <c r="F194" s="11" t="inlineStr">
        <is>
          <t>A word of the segment is linked to vocabulary.</t>
        </is>
      </c>
      <c r="G194" s="11" t="inlineStr">
        <is>
          <t>FT-37</t>
        </is>
      </c>
      <c r="H194" s="11" t="inlineStr">
        <is>
          <t>—</t>
        </is>
      </c>
      <c r="I194" s="11" t="inlineStr">
        <is>
          <t>Medium</t>
        </is>
      </c>
      <c r="J194" s="11" t="inlineStr">
        <is>
          <t>Specified</t>
        </is>
      </c>
      <c r="K194" s="11" t="inlineStr">
        <is>
          <t>Group: Content. Diagram UC: Manage topics, knowledge points, questions, packages, vocabulary and videos.</t>
        </is>
      </c>
    </row>
    <row r="195" s="31">
      <c r="A195" s="12" t="inlineStr">
        <is>
          <t>UC-192</t>
        </is>
      </c>
      <c r="B195" s="13" t="inlineStr">
        <is>
          <t>Publish video</t>
        </is>
      </c>
      <c r="C195" s="13" t="inlineStr">
        <is>
          <t>Content Author</t>
        </is>
      </c>
      <c r="D195" s="13" t="inlineStr">
        <is>
          <t>—</t>
        </is>
      </c>
      <c r="E195" s="13" t="inlineStr">
        <is>
          <t>The video has segments.</t>
        </is>
      </c>
      <c r="F195" s="13" t="inlineStr">
        <is>
          <t>The video is PUBLISHED and visible to learners.</t>
        </is>
      </c>
      <c r="G195" s="13" t="inlineStr">
        <is>
          <t>FT-37</t>
        </is>
      </c>
      <c r="H195" s="13" t="inlineStr">
        <is>
          <t>—</t>
        </is>
      </c>
      <c r="I195" s="13" t="inlineStr">
        <is>
          <t>Medium</t>
        </is>
      </c>
      <c r="J195" s="13" t="inlineStr">
        <is>
          <t>Specified</t>
        </is>
      </c>
      <c r="K195" s="13" t="inlineStr">
        <is>
          <t>Group: Content. Diagram UC: Manage topics, knowledge points, questions, packages, vocabulary and videos.</t>
        </is>
      </c>
    </row>
    <row r="196" s="31">
      <c r="A196" s="10" t="inlineStr">
        <is>
          <t>UC-193</t>
        </is>
      </c>
      <c r="B196" s="11" t="inlineStr">
        <is>
          <t>Create lesson</t>
        </is>
      </c>
      <c r="C196" s="11" t="inlineStr">
        <is>
          <t>Content Author</t>
        </is>
      </c>
      <c r="D196" s="11" t="inlineStr">
        <is>
          <t>—</t>
        </is>
      </c>
      <c r="E196" s="11" t="inlineStr">
        <is>
          <t>The topic exists and has a skill.</t>
        </is>
      </c>
      <c r="F196" s="11" t="inlineStr">
        <is>
          <t>A DRAFT lesson is created in the topic.</t>
        </is>
      </c>
      <c r="G196" s="11" t="inlineStr">
        <is>
          <t>FT-19</t>
        </is>
      </c>
      <c r="H196" s="11" t="inlineStr">
        <is>
          <t>—</t>
        </is>
      </c>
      <c r="I196" s="11" t="inlineStr">
        <is>
          <t>Medium</t>
        </is>
      </c>
      <c r="J196" s="11" t="inlineStr">
        <is>
          <t>Draft</t>
        </is>
      </c>
      <c r="K196" s="11" t="inlineStr">
        <is>
          <t>Group: Content. Diagram UC: Author lessons.</t>
        </is>
      </c>
    </row>
    <row r="197" s="31">
      <c r="A197" s="12" t="inlineStr">
        <is>
          <t>UC-194</t>
        </is>
      </c>
      <c r="B197" s="13" t="inlineStr">
        <is>
          <t>Edit lesson blocks</t>
        </is>
      </c>
      <c r="C197" s="13" t="inlineStr">
        <is>
          <t>Content Author</t>
        </is>
      </c>
      <c r="D197" s="13" t="inlineStr">
        <is>
          <t>—</t>
        </is>
      </c>
      <c r="E197" s="13" t="inlineStr">
        <is>
          <t>The lesson is DRAFT.</t>
        </is>
      </c>
      <c r="F197" s="13" t="inlineStr">
        <is>
          <t>The ordered blocks (theory, assets, exercises, essays) are saved; every question and KP belongs to the topic.</t>
        </is>
      </c>
      <c r="G197" s="13" t="inlineStr">
        <is>
          <t>FT-19</t>
        </is>
      </c>
      <c r="H197" s="13" t="inlineStr">
        <is>
          <t>—</t>
        </is>
      </c>
      <c r="I197" s="13" t="inlineStr">
        <is>
          <t>Medium</t>
        </is>
      </c>
      <c r="J197" s="13" t="inlineStr">
        <is>
          <t>Draft</t>
        </is>
      </c>
      <c r="K197" s="13" t="inlineStr">
        <is>
          <t>Group: Content. Diagram UC: Author lessons.</t>
        </is>
      </c>
    </row>
    <row r="198" s="31">
      <c r="A198" s="10" t="inlineStr">
        <is>
          <t>UC-195</t>
        </is>
      </c>
      <c r="B198" s="11" t="inlineStr">
        <is>
          <t>Publish lesson</t>
        </is>
      </c>
      <c r="C198" s="11" t="inlineStr">
        <is>
          <t>Content Author</t>
        </is>
      </c>
      <c r="D198" s="11" t="inlineStr">
        <is>
          <t>—</t>
        </is>
      </c>
      <c r="E198" s="11" t="inlineStr">
        <is>
          <t>The lesson has at least one block.</t>
        </is>
      </c>
      <c r="F198" s="11" t="inlineStr">
        <is>
          <t>The lesson is PUBLISHED and joins the path.</t>
        </is>
      </c>
      <c r="G198" s="11" t="inlineStr">
        <is>
          <t>FT-19</t>
        </is>
      </c>
      <c r="H198" s="11" t="inlineStr">
        <is>
          <t>—</t>
        </is>
      </c>
      <c r="I198" s="11" t="inlineStr">
        <is>
          <t>Medium</t>
        </is>
      </c>
      <c r="J198" s="11" t="inlineStr">
        <is>
          <t>Draft</t>
        </is>
      </c>
      <c r="K198" s="11" t="inlineStr">
        <is>
          <t>Group: Content. Diagram UC: Author lessons.</t>
        </is>
      </c>
    </row>
  </sheetData>
  <autoFilter ref="A3:K45"/>
  <dataValidations count="2">
    <dataValidation sqref="J4:J198" showDropDown="0" showInputMessage="0" showErrorMessage="0" allowBlank="1" type="list">
      <formula1>"Specified,Draft,In Review,Deprecated"</formula1>
      <formula2>0</formula2>
    </dataValidation>
    <dataValidation sqref="I4:I198" showDropDown="0" showInputMessage="0" showErrorMessage="0" allowBlank="1" type="list">
      <formula1>"High,Medium,Low"</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2E75B6"/>
    <outlinePr summaryBelow="1" summaryRight="1"/>
    <pageSetUpPr/>
  </sheetPr>
  <dimension ref="A1:N58"/>
  <sheetViews>
    <sheetView showGridLines="0" zoomScaleNormal="100" workbookViewId="0">
      <pane xSplit="2" ySplit="3" topLeftCell="G5" activePane="bottomRight" state="frozen"/>
      <selection pane="topRight" activeCell="A1" sqref="A1"/>
      <selection pane="bottomLeft" activeCell="A4" sqref="A4"/>
      <selection pane="bottomRight" activeCell="N8" sqref="N8"/>
    </sheetView>
  </sheetViews>
  <sheetFormatPr baseColWidth="8" defaultColWidth="8.6640625" defaultRowHeight="14.4"/>
  <cols>
    <col width="9" customWidth="1" style="31" min="1" max="1"/>
    <col width="26" customWidth="1" style="31" min="2" max="2"/>
    <col width="25.5546875" customWidth="1" style="31" min="3" max="3"/>
    <col width="13" customWidth="1" style="31" min="4" max="4"/>
    <col width="16" customWidth="1" style="31" min="5" max="5"/>
    <col width="14" customWidth="1" style="31" min="6" max="6"/>
    <col width="30" customWidth="1" style="31" min="7" max="7"/>
    <col width="22" customWidth="1" style="31" min="8" max="9"/>
    <col width="21.77734375" customWidth="1" style="31" min="10" max="10"/>
    <col width="20" customWidth="1" style="31" min="11" max="11"/>
    <col width="25.44140625" customWidth="1" style="31" min="12" max="12"/>
    <col width="24.77734375" customWidth="1" style="31" min="13" max="13"/>
    <col width="55" customWidth="1" style="31" min="14" max="14"/>
  </cols>
  <sheetData>
    <row r="1" ht="17.7" customHeight="1" s="31">
      <c r="A1" s="7" t="inlineStr">
        <is>
          <t>Feature Traceability Matrix</t>
        </is>
      </c>
    </row>
    <row r="2" ht="15.75" customHeight="1" s="31">
      <c r="A2" s="8" t="inlineStr">
        <is>
          <t>Source: Report 3.0_SRS_IELTSPath_IeltsPath_v1.docx (Part 3 Feature List and feature tables: FE, SC, Related UC, Applicable Business Rules, AC/NAC/BV; Part 4.1 entities; Part 6 NFRs) and Report 5.0_TestPlan_IELTSPath_v1.docx (In Scope / Out of Scope). UC IDs from Sheet 2. NFR IDs = NFRs the feature mainly verifies; NFR-P01, NFR-S03, NFR-SEC02/03/10, NFR-U01/02 and NFR-M01–M06 apply to every feature. Status: Specified = built in the current release; Draft = required but not yet built. Test Case IDs, Owner and Sprint are left blank until the test workbooks, team assignment and sprint plan exist.</t>
        </is>
      </c>
    </row>
    <row r="3" ht="31.5" customHeight="1" s="31">
      <c r="A3" s="3" t="inlineStr">
        <is>
          <t>SRS FT ID</t>
        </is>
      </c>
      <c r="B3" s="3" t="inlineStr">
        <is>
          <t>Feature Name</t>
        </is>
      </c>
      <c r="C3" s="3" t="inlineStr">
        <is>
          <t>V&amp;S Source (FE)</t>
        </is>
      </c>
      <c r="D3" s="3" t="inlineStr">
        <is>
          <t>Module</t>
        </is>
      </c>
      <c r="E3" s="3" t="inlineStr">
        <is>
          <t>Related UC(s)</t>
        </is>
      </c>
      <c r="F3" s="3" t="inlineStr">
        <is>
          <t>Related Scenario(s)</t>
        </is>
      </c>
      <c r="G3" s="3" t="inlineStr">
        <is>
          <t>Data Entities</t>
        </is>
      </c>
      <c r="H3" s="3" t="inlineStr">
        <is>
          <t>NFR IDs</t>
        </is>
      </c>
      <c r="I3" s="3" t="inlineStr">
        <is>
          <t>Business Rules</t>
        </is>
      </c>
      <c r="J3" s="3" t="inlineStr">
        <is>
          <t>Test Case ID(s)</t>
        </is>
      </c>
      <c r="K3" s="3" t="inlineStr">
        <is>
          <t>Owner</t>
        </is>
      </c>
      <c r="L3" s="3" t="inlineStr">
        <is>
          <t>Sprint</t>
        </is>
      </c>
      <c r="M3" s="3" t="inlineStr">
        <is>
          <t>Status</t>
        </is>
      </c>
      <c r="N3" s="3" t="inlineStr">
        <is>
          <t>Notes</t>
        </is>
      </c>
    </row>
    <row r="4" ht="79.95" customHeight="1" s="31">
      <c r="A4" s="26" t="inlineStr">
        <is>
          <t>FT-01</t>
        </is>
      </c>
      <c r="B4" s="11" t="inlineStr">
        <is>
          <t>Account registration</t>
        </is>
      </c>
      <c r="C4" s="27" t="inlineStr">
        <is>
          <t>FE-01</t>
        </is>
      </c>
      <c r="D4" s="27" t="inlineStr">
        <is>
          <t>Account</t>
        </is>
      </c>
      <c r="E4" s="11" t="inlineStr">
        <is>
          <t>UC-001</t>
        </is>
      </c>
      <c r="F4" s="11" t="inlineStr">
        <is>
          <t>SC-01</t>
        </is>
      </c>
      <c r="G4" s="11" t="inlineStr">
        <is>
          <t>User, Role</t>
        </is>
      </c>
      <c r="H4" s="11" t="inlineStr">
        <is>
          <t>NFR-SEC04, NFR-U02</t>
        </is>
      </c>
      <c r="I4" s="11" t="inlineStr">
        <is>
          <t>BR-01, BR-02</t>
        </is>
      </c>
      <c r="J4" s="11" t="n"/>
      <c r="K4" s="11" t="n"/>
      <c r="L4" s="27" t="n"/>
      <c r="M4" s="27" t="inlineStr">
        <is>
          <t>Specified</t>
        </is>
      </c>
      <c r="N4" s="11" t="inlineStr">
        <is>
          <t>Report 5: In Scope (this phase).</t>
        </is>
      </c>
    </row>
    <row r="5" ht="79.95" customHeight="1" s="31">
      <c r="A5" s="28" t="inlineStr">
        <is>
          <t>FT-02</t>
        </is>
      </c>
      <c r="B5" s="13" t="inlineStr">
        <is>
          <t>Password sign-in</t>
        </is>
      </c>
      <c r="C5" s="29" t="inlineStr">
        <is>
          <t>FE-01</t>
        </is>
      </c>
      <c r="D5" s="29" t="inlineStr">
        <is>
          <t>Account</t>
        </is>
      </c>
      <c r="E5" s="13" t="inlineStr">
        <is>
          <t>UC-002</t>
        </is>
      </c>
      <c r="F5" s="13" t="inlineStr">
        <is>
          <t>SC-01</t>
        </is>
      </c>
      <c r="G5" s="13" t="inlineStr">
        <is>
          <t>User, Role, Refresh Token</t>
        </is>
      </c>
      <c r="H5" s="13" t="inlineStr">
        <is>
          <t>NFR-SEC02, NFR-SEC03, NFR-SEC05, NFR-SEC11</t>
        </is>
      </c>
      <c r="I5" s="13" t="inlineStr">
        <is>
          <t>BR-04, BR-06</t>
        </is>
      </c>
      <c r="J5" s="13" t="n"/>
      <c r="K5" s="13" t="n"/>
      <c r="L5" s="29" t="n"/>
      <c r="M5" s="29" t="inlineStr">
        <is>
          <t>Specified</t>
        </is>
      </c>
      <c r="N5" s="13" t="inlineStr">
        <is>
          <t>Report 5: In Scope (this phase).</t>
        </is>
      </c>
    </row>
    <row r="6" ht="79.95" customHeight="1" s="31">
      <c r="A6" s="26" t="inlineStr">
        <is>
          <t>FT-03</t>
        </is>
      </c>
      <c r="B6" s="11" t="inlineStr">
        <is>
          <t>Session refresh &amp; sign-out</t>
        </is>
      </c>
      <c r="C6" s="27" t="inlineStr">
        <is>
          <t>FE-01</t>
        </is>
      </c>
      <c r="D6" s="27" t="inlineStr">
        <is>
          <t>Account</t>
        </is>
      </c>
      <c r="E6" s="11" t="inlineStr">
        <is>
          <t>UC-003 to UC-004</t>
        </is>
      </c>
      <c r="F6" s="11" t="inlineStr">
        <is>
          <t>SC-01</t>
        </is>
      </c>
      <c r="G6" s="11" t="inlineStr">
        <is>
          <t>Refresh Token, User</t>
        </is>
      </c>
      <c r="H6" s="11" t="inlineStr">
        <is>
          <t>NFR-SEC04, NFR-SEC05</t>
        </is>
      </c>
      <c r="I6" s="11" t="inlineStr">
        <is>
          <t>BR-04</t>
        </is>
      </c>
      <c r="J6" s="11" t="n"/>
      <c r="K6" s="11" t="n"/>
      <c r="L6" s="27" t="n"/>
      <c r="M6" s="27" t="inlineStr">
        <is>
          <t>Specified</t>
        </is>
      </c>
      <c r="N6" s="11" t="inlineStr">
        <is>
          <t>Report 5: In Scope (this phase).</t>
        </is>
      </c>
    </row>
    <row r="7" ht="79.95" customHeight="1" s="31">
      <c r="A7" s="28" t="inlineStr">
        <is>
          <t>FT-04</t>
        </is>
      </c>
      <c r="B7" s="13" t="inlineStr">
        <is>
          <t>Password recovery by email</t>
        </is>
      </c>
      <c r="C7" s="29" t="inlineStr">
        <is>
          <t>FE-01</t>
        </is>
      </c>
      <c r="D7" s="29" t="inlineStr">
        <is>
          <t>Account</t>
        </is>
      </c>
      <c r="E7" s="13" t="inlineStr">
        <is>
          <t>UC-008 to UC-010, UC-033 to UC-034</t>
        </is>
      </c>
      <c r="F7" s="13" t="inlineStr">
        <is>
          <t>SC-01</t>
        </is>
      </c>
      <c r="G7" s="13" t="inlineStr">
        <is>
          <t>Account Action Token, User</t>
        </is>
      </c>
      <c r="H7" s="13" t="inlineStr">
        <is>
          <t>NFR-SEC04, NFR-SEC05, NFR-SEC11, NFR-SEC12</t>
        </is>
      </c>
      <c r="I7" s="13" t="inlineStr">
        <is>
          <t>BR-02, BR-03</t>
        </is>
      </c>
      <c r="J7" s="13" t="n"/>
      <c r="K7" s="13" t="n"/>
      <c r="L7" s="29" t="n"/>
      <c r="M7" s="29" t="inlineStr">
        <is>
          <t>Specified</t>
        </is>
      </c>
      <c r="N7" s="13" t="inlineStr">
        <is>
          <t>Email delivery: Draft. Report 5: In Scope (this phase).</t>
        </is>
      </c>
    </row>
    <row r="8" ht="79.95" customHeight="1" s="31">
      <c r="A8" s="26" t="inlineStr">
        <is>
          <t>FT-05</t>
        </is>
      </c>
      <c r="B8" s="11" t="inlineStr">
        <is>
          <t>OAuth sign-in</t>
        </is>
      </c>
      <c r="C8" s="27" t="inlineStr">
        <is>
          <t>FE-01</t>
        </is>
      </c>
      <c r="D8" s="27" t="inlineStr">
        <is>
          <t>Account</t>
        </is>
      </c>
      <c r="E8" s="11" t="inlineStr">
        <is>
          <t>UC-005 to UC-007, UC-031 to UC-032</t>
        </is>
      </c>
      <c r="F8" s="11" t="inlineStr">
        <is>
          <t>SC-01</t>
        </is>
      </c>
      <c r="G8" s="11" t="inlineStr">
        <is>
          <t>OAuth Identity, User, Refresh Token</t>
        </is>
      </c>
      <c r="H8" s="11" t="inlineStr">
        <is>
          <t>NFR-SEC05</t>
        </is>
      </c>
      <c r="I8" s="11" t="inlineStr">
        <is>
          <t>BR-01, BR-04</t>
        </is>
      </c>
      <c r="J8" s="11" t="n"/>
      <c r="K8" s="11" t="n"/>
      <c r="L8" s="27" t="n"/>
      <c r="M8" s="27" t="inlineStr">
        <is>
          <t>Draft</t>
        </is>
      </c>
      <c r="N8" s="11" t="inlineStr">
        <is>
          <t>List and unlink: Specified. Report 5: In Scope (this phase).</t>
        </is>
      </c>
    </row>
    <row r="9" ht="79.95" customHeight="1" s="31">
      <c r="A9" s="28" t="inlineStr">
        <is>
          <t>FT-06</t>
        </is>
      </c>
      <c r="B9" s="13" t="inlineStr">
        <is>
          <t>Account &amp; learner profile</t>
        </is>
      </c>
      <c r="C9" s="29" t="inlineStr">
        <is>
          <t>FE-01</t>
        </is>
      </c>
      <c r="D9" s="29" t="inlineStr">
        <is>
          <t>Account</t>
        </is>
      </c>
      <c r="E9" s="13" t="inlineStr">
        <is>
          <t>UC-011 to UC-014, UC-026 to UC-028</t>
        </is>
      </c>
      <c r="F9" s="13" t="inlineStr">
        <is>
          <t>SC-01</t>
        </is>
      </c>
      <c r="G9" s="13" t="inlineStr">
        <is>
          <t>User, Learner Profile</t>
        </is>
      </c>
      <c r="H9" s="13" t="inlineStr">
        <is>
          <t>NFR-SEC06, NFR-C01</t>
        </is>
      </c>
      <c r="I9" s="13" t="inlineStr">
        <is>
          <t>BR-27</t>
        </is>
      </c>
      <c r="J9" s="13" t="n"/>
      <c r="K9" s="13" t="n"/>
      <c r="L9" s="29" t="n"/>
      <c r="M9" s="29" t="inlineStr">
        <is>
          <t>Specified</t>
        </is>
      </c>
      <c r="N9" s="13" t="inlineStr">
        <is>
          <t>Report 5: In Scope (this phase).</t>
        </is>
      </c>
    </row>
    <row r="10" ht="79.95" customHeight="1" s="31">
      <c r="A10" s="26" t="inlineStr">
        <is>
          <t>FT-07</t>
        </is>
      </c>
      <c r="B10" s="11" t="inlineStr">
        <is>
          <t>Role-based authorization</t>
        </is>
      </c>
      <c r="C10" s="27" t="inlineStr">
        <is>
          <t>FE-01</t>
        </is>
      </c>
      <c r="D10" s="27" t="inlineStr">
        <is>
          <t>Account</t>
        </is>
      </c>
      <c r="E10" s="11" t="inlineStr">
        <is>
          <t>UC-002, UC-023</t>
        </is>
      </c>
      <c r="F10" s="11" t="inlineStr">
        <is>
          <t>SC-01</t>
        </is>
      </c>
      <c r="G10" s="11" t="inlineStr">
        <is>
          <t>User, Role</t>
        </is>
      </c>
      <c r="H10" s="11" t="inlineStr">
        <is>
          <t>NFR-SEC02, NFR-SEC03, NFR-SEC06, NFR-SEC09</t>
        </is>
      </c>
      <c r="I10" s="11" t="inlineStr">
        <is>
          <t>BR-06</t>
        </is>
      </c>
      <c r="J10" s="11" t="n"/>
      <c r="K10" s="11" t="n"/>
      <c r="L10" s="27" t="n"/>
      <c r="M10" s="27" t="inlineStr">
        <is>
          <t>Specified</t>
        </is>
      </c>
      <c r="N10" s="11" t="inlineStr">
        <is>
          <t>Cross-cutting: enforced in every UC; UC-023 assigns the roles. Report 5: In Scope (this phase).</t>
        </is>
      </c>
    </row>
    <row r="11" ht="79.95" customHeight="1" s="31">
      <c r="A11" s="28" t="inlineStr">
        <is>
          <t>FT-08</t>
        </is>
      </c>
      <c r="B11" s="13" t="inlineStr">
        <is>
          <t>User administration</t>
        </is>
      </c>
      <c r="C11" s="29" t="inlineStr">
        <is>
          <t>FE-01</t>
        </is>
      </c>
      <c r="D11" s="29" t="inlineStr">
        <is>
          <t>Account</t>
        </is>
      </c>
      <c r="E11" s="13" t="inlineStr">
        <is>
          <t>UC-019 to UC-034</t>
        </is>
      </c>
      <c r="F11" s="13" t="inlineStr">
        <is>
          <t>—</t>
        </is>
      </c>
      <c r="G11" s="13" t="inlineStr">
        <is>
          <t>User, Role, Account Action Token, OAuth Identity</t>
        </is>
      </c>
      <c r="H11" s="13" t="inlineStr">
        <is>
          <t>NFR-SEC06, NFR-P04</t>
        </is>
      </c>
      <c r="I11" s="13" t="inlineStr">
        <is>
          <t>BR-06</t>
        </is>
      </c>
      <c r="J11" s="13" t="n"/>
      <c r="K11" s="13" t="n"/>
      <c r="L11" s="29" t="n"/>
      <c r="M11" s="29" t="inlineStr">
        <is>
          <t>Specified</t>
        </is>
      </c>
      <c r="N11" s="13" t="inlineStr">
        <is>
          <t>Report 5: In Scope (this phase).</t>
        </is>
      </c>
    </row>
    <row r="12" ht="79.95" customHeight="1" s="31">
      <c r="A12" s="26" t="inlineStr">
        <is>
          <t>FT-09</t>
        </is>
      </c>
      <c r="B12" s="11" t="inlineStr">
        <is>
          <t>Learning goal</t>
        </is>
      </c>
      <c r="C12" s="27" t="inlineStr">
        <is>
          <t>FE-02</t>
        </is>
      </c>
      <c r="D12" s="27" t="inlineStr">
        <is>
          <t>Account</t>
        </is>
      </c>
      <c r="E12" s="11" t="inlineStr">
        <is>
          <t>UC-015 to UC-018, UC-029 to UC-030</t>
        </is>
      </c>
      <c r="F12" s="11" t="inlineStr">
        <is>
          <t>SC-01</t>
        </is>
      </c>
      <c r="G12" s="11" t="inlineStr">
        <is>
          <t>Learning Goal</t>
        </is>
      </c>
      <c r="H12" s="11" t="inlineStr">
        <is>
          <t>NFR-U02</t>
        </is>
      </c>
      <c r="I12" s="11" t="inlineStr">
        <is>
          <t>BR-05</t>
        </is>
      </c>
      <c r="J12" s="11" t="n"/>
      <c r="K12" s="11" t="n"/>
      <c r="L12" s="27" t="n"/>
      <c r="M12" s="27" t="inlineStr">
        <is>
          <t>Specified</t>
        </is>
      </c>
      <c r="N12" s="11" t="inlineStr">
        <is>
          <t>Goal update: Draft. Report 5: In Scope (this phase).</t>
        </is>
      </c>
    </row>
    <row r="13" ht="79.95" customHeight="1" s="31">
      <c r="A13" s="28" t="inlineStr">
        <is>
          <t>FT-10</t>
        </is>
      </c>
      <c r="B13" s="13" t="inlineStr">
        <is>
          <t>Plans &amp; subscriptions</t>
        </is>
      </c>
      <c r="C13" s="29" t="inlineStr">
        <is>
          <t>FE-03</t>
        </is>
      </c>
      <c r="D13" s="29" t="inlineStr">
        <is>
          <t>Access</t>
        </is>
      </c>
      <c r="E13" s="13" t="inlineStr">
        <is>
          <t>UC-084 to UC-085, UC-088, UC-094 to UC-095, UC-097</t>
        </is>
      </c>
      <c r="F13" s="13" t="inlineStr">
        <is>
          <t>—</t>
        </is>
      </c>
      <c r="G13" s="13" t="inlineStr">
        <is>
          <t>Plan, Plan Feature, Subscription, Key Product</t>
        </is>
      </c>
      <c r="H13" s="13" t="inlineStr">
        <is>
          <t>NFR-C04</t>
        </is>
      </c>
      <c r="I13" s="13" t="inlineStr">
        <is>
          <t>BR-08</t>
        </is>
      </c>
      <c r="J13" s="13" t="n"/>
      <c r="K13" s="13" t="n"/>
      <c r="L13" s="29" t="n"/>
      <c r="M13" s="29" t="inlineStr">
        <is>
          <t>Specified</t>
        </is>
      </c>
      <c r="N13" s="13" t="inlineStr">
        <is>
          <t>Report 5: Out of Scope, later report on activity/streak, plans, subscriptions, keys, points, games &amp; community.</t>
        </is>
      </c>
    </row>
    <row r="14" ht="79.95" customHeight="1" s="31">
      <c r="A14" s="26" t="inlineStr">
        <is>
          <t>FT-11</t>
        </is>
      </c>
      <c r="B14" s="11" t="inlineStr">
        <is>
          <t>Activation keys</t>
        </is>
      </c>
      <c r="C14" s="27" t="inlineStr">
        <is>
          <t>FE-03</t>
        </is>
      </c>
      <c r="D14" s="27" t="inlineStr">
        <is>
          <t>Access</t>
        </is>
      </c>
      <c r="E14" s="11" t="inlineStr">
        <is>
          <t>UC-088, UC-090 to UC-093, UC-095</t>
        </is>
      </c>
      <c r="F14" s="11" t="inlineStr">
        <is>
          <t>—</t>
        </is>
      </c>
      <c r="G14" s="11" t="inlineStr">
        <is>
          <t>Activation Key, Key Activation, Key Product, Subscription, Point Wallet</t>
        </is>
      </c>
      <c r="H14" s="11" t="inlineStr">
        <is>
          <t>NFR-SEC04, NFR-A01, NFR-A03, NFR-C04</t>
        </is>
      </c>
      <c r="I14" s="11" t="inlineStr">
        <is>
          <t>BR-07, BR-08, BR-30</t>
        </is>
      </c>
      <c r="J14" s="11" t="n"/>
      <c r="K14" s="11" t="n"/>
      <c r="L14" s="27" t="n"/>
      <c r="M14" s="27" t="inlineStr">
        <is>
          <t>Specified</t>
        </is>
      </c>
      <c r="N14" s="11" t="inlineStr">
        <is>
          <t>Sale access and key list: Draft. Report 5: Out of Scope, later report on activity/streak, plans, subscriptions, keys, points, games &amp; community.</t>
        </is>
      </c>
    </row>
    <row r="15" ht="79.95" customHeight="1" s="31">
      <c r="A15" s="28" t="inlineStr">
        <is>
          <t>FT-12</t>
        </is>
      </c>
      <c r="B15" s="13" t="inlineStr">
        <is>
          <t>Point wallet</t>
        </is>
      </c>
      <c r="C15" s="29" t="inlineStr">
        <is>
          <t>FE-03</t>
        </is>
      </c>
      <c r="D15" s="29" t="inlineStr">
        <is>
          <t>Access</t>
        </is>
      </c>
      <c r="E15" s="13" t="inlineStr">
        <is>
          <t>UC-041, UC-086 to UC-087, UC-096</t>
        </is>
      </c>
      <c r="F15" s="13" t="inlineStr">
        <is>
          <t>—</t>
        </is>
      </c>
      <c r="G15" s="13" t="inlineStr">
        <is>
          <t>Point Wallet, Point Ledger Entry</t>
        </is>
      </c>
      <c r="H15" s="13" t="inlineStr">
        <is>
          <t>NFR-A03, NFR-P04, NFR-C04</t>
        </is>
      </c>
      <c r="I15" s="13" t="inlineStr">
        <is>
          <t>BR-09, BR-10, BR-30</t>
        </is>
      </c>
      <c r="J15" s="13" t="n"/>
      <c r="K15" s="13" t="n"/>
      <c r="L15" s="29" t="n"/>
      <c r="M15" s="29" t="inlineStr">
        <is>
          <t>Specified</t>
        </is>
      </c>
      <c r="N15" s="13" t="inlineStr">
        <is>
          <t>Report 5: Out of Scope, later report on activity/streak, plans, subscriptions, keys, points, games &amp; community.</t>
        </is>
      </c>
    </row>
    <row r="16" ht="79.95" customHeight="1" s="31">
      <c r="A16" s="26" t="inlineStr">
        <is>
          <t>FT-13</t>
        </is>
      </c>
      <c r="B16" s="11" t="inlineStr">
        <is>
          <t>Premium content access</t>
        </is>
      </c>
      <c r="C16" s="27" t="inlineStr">
        <is>
          <t>FE-03</t>
        </is>
      </c>
      <c r="D16" s="27" t="inlineStr">
        <is>
          <t>Access</t>
        </is>
      </c>
      <c r="E16" s="11" t="inlineStr">
        <is>
          <t>UC-036, UC-038, UC-089</t>
        </is>
      </c>
      <c r="F16" s="11" t="inlineStr">
        <is>
          <t>—</t>
        </is>
      </c>
      <c r="G16" s="11" t="inlineStr">
        <is>
          <t>Plan Feature, Subscription, Topic, Content Package</t>
        </is>
      </c>
      <c r="H16" s="11" t="inlineStr">
        <is>
          <t>NFR-SEC06, NFR-P02</t>
        </is>
      </c>
      <c r="I16" s="11" t="inlineStr">
        <is>
          <t>BR-16, BR-34</t>
        </is>
      </c>
      <c r="J16" s="11" t="n"/>
      <c r="K16" s="11" t="n"/>
      <c r="L16" s="27" t="n"/>
      <c r="M16" s="27" t="inlineStr">
        <is>
          <t>Specified</t>
        </is>
      </c>
      <c r="N16" s="11" t="inlineStr">
        <is>
          <t>Enforcement: Draft. Report 5: Out of Scope, later report on activity/streak, plans, subscriptions, keys, points, games &amp; community.</t>
        </is>
      </c>
    </row>
    <row r="17" ht="79.95" customHeight="1" s="31">
      <c r="A17" s="28" t="inlineStr">
        <is>
          <t>FT-14</t>
        </is>
      </c>
      <c r="B17" s="13" t="inlineStr">
        <is>
          <t>Examiner grading credits</t>
        </is>
      </c>
      <c r="C17" s="29" t="inlineStr">
        <is>
          <t>FE-03, FE-06</t>
        </is>
      </c>
      <c r="D17" s="29" t="inlineStr">
        <is>
          <t>Access</t>
        </is>
      </c>
      <c r="E17" s="13" t="inlineStr">
        <is>
          <t>UC-080, UC-088</t>
        </is>
      </c>
      <c r="F17" s="13" t="inlineStr">
        <is>
          <t>SC-04</t>
        </is>
      </c>
      <c r="G17" s="13" t="inlineStr">
        <is>
          <t>Subscription, Key Product, Human Review</t>
        </is>
      </c>
      <c r="H17" s="13" t="inlineStr">
        <is>
          <t>NFR-A03, NFR-C04</t>
        </is>
      </c>
      <c r="I17" s="13" t="inlineStr">
        <is>
          <t>BR-31</t>
        </is>
      </c>
      <c r="J17" s="13" t="n"/>
      <c r="K17" s="13" t="n"/>
      <c r="L17" s="29" t="n"/>
      <c r="M17" s="29" t="inlineStr">
        <is>
          <t>Specified</t>
        </is>
      </c>
      <c r="N17" s="13" t="inlineStr">
        <is>
          <t>Learner flow: Draft. Report 5: In Scope (this phase).</t>
        </is>
      </c>
    </row>
    <row r="18" ht="79.95" customHeight="1" s="31">
      <c r="A18" s="26" t="inlineStr">
        <is>
          <t>FT-15</t>
        </is>
      </c>
      <c r="B18" s="11" t="inlineStr">
        <is>
          <t>Courses, topics &amp; knowledge points</t>
        </is>
      </c>
      <c r="C18" s="27" t="inlineStr">
        <is>
          <t>FE-04</t>
        </is>
      </c>
      <c r="D18" s="27" t="inlineStr">
        <is>
          <t>Content</t>
        </is>
      </c>
      <c r="E18" s="11" t="inlineStr">
        <is>
          <t>UC-162 to UC-170</t>
        </is>
      </c>
      <c r="F18" s="11" t="inlineStr">
        <is>
          <t>—</t>
        </is>
      </c>
      <c r="G18" s="11" t="inlineStr">
        <is>
          <t>Course, Topic, Knowledge Point</t>
        </is>
      </c>
      <c r="H18" s="11" t="inlineStr">
        <is>
          <t>NFR-SEC06</t>
        </is>
      </c>
      <c r="I18" s="11" t="inlineStr">
        <is>
          <t>BR-12, BR-35</t>
        </is>
      </c>
      <c r="J18" s="11" t="n"/>
      <c r="K18" s="11" t="n"/>
      <c r="L18" s="27" t="n"/>
      <c r="M18" s="27" t="inlineStr">
        <is>
          <t>Specified</t>
        </is>
      </c>
      <c r="N18" s="11" t="inlineStr">
        <is>
          <t>Report 5: In Scope (this phase).</t>
        </is>
      </c>
    </row>
    <row r="19" ht="79.95" customHeight="1" s="31">
      <c r="A19" s="28" t="inlineStr">
        <is>
          <t>FT-16</t>
        </is>
      </c>
      <c r="B19" s="13" t="inlineStr">
        <is>
          <t>Question bank</t>
        </is>
      </c>
      <c r="C19" s="29" t="inlineStr">
        <is>
          <t>FE-04</t>
        </is>
      </c>
      <c r="D19" s="29" t="inlineStr">
        <is>
          <t>Content</t>
        </is>
      </c>
      <c r="E19" s="13" t="inlineStr">
        <is>
          <t>UC-171 to UC-175</t>
        </is>
      </c>
      <c r="F19" s="13" t="inlineStr">
        <is>
          <t>—</t>
        </is>
      </c>
      <c r="G19" s="13" t="inlineStr">
        <is>
          <t>Question, Question Version, Knowledge Point</t>
        </is>
      </c>
      <c r="H19" s="13" t="inlineStr">
        <is>
          <t>NFR-SEC07</t>
        </is>
      </c>
      <c r="I19" s="13" t="inlineStr">
        <is>
          <t>BR-14</t>
        </is>
      </c>
      <c r="J19" s="13" t="n"/>
      <c r="K19" s="13" t="n"/>
      <c r="L19" s="29" t="n"/>
      <c r="M19" s="29" t="inlineStr">
        <is>
          <t>Specified</t>
        </is>
      </c>
      <c r="N19" s="13" t="inlineStr">
        <is>
          <t>Report 5: In Scope (this phase).</t>
        </is>
      </c>
    </row>
    <row r="20" ht="79.95" customHeight="1" s="31">
      <c r="A20" s="26" t="inlineStr">
        <is>
          <t>FT-17</t>
        </is>
      </c>
      <c r="B20" s="11" t="inlineStr">
        <is>
          <t>Content packages &amp; publishing</t>
        </is>
      </c>
      <c r="C20" s="27" t="inlineStr">
        <is>
          <t>FE-04</t>
        </is>
      </c>
      <c r="D20" s="27" t="inlineStr">
        <is>
          <t>Content</t>
        </is>
      </c>
      <c r="E20" s="11" t="inlineStr">
        <is>
          <t>UC-176 to UC-182</t>
        </is>
      </c>
      <c r="F20" s="11" t="inlineStr">
        <is>
          <t>—</t>
        </is>
      </c>
      <c r="G20" s="11" t="inlineStr">
        <is>
          <t>Content Package, Package Version, Content Section, Question Version</t>
        </is>
      </c>
      <c r="H20" s="11" t="inlineStr">
        <is>
          <t>NFR-SEC07, NFR-A01</t>
        </is>
      </c>
      <c r="I20" s="11" t="inlineStr">
        <is>
          <t>BR-13, BR-14</t>
        </is>
      </c>
      <c r="J20" s="11" t="n"/>
      <c r="K20" s="11" t="n"/>
      <c r="L20" s="27" t="n"/>
      <c r="M20" s="27" t="inlineStr">
        <is>
          <t>Specified</t>
        </is>
      </c>
      <c r="N20" s="11" t="inlineStr">
        <is>
          <t>Topic test creation: Draft. Report 5: In Scope (this phase).</t>
        </is>
      </c>
    </row>
    <row r="21" ht="79.95" customHeight="1" s="31">
      <c r="A21" s="28" t="inlineStr">
        <is>
          <t>FT-18</t>
        </is>
      </c>
      <c r="B21" s="13" t="inlineStr">
        <is>
          <t>Media assets</t>
        </is>
      </c>
      <c r="C21" s="29" t="inlineStr">
        <is>
          <t>FE-04</t>
        </is>
      </c>
      <c r="D21" s="29" t="inlineStr">
        <is>
          <t>Content</t>
        </is>
      </c>
      <c r="E21" s="13" t="inlineStr">
        <is>
          <t>UC-183 to UC-186</t>
        </is>
      </c>
      <c r="F21" s="13" t="inlineStr">
        <is>
          <t>—</t>
        </is>
      </c>
      <c r="G21" s="13" t="inlineStr">
        <is>
          <t>Content Asset</t>
        </is>
      </c>
      <c r="H21" s="13" t="inlineStr">
        <is>
          <t>NFR-SEC06</t>
        </is>
      </c>
      <c r="I21" s="13" t="inlineStr">
        <is>
          <t>BR-19</t>
        </is>
      </c>
      <c r="J21" s="13" t="n"/>
      <c r="K21" s="13" t="n"/>
      <c r="L21" s="29" t="n"/>
      <c r="M21" s="29" t="inlineStr">
        <is>
          <t>Specified</t>
        </is>
      </c>
      <c r="N21" s="13" t="inlineStr">
        <is>
          <t>Upload: Draft. Report 5: In Scope (this phase).</t>
        </is>
      </c>
    </row>
    <row r="22" ht="79.95" customHeight="1" s="31">
      <c r="A22" s="26" t="inlineStr">
        <is>
          <t>FT-19</t>
        </is>
      </c>
      <c r="B22" s="11" t="inlineStr">
        <is>
          <t>Lesson authoring</t>
        </is>
      </c>
      <c r="C22" s="27" t="inlineStr">
        <is>
          <t>FE-04</t>
        </is>
      </c>
      <c r="D22" s="27" t="inlineStr">
        <is>
          <t>Content</t>
        </is>
      </c>
      <c r="E22" s="11" t="inlineStr">
        <is>
          <t>UC-193 to UC-195</t>
        </is>
      </c>
      <c r="F22" s="11" t="inlineStr">
        <is>
          <t>—</t>
        </is>
      </c>
      <c r="G22" s="11" t="inlineStr">
        <is>
          <t>Lesson, Lesson Block, Question Version, Knowledge Point</t>
        </is>
      </c>
      <c r="H22" s="11" t="inlineStr">
        <is>
          <t>NFR-SEC06, NFR-SEC07</t>
        </is>
      </c>
      <c r="I22" s="11" t="inlineStr">
        <is>
          <t>BR-13</t>
        </is>
      </c>
      <c r="J22" s="11" t="n"/>
      <c r="K22" s="11" t="n"/>
      <c r="L22" s="27" t="n"/>
      <c r="M22" s="27" t="inlineStr">
        <is>
          <t>Draft</t>
        </is>
      </c>
      <c r="N22" s="11" t="inlineStr">
        <is>
          <t>Report 5: In Scope (this phase).</t>
        </is>
      </c>
    </row>
    <row r="23" ht="79.95" customHeight="1" s="31">
      <c r="A23" s="28" t="inlineStr">
        <is>
          <t>FT-20</t>
        </is>
      </c>
      <c r="B23" s="13" t="inlineStr">
        <is>
          <t>Course-based learning path</t>
        </is>
      </c>
      <c r="C23" s="29" t="inlineStr">
        <is>
          <t>FE-05</t>
        </is>
      </c>
      <c r="D23" s="29" t="inlineStr">
        <is>
          <t>Learning</t>
        </is>
      </c>
      <c r="E23" s="13" t="inlineStr">
        <is>
          <t>UC-035 to UC-037</t>
        </is>
      </c>
      <c r="F23" s="13" t="inlineStr">
        <is>
          <t>SC-01, SC-02</t>
        </is>
      </c>
      <c r="G23" s="13" t="inlineStr">
        <is>
          <t>Course, Topic, Topic Progress, Lesson Progress, Course Progress, Learner Placement</t>
        </is>
      </c>
      <c r="H23" s="13" t="inlineStr">
        <is>
          <t>NFR-P01, NFR-P02</t>
        </is>
      </c>
      <c r="I23" s="13" t="inlineStr">
        <is>
          <t>BR-15, BR-16, BR-35, BR-36, BR-40</t>
        </is>
      </c>
      <c r="J23" s="13" t="n"/>
      <c r="K23" s="13" t="n"/>
      <c r="L23" s="29" t="n"/>
      <c r="M23" s="29" t="inlineStr">
        <is>
          <t>Specified</t>
        </is>
      </c>
      <c r="N23" s="13" t="inlineStr">
        <is>
          <t>Report 5: In Scope (this phase).</t>
        </is>
      </c>
    </row>
    <row r="24" ht="79.95" customHeight="1" s="31">
      <c r="A24" s="26" t="inlineStr">
        <is>
          <t>FT-21</t>
        </is>
      </c>
      <c r="B24" s="11" t="inlineStr">
        <is>
          <t>Lesson access gates &amp; delivery</t>
        </is>
      </c>
      <c r="C24" s="27" t="inlineStr">
        <is>
          <t>FE-05</t>
        </is>
      </c>
      <c r="D24" s="27" t="inlineStr">
        <is>
          <t>Learning</t>
        </is>
      </c>
      <c r="E24" s="11" t="inlineStr">
        <is>
          <t>UC-037 to UC-040</t>
        </is>
      </c>
      <c r="F24" s="11" t="inlineStr">
        <is>
          <t>SC-02</t>
        </is>
      </c>
      <c r="G24" s="11" t="inlineStr">
        <is>
          <t>Lesson Progress, Lesson Block, Practice Pass, Review Item</t>
        </is>
      </c>
      <c r="H24" s="11" t="inlineStr">
        <is>
          <t>NFR-P02, NFR-SEC07</t>
        </is>
      </c>
      <c r="I24" s="11" t="inlineStr">
        <is>
          <t>BR-17, BR-19, BR-38</t>
        </is>
      </c>
      <c r="J24" s="11" t="n"/>
      <c r="K24" s="11" t="n"/>
      <c r="L24" s="27" t="n"/>
      <c r="M24" s="27" t="inlineStr">
        <is>
          <t>Specified</t>
        </is>
      </c>
      <c r="N24" s="11" t="inlineStr">
        <is>
          <t>Practice gate: Draft. Report 5: In Scope (this phase).</t>
        </is>
      </c>
    </row>
    <row r="25" ht="79.95" customHeight="1" s="31">
      <c r="A25" s="28" t="inlineStr">
        <is>
          <t>FT-22</t>
        </is>
      </c>
      <c r="B25" s="13" t="inlineStr">
        <is>
          <t>Exercise grading &amp; evidence</t>
        </is>
      </c>
      <c r="C25" s="29" t="inlineStr">
        <is>
          <t>FE-05</t>
        </is>
      </c>
      <c r="D25" s="29" t="inlineStr">
        <is>
          <t>Learning</t>
        </is>
      </c>
      <c r="E25" s="13" t="inlineStr">
        <is>
          <t>UC-039</t>
        </is>
      </c>
      <c r="F25" s="13" t="inlineStr">
        <is>
          <t>SC-02</t>
        </is>
      </c>
      <c r="G25" s="13" t="inlineStr">
        <is>
          <t>Exercise Submission, Lesson Progress, KP Evidence</t>
        </is>
      </c>
      <c r="H25" s="13" t="inlineStr">
        <is>
          <t>NFR-A03, NFR-A04, NFR-SEC07</t>
        </is>
      </c>
      <c r="I25" s="13" t="inlineStr">
        <is>
          <t>BR-15, BR-18, BR-19, BR-30</t>
        </is>
      </c>
      <c r="J25" s="13" t="n"/>
      <c r="K25" s="13" t="n"/>
      <c r="L25" s="29" t="n"/>
      <c r="M25" s="29" t="inlineStr">
        <is>
          <t>Specified</t>
        </is>
      </c>
      <c r="N25" s="13" t="inlineStr">
        <is>
          <t>Report 5: In Scope (this phase).</t>
        </is>
      </c>
    </row>
    <row r="26" ht="79.95" customHeight="1" s="31">
      <c r="A26" s="26" t="inlineStr">
        <is>
          <t>FT-23</t>
        </is>
      </c>
      <c r="B26" s="11" t="inlineStr">
        <is>
          <t>Hints for wrong answers</t>
        </is>
      </c>
      <c r="C26" s="27" t="inlineStr">
        <is>
          <t>FE-05</t>
        </is>
      </c>
      <c r="D26" s="27" t="inlineStr">
        <is>
          <t>Learning</t>
        </is>
      </c>
      <c r="E26" s="11" t="inlineStr">
        <is>
          <t>UC-039</t>
        </is>
      </c>
      <c r="F26" s="11" t="inlineStr">
        <is>
          <t>SC-02</t>
        </is>
      </c>
      <c r="G26" s="11" t="inlineStr">
        <is>
          <t>Question Version, Exercise Submission</t>
        </is>
      </c>
      <c r="H26" s="11" t="inlineStr">
        <is>
          <t>NFR-SEC07</t>
        </is>
      </c>
      <c r="I26" s="11" t="inlineStr">
        <is>
          <t>BR-19</t>
        </is>
      </c>
      <c r="J26" s="11" t="n"/>
      <c r="K26" s="11" t="n"/>
      <c r="L26" s="27" t="n"/>
      <c r="M26" s="27" t="inlineStr">
        <is>
          <t>Specified</t>
        </is>
      </c>
      <c r="N26" s="11" t="inlineStr">
        <is>
          <t>Report 5: In Scope (this phase).</t>
        </is>
      </c>
    </row>
    <row r="27" ht="79.95" customHeight="1" s="31">
      <c r="A27" s="28" t="inlineStr">
        <is>
          <t>FT-24</t>
        </is>
      </c>
      <c r="B27" s="13" t="inlineStr">
        <is>
          <t>Listening audio &amp; transcripts</t>
        </is>
      </c>
      <c r="C27" s="29" t="inlineStr">
        <is>
          <t>FE-05</t>
        </is>
      </c>
      <c r="D27" s="29" t="inlineStr">
        <is>
          <t>Learning</t>
        </is>
      </c>
      <c r="E27" s="13" t="inlineStr">
        <is>
          <t>UC-038, UC-074</t>
        </is>
      </c>
      <c r="F27" s="13" t="inlineStr">
        <is>
          <t>SC-04</t>
        </is>
      </c>
      <c r="G27" s="13" t="inlineStr">
        <is>
          <t>Content Asset, Lesson Progress, Assessment Result</t>
        </is>
      </c>
      <c r="H27" s="13" t="inlineStr">
        <is>
          <t>NFR-SEC07</t>
        </is>
      </c>
      <c r="I27" s="13" t="inlineStr">
        <is>
          <t>BR-19, BR-24</t>
        </is>
      </c>
      <c r="J27" s="13" t="n"/>
      <c r="K27" s="13" t="n"/>
      <c r="L27" s="29" t="n"/>
      <c r="M27" s="29" t="inlineStr">
        <is>
          <t>Specified</t>
        </is>
      </c>
      <c r="N27" s="13" t="inlineStr">
        <is>
          <t>Report 5: In Scope (this phase).</t>
        </is>
      </c>
    </row>
    <row r="28" ht="79.95" customHeight="1" s="31">
      <c r="A28" s="26" t="inlineStr">
        <is>
          <t>FT-25</t>
        </is>
      </c>
      <c r="B28" s="11" t="inlineStr">
        <is>
          <t>Writing task grading</t>
        </is>
      </c>
      <c r="C28" s="27" t="inlineStr">
        <is>
          <t>FE-05, FE-03</t>
        </is>
      </c>
      <c r="D28" s="27" t="inlineStr">
        <is>
          <t>Learning</t>
        </is>
      </c>
      <c r="E28" s="11" t="inlineStr">
        <is>
          <t>UC-041 to UC-043, UC-047</t>
        </is>
      </c>
      <c r="F28" s="11" t="inlineStr">
        <is>
          <t>—</t>
        </is>
      </c>
      <c r="G28" s="11" t="inlineStr">
        <is>
          <t>Writing Submission, KP Evidence, Point Ledger Entry</t>
        </is>
      </c>
      <c r="H28" s="11" t="inlineStr">
        <is>
          <t>NFR-P03, NFR-A03, NFR-A05, NFR-SEC10, NFR-SEC13, NFR-C02, NFR-C03</t>
        </is>
      </c>
      <c r="I28" s="11" t="inlineStr">
        <is>
          <t>BR-10, BR-11, BR-19, BR-30, BR-38</t>
        </is>
      </c>
      <c r="J28" s="11" t="n"/>
      <c r="K28" s="11" t="n"/>
      <c r="L28" s="27" t="n"/>
      <c r="M28" s="27" t="inlineStr">
        <is>
          <t>Specified</t>
        </is>
      </c>
      <c r="N28" s="11" t="inlineStr">
        <is>
          <t>Report 5: In Scope (this phase).</t>
        </is>
      </c>
    </row>
    <row r="29" ht="79.95" customHeight="1" s="31">
      <c r="A29" s="28" t="inlineStr">
        <is>
          <t>FT-26</t>
        </is>
      </c>
      <c r="B29" s="13" t="inlineStr">
        <is>
          <t>Knowledge-point mastery</t>
        </is>
      </c>
      <c r="C29" s="29" t="inlineStr">
        <is>
          <t>FE-05</t>
        </is>
      </c>
      <c r="D29" s="29" t="inlineStr">
        <is>
          <t>Learning</t>
        </is>
      </c>
      <c r="E29" s="13" t="inlineStr">
        <is>
          <t>UC-039, UC-048, UC-051, UC-053</t>
        </is>
      </c>
      <c r="F29" s="13" t="inlineStr">
        <is>
          <t>SC-02, SC-03, SC-04</t>
        </is>
      </c>
      <c r="G29" s="13" t="inlineStr">
        <is>
          <t>KP Evidence</t>
        </is>
      </c>
      <c r="H29" s="13" t="inlineStr">
        <is>
          <t>NFR-C05</t>
        </is>
      </c>
      <c r="I29" s="13" t="inlineStr">
        <is>
          <t>BR-18, BR-23, BR-25</t>
        </is>
      </c>
      <c r="J29" s="13" t="n"/>
      <c r="K29" s="13" t="n"/>
      <c r="L29" s="29" t="n"/>
      <c r="M29" s="29" t="inlineStr">
        <is>
          <t>Specified</t>
        </is>
      </c>
      <c r="N29" s="13" t="inlineStr">
        <is>
          <t>Report 5: In Scope (this phase).</t>
        </is>
      </c>
    </row>
    <row r="30" ht="79.95" customHeight="1" s="31">
      <c r="A30" s="26" t="inlineStr">
        <is>
          <t>FT-27</t>
        </is>
      </c>
      <c r="B30" s="11" t="inlineStr">
        <is>
          <t>Lesson practice</t>
        </is>
      </c>
      <c r="C30" s="27" t="inlineStr">
        <is>
          <t>FE-05</t>
        </is>
      </c>
      <c r="D30" s="27" t="inlineStr">
        <is>
          <t>Learning</t>
        </is>
      </c>
      <c r="E30" s="11" t="inlineStr">
        <is>
          <t>UC-037, UC-044 to UC-048</t>
        </is>
      </c>
      <c r="F30" s="11" t="inlineStr">
        <is>
          <t>SC-03</t>
        </is>
      </c>
      <c r="G30" s="11" t="inlineStr">
        <is>
          <t>Practice Attempt, Practice Pass, Review Item, KP Evidence</t>
        </is>
      </c>
      <c r="H30" s="11" t="inlineStr">
        <is>
          <t>NFR-A03, NFR-A04, NFR-SEC07</t>
        </is>
      </c>
      <c r="I30" s="11" t="inlineStr">
        <is>
          <t>BR-15, BR-17, BR-18, BR-20, BR-21, BR-30, BR-38</t>
        </is>
      </c>
      <c r="J30" s="11" t="n"/>
      <c r="K30" s="11" t="n"/>
      <c r="L30" s="27" t="n"/>
      <c r="M30" s="27" t="inlineStr">
        <is>
          <t>Specified</t>
        </is>
      </c>
      <c r="N30" s="11" t="inlineStr">
        <is>
          <t>Clearance after every review: Draft. Report 5: In Scope (this phase).</t>
        </is>
      </c>
    </row>
    <row r="31" ht="79.95" customHeight="1" s="31">
      <c r="A31" s="28" t="inlineStr">
        <is>
          <t>FT-28</t>
        </is>
      </c>
      <c r="B31" s="13" t="inlineStr">
        <is>
          <t>Review ladder</t>
        </is>
      </c>
      <c r="C31" s="29" t="inlineStr">
        <is>
          <t>FE-05</t>
        </is>
      </c>
      <c r="D31" s="29" t="inlineStr">
        <is>
          <t>Learning</t>
        </is>
      </c>
      <c r="E31" s="13" t="inlineStr">
        <is>
          <t>UC-049 to UC-052</t>
        </is>
      </c>
      <c r="F31" s="13" t="inlineStr">
        <is>
          <t>SC-03</t>
        </is>
      </c>
      <c r="G31" s="13" t="inlineStr">
        <is>
          <t>Review Item, Review Set, Theory Check</t>
        </is>
      </c>
      <c r="H31" s="13" t="inlineStr">
        <is>
          <t>NFR-A04, NFR-P04</t>
        </is>
      </c>
      <c r="I31" s="13" t="inlineStr">
        <is>
          <t>BR-15, BR-17, BR-20, BR-21</t>
        </is>
      </c>
      <c r="J31" s="13" t="n"/>
      <c r="K31" s="13" t="n"/>
      <c r="L31" s="29" t="n"/>
      <c r="M31" s="29" t="inlineStr">
        <is>
          <t>Specified</t>
        </is>
      </c>
      <c r="N31" s="13" t="inlineStr">
        <is>
          <t>Reviews repeat until passed: Draft. Report 5: In Scope (this phase).</t>
        </is>
      </c>
    </row>
    <row r="32" ht="79.95" customHeight="1" s="31">
      <c r="A32" s="26" t="inlineStr">
        <is>
          <t>FT-29</t>
        </is>
      </c>
      <c r="B32" s="11" t="inlineStr">
        <is>
          <t>Topic final test assignment &amp; completion</t>
        </is>
      </c>
      <c r="C32" s="27" t="inlineStr">
        <is>
          <t>FE-05</t>
        </is>
      </c>
      <c r="D32" s="27" t="inlineStr">
        <is>
          <t>Learning</t>
        </is>
      </c>
      <c r="E32" s="11" t="inlineStr">
        <is>
          <t>UC-037, UC-059, UC-072</t>
        </is>
      </c>
      <c r="F32" s="11" t="inlineStr">
        <is>
          <t>SC-04</t>
        </is>
      </c>
      <c r="G32" s="11" t="inlineStr">
        <is>
          <t>Topic Test Assignment, Topic Progress, KP Evidence, Review Item</t>
        </is>
      </c>
      <c r="H32" s="11" t="inlineStr">
        <is>
          <t>NFR-P02, NFR-P05, NFR-A02, NFR-A04</t>
        </is>
      </c>
      <c r="I32" s="11" t="inlineStr">
        <is>
          <t>BR-15, BR-16, BR-17, BR-22, BR-23, BR-25</t>
        </is>
      </c>
      <c r="J32" s="11" t="n"/>
      <c r="K32" s="11" t="n"/>
      <c r="L32" s="27" t="n"/>
      <c r="M32" s="27" t="inlineStr">
        <is>
          <t>Specified</t>
        </is>
      </c>
      <c r="N32" s="11" t="inlineStr">
        <is>
          <t>Report 5: In Scope (this phase).</t>
        </is>
      </c>
    </row>
    <row r="33" ht="79.95" customHeight="1" s="31">
      <c r="A33" s="28" t="inlineStr">
        <is>
          <t>FT-30</t>
        </is>
      </c>
      <c r="B33" s="13" t="inlineStr">
        <is>
          <t>Test attempts &amp; responses</t>
        </is>
      </c>
      <c r="C33" s="29" t="inlineStr">
        <is>
          <t>FE-06</t>
        </is>
      </c>
      <c r="D33" s="29" t="inlineStr">
        <is>
          <t>Assessment</t>
        </is>
      </c>
      <c r="E33" s="13" t="inlineStr">
        <is>
          <t>UC-066 to UC-073</t>
        </is>
      </c>
      <c r="F33" s="13" t="inlineStr">
        <is>
          <t>SC-04</t>
        </is>
      </c>
      <c r="G33" s="13" t="inlineStr">
        <is>
          <t>Assessment Attempt, Attempt Section, Attempt Item, Attempt Response</t>
        </is>
      </c>
      <c r="H33" s="13" t="inlineStr">
        <is>
          <t>NFR-SEC06, NFR-SEC07, NFR-C03</t>
        </is>
      </c>
      <c r="I33" s="13" t="inlineStr">
        <is>
          <t>BR-27</t>
        </is>
      </c>
      <c r="J33" s="13" t="n"/>
      <c r="K33" s="13" t="n"/>
      <c r="L33" s="29" t="n"/>
      <c r="M33" s="29" t="inlineStr">
        <is>
          <t>Specified</t>
        </is>
      </c>
      <c r="N33" s="13" t="inlineStr">
        <is>
          <t>Report 5: In Scope (this phase).</t>
        </is>
      </c>
    </row>
    <row r="34" ht="79.95" customHeight="1" s="31">
      <c r="A34" s="26" t="inlineStr">
        <is>
          <t>FT-31</t>
        </is>
      </c>
      <c r="B34" s="11" t="inlineStr">
        <is>
          <t>Auto-grading &amp; results</t>
        </is>
      </c>
      <c r="C34" s="27" t="inlineStr">
        <is>
          <t>FE-06</t>
        </is>
      </c>
      <c r="D34" s="27" t="inlineStr">
        <is>
          <t>Assessment</t>
        </is>
      </c>
      <c r="E34" s="11" t="inlineStr">
        <is>
          <t>UC-070, UC-072, UC-074</t>
        </is>
      </c>
      <c r="F34" s="11" t="inlineStr">
        <is>
          <t>SC-04</t>
        </is>
      </c>
      <c r="G34" s="11" t="inlineStr">
        <is>
          <t>Assessment Result, Item Result, Skill Score</t>
        </is>
      </c>
      <c r="H34" s="11" t="inlineStr">
        <is>
          <t>NFR-P05, NFR-A01, NFR-A03, NFR-SEC07</t>
        </is>
      </c>
      <c r="I34" s="11" t="inlineStr">
        <is>
          <t>BR-24, BR-25, BR-30, BR-39</t>
        </is>
      </c>
      <c r="J34" s="11" t="n"/>
      <c r="K34" s="11" t="n"/>
      <c r="L34" s="27" t="n"/>
      <c r="M34" s="27" t="inlineStr">
        <is>
          <t>Specified</t>
        </is>
      </c>
      <c r="N34" s="11" t="inlineStr">
        <is>
          <t>Report 5: In Scope (this phase).</t>
        </is>
      </c>
    </row>
    <row r="35" ht="79.95" customHeight="1" s="31">
      <c r="A35" s="28" t="inlineStr">
        <is>
          <t>FT-32</t>
        </is>
      </c>
      <c r="B35" s="13" t="inlineStr">
        <is>
          <t>Examiner grading</t>
        </is>
      </c>
      <c r="C35" s="29" t="inlineStr">
        <is>
          <t>FE-06</t>
        </is>
      </c>
      <c r="D35" s="29" t="inlineStr">
        <is>
          <t>Assessment</t>
        </is>
      </c>
      <c r="E35" s="13" t="inlineStr">
        <is>
          <t>UC-081 to UC-083</t>
        </is>
      </c>
      <c r="F35" s="13" t="inlineStr">
        <is>
          <t>SC-04</t>
        </is>
      </c>
      <c r="G35" s="13" t="inlineStr">
        <is>
          <t>Assessment Result, Item Result, Skill Score, Error Analysis Item, Human Review</t>
        </is>
      </c>
      <c r="H35" s="13" t="inlineStr">
        <is>
          <t>NFR-A01, NFR-A02, NFR-C03</t>
        </is>
      </c>
      <c r="I35" s="13" t="inlineStr">
        <is>
          <t>BR-25, BR-26, BR-39</t>
        </is>
      </c>
      <c r="J35" s="13" t="n"/>
      <c r="K35" s="13" t="n"/>
      <c r="L35" s="29" t="n"/>
      <c r="M35" s="29" t="inlineStr">
        <is>
          <t>Specified</t>
        </is>
      </c>
      <c r="N35" s="13" t="inlineStr">
        <is>
          <t>Report 5: In Scope (this phase).</t>
        </is>
      </c>
    </row>
    <row r="36" ht="79.95" customHeight="1" s="31">
      <c r="A36" s="26" t="inlineStr">
        <is>
          <t>FT-33</t>
        </is>
      </c>
      <c r="B36" s="11" t="inlineStr">
        <is>
          <t>AI grading jobs</t>
        </is>
      </c>
      <c r="C36" s="27" t="inlineStr">
        <is>
          <t>FE-06</t>
        </is>
      </c>
      <c r="D36" s="27" t="inlineStr">
        <is>
          <t>Assessment</t>
        </is>
      </c>
      <c r="E36" s="11" t="inlineStr">
        <is>
          <t>UC-043, UC-062 to UC-064, UC-070</t>
        </is>
      </c>
      <c r="F36" s="11" t="inlineStr">
        <is>
          <t>SC-04</t>
        </is>
      </c>
      <c r="G36" s="11" t="inlineStr">
        <is>
          <t>Learner Submission, Grading Job, Grading Point Cost, Point Ledger Entry</t>
        </is>
      </c>
      <c r="H36" s="11" t="inlineStr">
        <is>
          <t>NFR-A03, NFR-A05, NFR-C02</t>
        </is>
      </c>
      <c r="I36" s="11" t="inlineStr">
        <is>
          <t>BR-09, BR-30, BR-39, BR-41</t>
        </is>
      </c>
      <c r="J36" s="11" t="n"/>
      <c r="K36" s="11" t="n"/>
      <c r="L36" s="27" t="n"/>
      <c r="M36" s="27" t="inlineStr">
        <is>
          <t>Draft</t>
        </is>
      </c>
      <c r="N36" s="11" t="inlineStr">
        <is>
          <t>Job records and test-essay grading: Specified. Report 5: In Scope (this phase).</t>
        </is>
      </c>
    </row>
    <row r="37" ht="79.95" customHeight="1" s="31">
      <c r="A37" s="28" t="inlineStr">
        <is>
          <t>FT-34</t>
        </is>
      </c>
      <c r="B37" s="13" t="inlineStr">
        <is>
          <t>Mock test</t>
        </is>
      </c>
      <c r="C37" s="29" t="inlineStr">
        <is>
          <t>FE-06</t>
        </is>
      </c>
      <c r="D37" s="29" t="inlineStr">
        <is>
          <t>Assessment</t>
        </is>
      </c>
      <c r="E37" s="13" t="inlineStr">
        <is>
          <t>UC-079</t>
        </is>
      </c>
      <c r="F37" s="13" t="inlineStr">
        <is>
          <t>SC-04</t>
        </is>
      </c>
      <c r="G37" s="13" t="inlineStr">
        <is>
          <t>Assessment Attempt, Assessment Result, Skill Score, Package Version</t>
        </is>
      </c>
      <c r="H37" s="13" t="inlineStr">
        <is>
          <t>NFR-P05, NFR-SEC07</t>
        </is>
      </c>
      <c r="I37" s="13" t="inlineStr">
        <is>
          <t>BR-14, BR-23, BR-24, BR-25, BR-33</t>
        </is>
      </c>
      <c r="J37" s="13" t="n"/>
      <c r="K37" s="13" t="n"/>
      <c r="L37" s="29" t="n"/>
      <c r="M37" s="29" t="inlineStr">
        <is>
          <t>Draft</t>
        </is>
      </c>
      <c r="N37" s="13" t="inlineStr">
        <is>
          <t>Report 5: In Scope (this phase).</t>
        </is>
      </c>
    </row>
    <row r="38" ht="79.95" customHeight="1" s="31">
      <c r="A38" s="26" t="inlineStr">
        <is>
          <t>FT-35</t>
        </is>
      </c>
      <c r="B38" s="11" t="inlineStr">
        <is>
          <t>Placement test</t>
        </is>
      </c>
      <c r="C38" s="27" t="inlineStr">
        <is>
          <t>FE-06</t>
        </is>
      </c>
      <c r="D38" s="27" t="inlineStr">
        <is>
          <t>Assessment</t>
        </is>
      </c>
      <c r="E38" s="11" t="inlineStr">
        <is>
          <t>UC-035, UC-071, UC-075 to UC-078</t>
        </is>
      </c>
      <c r="F38" s="11" t="inlineStr">
        <is>
          <t>SC-01</t>
        </is>
      </c>
      <c r="G38" s="11" t="inlineStr">
        <is>
          <t>Assessment Attempt, Assessment Result, Package Version, Learner Placement</t>
        </is>
      </c>
      <c r="H38" s="11" t="inlineStr">
        <is>
          <t>NFR-SEC07</t>
        </is>
      </c>
      <c r="I38" s="11" t="inlineStr">
        <is>
          <t>BR-14, BR-25, BR-36, BR-41</t>
        </is>
      </c>
      <c r="J38" s="11" t="n"/>
      <c r="K38" s="11" t="n"/>
      <c r="L38" s="27" t="n"/>
      <c r="M38" s="27" t="inlineStr">
        <is>
          <t>Specified</t>
        </is>
      </c>
      <c r="N38" s="11" t="inlineStr">
        <is>
          <t>Reset: Draft. Report 5: In Scope (this phase).</t>
        </is>
      </c>
    </row>
    <row r="39" ht="79.95" customHeight="1" s="31">
      <c r="A39" s="28" t="inlineStr">
        <is>
          <t>FT-36</t>
        </is>
      </c>
      <c r="B39" s="13" t="inlineStr">
        <is>
          <t>Vocabulary catalog</t>
        </is>
      </c>
      <c r="C39" s="29" t="inlineStr">
        <is>
          <t>FE-07</t>
        </is>
      </c>
      <c r="D39" s="29" t="inlineStr">
        <is>
          <t>Library</t>
        </is>
      </c>
      <c r="E39" s="13" t="inlineStr">
        <is>
          <t>UC-103 to UC-104, UC-187 to UC-188</t>
        </is>
      </c>
      <c r="F39" s="13" t="inlineStr">
        <is>
          <t>—</t>
        </is>
      </c>
      <c r="G39" s="13" t="inlineStr">
        <is>
          <t>Vocabulary Item, Vocabulary Sense</t>
        </is>
      </c>
      <c r="H39" s="13" t="inlineStr">
        <is>
          <t>NFR-SEC06, NFR-P04</t>
        </is>
      </c>
      <c r="I39" s="13" t="inlineStr">
        <is>
          <t>BR-27</t>
        </is>
      </c>
      <c r="J39" s="13" t="n"/>
      <c r="K39" s="13" t="n"/>
      <c r="L39" s="29" t="n"/>
      <c r="M39" s="29" t="inlineStr">
        <is>
          <t>Specified</t>
        </is>
      </c>
      <c r="N39" s="13" t="inlineStr">
        <is>
          <t>Report 5: Out of Scope, later report on four-skill testing, AI/examiner marking, results, library &amp; notifications.</t>
        </is>
      </c>
    </row>
    <row r="40" ht="79.95" customHeight="1" s="31">
      <c r="A40" s="26" t="inlineStr">
        <is>
          <t>FT-37</t>
        </is>
      </c>
      <c r="B40" s="11" t="inlineStr">
        <is>
          <t>Video catalog</t>
        </is>
      </c>
      <c r="C40" s="27" t="inlineStr">
        <is>
          <t>FE-07</t>
        </is>
      </c>
      <c r="D40" s="27" t="inlineStr">
        <is>
          <t>Library</t>
        </is>
      </c>
      <c r="E40" s="11" t="inlineStr">
        <is>
          <t>UC-105 to UC-106, UC-189 to UC-192</t>
        </is>
      </c>
      <c r="F40" s="11" t="inlineStr">
        <is>
          <t>—</t>
        </is>
      </c>
      <c r="G40" s="11" t="inlineStr">
        <is>
          <t>Learning Video, Video Segment, Lexical Entry</t>
        </is>
      </c>
      <c r="H40" s="11" t="inlineStr">
        <is>
          <t>NFR-SEC06, NFR-P02</t>
        </is>
      </c>
      <c r="I40" s="11" t="inlineStr">
        <is>
          <t>BR-27</t>
        </is>
      </c>
      <c r="J40" s="11" t="n"/>
      <c r="K40" s="11" t="n"/>
      <c r="L40" s="27" t="n"/>
      <c r="M40" s="27" t="inlineStr">
        <is>
          <t>Specified</t>
        </is>
      </c>
      <c r="N40" s="11" t="inlineStr">
        <is>
          <t>Report 5: Out of Scope, later report on four-skill testing, AI/examiner marking, results, library &amp; notifications.</t>
        </is>
      </c>
    </row>
    <row r="41" ht="79.95" customHeight="1" s="31">
      <c r="A41" s="28" t="inlineStr">
        <is>
          <t>FT-38</t>
        </is>
      </c>
      <c r="B41" s="13" t="inlineStr">
        <is>
          <t>Video progress &amp; saved segments</t>
        </is>
      </c>
      <c r="C41" s="29" t="inlineStr">
        <is>
          <t>FE-07</t>
        </is>
      </c>
      <c r="D41" s="29" t="inlineStr">
        <is>
          <t>Library</t>
        </is>
      </c>
      <c r="E41" s="13" t="inlineStr">
        <is>
          <t>UC-107 to UC-113</t>
        </is>
      </c>
      <c r="F41" s="13" t="inlineStr">
        <is>
          <t>—</t>
        </is>
      </c>
      <c r="G41" s="13" t="inlineStr">
        <is>
          <t>Video Progress, Saved Segment</t>
        </is>
      </c>
      <c r="H41" s="13" t="inlineStr">
        <is>
          <t>NFR-SEC06</t>
        </is>
      </c>
      <c r="I41" s="13" t="inlineStr">
        <is>
          <t>BR-27</t>
        </is>
      </c>
      <c r="J41" s="13" t="n"/>
      <c r="K41" s="13" t="n"/>
      <c r="L41" s="29" t="n"/>
      <c r="M41" s="29" t="inlineStr">
        <is>
          <t>Specified</t>
        </is>
      </c>
      <c r="N41" s="13" t="inlineStr">
        <is>
          <t>Report 5: Out of Scope, later report on four-skill testing, AI/examiner marking, results, library &amp; notifications.</t>
        </is>
      </c>
    </row>
    <row r="42" ht="79.95" customHeight="1" s="31">
      <c r="A42" s="26" t="inlineStr">
        <is>
          <t>FT-39</t>
        </is>
      </c>
      <c r="B42" s="11" t="inlineStr">
        <is>
          <t>Speaking assessment</t>
        </is>
      </c>
      <c r="C42" s="27" t="inlineStr">
        <is>
          <t>FE-05, FE-07</t>
        </is>
      </c>
      <c r="D42" s="27" t="inlineStr">
        <is>
          <t>Learning</t>
        </is>
      </c>
      <c r="E42" s="11" t="inlineStr">
        <is>
          <t>UC-061 to UC-062</t>
        </is>
      </c>
      <c r="F42" s="11" t="inlineStr">
        <is>
          <t>—</t>
        </is>
      </c>
      <c r="G42" s="11" t="inlineStr">
        <is>
          <t>Learner Submission, Grading Job</t>
        </is>
      </c>
      <c r="H42" s="11" t="inlineStr">
        <is>
          <t>NFR-A03, NFR-C01</t>
        </is>
      </c>
      <c r="I42" s="11" t="inlineStr">
        <is>
          <t>BR-27, BR-30</t>
        </is>
      </c>
      <c r="J42" s="11" t="n"/>
      <c r="K42" s="11" t="n"/>
      <c r="L42" s="27" t="n"/>
      <c r="M42" s="27" t="inlineStr">
        <is>
          <t>Draft</t>
        </is>
      </c>
      <c r="N42" s="11" t="inlineStr">
        <is>
          <t>Report 5: In Scope (this phase).</t>
        </is>
      </c>
    </row>
    <row r="43" ht="79.95" customHeight="1" s="31">
      <c r="A43" s="28" t="inlineStr">
        <is>
          <t>FT-40</t>
        </is>
      </c>
      <c r="B43" s="13" t="inlineStr">
        <is>
          <t>Shadowing practice</t>
        </is>
      </c>
      <c r="C43" s="29" t="inlineStr">
        <is>
          <t>FE-07</t>
        </is>
      </c>
      <c r="D43" s="29" t="inlineStr">
        <is>
          <t>Learning</t>
        </is>
      </c>
      <c r="E43" s="13" t="inlineStr">
        <is>
          <t>UC-062, UC-065</t>
        </is>
      </c>
      <c r="F43" s="13" t="inlineStr">
        <is>
          <t>—</t>
        </is>
      </c>
      <c r="G43" s="13" t="inlineStr">
        <is>
          <t>Video Practice Attempt, Video Segment</t>
        </is>
      </c>
      <c r="H43" s="13" t="inlineStr">
        <is>
          <t>NFR-A03</t>
        </is>
      </c>
      <c r="I43" s="13" t="inlineStr">
        <is>
          <t>BR-27, BR-30</t>
        </is>
      </c>
      <c r="J43" s="13" t="n"/>
      <c r="K43" s="13" t="n"/>
      <c r="L43" s="29" t="n"/>
      <c r="M43" s="29" t="inlineStr">
        <is>
          <t>Draft</t>
        </is>
      </c>
      <c r="N43" s="13" t="inlineStr">
        <is>
          <t>Attempt record: Specified. Report 5: Out of Scope, later report on four-skill testing, AI/examiner marking, results, library &amp; notifications.</t>
        </is>
      </c>
    </row>
    <row r="44" ht="79.95" customHeight="1" s="31">
      <c r="A44" s="26" t="inlineStr">
        <is>
          <t>FT-41</t>
        </is>
      </c>
      <c r="B44" s="11" t="inlineStr">
        <is>
          <t>Dictation practice</t>
        </is>
      </c>
      <c r="C44" s="27" t="inlineStr">
        <is>
          <t>FE-07</t>
        </is>
      </c>
      <c r="D44" s="27" t="inlineStr">
        <is>
          <t>Library</t>
        </is>
      </c>
      <c r="E44" s="11" t="inlineStr">
        <is>
          <t>UC-114</t>
        </is>
      </c>
      <c r="F44" s="11" t="inlineStr">
        <is>
          <t>—</t>
        </is>
      </c>
      <c r="G44" s="11" t="inlineStr">
        <is>
          <t>Video Practice Attempt, Video Segment</t>
        </is>
      </c>
      <c r="H44" s="11" t="inlineStr">
        <is>
          <t>NFR-SEC06</t>
        </is>
      </c>
      <c r="I44" s="11" t="inlineStr">
        <is>
          <t>BR-27</t>
        </is>
      </c>
      <c r="J44" s="11" t="n"/>
      <c r="K44" s="11" t="n"/>
      <c r="L44" s="27" t="n"/>
      <c r="M44" s="27" t="inlineStr">
        <is>
          <t>Draft</t>
        </is>
      </c>
      <c r="N44" s="11" t="inlineStr">
        <is>
          <t>Attempt record: Specified. Report 5: Out of Scope, later report on four-skill testing, AI/examiner marking, results, library &amp; notifications.</t>
        </is>
      </c>
    </row>
    <row r="45" ht="79.95" customHeight="1" s="31">
      <c r="A45" s="28" t="inlineStr">
        <is>
          <t>FT-42</t>
        </is>
      </c>
      <c r="B45" s="13" t="inlineStr">
        <is>
          <t>Notes</t>
        </is>
      </c>
      <c r="C45" s="29" t="inlineStr">
        <is>
          <t>FE-08</t>
        </is>
      </c>
      <c r="D45" s="29" t="inlineStr">
        <is>
          <t>Library</t>
        </is>
      </c>
      <c r="E45" s="13" t="inlineStr">
        <is>
          <t>UC-115 to UC-119</t>
        </is>
      </c>
      <c r="F45" s="13" t="inlineStr">
        <is>
          <t>—</t>
        </is>
      </c>
      <c r="G45" s="13" t="inlineStr">
        <is>
          <t>Note</t>
        </is>
      </c>
      <c r="H45" s="13" t="inlineStr">
        <is>
          <t>NFR-SEC06, NFR-P04</t>
        </is>
      </c>
      <c r="I45" s="13" t="inlineStr">
        <is>
          <t>BR-27</t>
        </is>
      </c>
      <c r="J45" s="13" t="n"/>
      <c r="K45" s="13" t="n"/>
      <c r="L45" s="29" t="n"/>
      <c r="M45" s="29" t="inlineStr">
        <is>
          <t>Specified</t>
        </is>
      </c>
      <c r="N45" s="13" t="inlineStr">
        <is>
          <t>Report 5: Out of Scope, later report on four-skill testing, AI/examiner marking, results, library &amp; notifications.</t>
        </is>
      </c>
    </row>
    <row r="46" ht="79.95" customHeight="1" s="31">
      <c r="A46" s="26" t="inlineStr">
        <is>
          <t>FT-43</t>
        </is>
      </c>
      <c r="B46" s="11" t="inlineStr">
        <is>
          <t>Flashcards &amp; decks</t>
        </is>
      </c>
      <c r="C46" s="27" t="inlineStr">
        <is>
          <t>FE-08</t>
        </is>
      </c>
      <c r="D46" s="27" t="inlineStr">
        <is>
          <t>Library</t>
        </is>
      </c>
      <c r="E46" s="11" t="inlineStr">
        <is>
          <t>UC-120 to UC-132</t>
        </is>
      </c>
      <c r="F46" s="11" t="inlineStr">
        <is>
          <t>—</t>
        </is>
      </c>
      <c r="G46" s="11" t="inlineStr">
        <is>
          <t>Flashcard, Flashcard Deck, Vocabulary Sense</t>
        </is>
      </c>
      <c r="H46" s="11" t="inlineStr">
        <is>
          <t>NFR-SEC06</t>
        </is>
      </c>
      <c r="I46" s="11" t="inlineStr">
        <is>
          <t>BR-27</t>
        </is>
      </c>
      <c r="J46" s="11" t="n"/>
      <c r="K46" s="11" t="n"/>
      <c r="L46" s="27" t="n"/>
      <c r="M46" s="27" t="inlineStr">
        <is>
          <t>Specified</t>
        </is>
      </c>
      <c r="N46" s="11" t="inlineStr">
        <is>
          <t>Report 5: Out of Scope, later report on four-skill testing, AI/examiner marking, results, library &amp; notifications.</t>
        </is>
      </c>
    </row>
    <row r="47" ht="79.95" customHeight="1" s="31">
      <c r="A47" s="28" t="inlineStr">
        <is>
          <t>FT-44</t>
        </is>
      </c>
      <c r="B47" s="13" t="inlineStr">
        <is>
          <t>Learning activity log</t>
        </is>
      </c>
      <c r="C47" s="29" t="inlineStr">
        <is>
          <t>FE-09</t>
        </is>
      </c>
      <c r="D47" s="29" t="inlineStr">
        <is>
          <t>Learning</t>
        </is>
      </c>
      <c r="E47" s="13" t="inlineStr">
        <is>
          <t>UC-054 to UC-056</t>
        </is>
      </c>
      <c r="F47" s="13" t="inlineStr">
        <is>
          <t>SC-02</t>
        </is>
      </c>
      <c r="G47" s="13" t="inlineStr">
        <is>
          <t>Learning Activity</t>
        </is>
      </c>
      <c r="H47" s="13" t="inlineStr">
        <is>
          <t>NFR-SEC06, NFR-P04</t>
        </is>
      </c>
      <c r="I47" s="13" t="inlineStr">
        <is>
          <t>BR-27</t>
        </is>
      </c>
      <c r="J47" s="13" t="n"/>
      <c r="K47" s="13" t="n"/>
      <c r="L47" s="29" t="n"/>
      <c r="M47" s="29" t="inlineStr">
        <is>
          <t>Specified</t>
        </is>
      </c>
      <c r="N47" s="13" t="inlineStr">
        <is>
          <t>Automatic recording: Draft. Report 5: Out of Scope, later report on activity/streak, plans, subscriptions, keys, points, games &amp; community.</t>
        </is>
      </c>
    </row>
    <row r="48" ht="79.95" customHeight="1" s="31">
      <c r="A48" s="26" t="inlineStr">
        <is>
          <t>FT-45</t>
        </is>
      </c>
      <c r="B48" s="11" t="inlineStr">
        <is>
          <t>Study streak</t>
        </is>
      </c>
      <c r="C48" s="27" t="inlineStr">
        <is>
          <t>FE-09</t>
        </is>
      </c>
      <c r="D48" s="27" t="inlineStr">
        <is>
          <t>Learning</t>
        </is>
      </c>
      <c r="E48" s="11" t="inlineStr">
        <is>
          <t>UC-057 to UC-058</t>
        </is>
      </c>
      <c r="F48" s="11" t="inlineStr">
        <is>
          <t>SC-02</t>
        </is>
      </c>
      <c r="G48" s="11" t="inlineStr">
        <is>
          <t>Streak, Learning Activity</t>
        </is>
      </c>
      <c r="H48" s="11" t="inlineStr">
        <is>
          <t>NFR-SEC06</t>
        </is>
      </c>
      <c r="I48" s="11" t="inlineStr">
        <is>
          <t>BR-27</t>
        </is>
      </c>
      <c r="J48" s="11" t="n"/>
      <c r="K48" s="11" t="n"/>
      <c r="L48" s="27" t="n"/>
      <c r="M48" s="27" t="inlineStr">
        <is>
          <t>Specified</t>
        </is>
      </c>
      <c r="N48" s="11" t="inlineStr">
        <is>
          <t>Server-side streak: Draft. Report 5: Out of Scope, later report on activity/streak, plans, subscriptions, keys, points, games &amp; community.</t>
        </is>
      </c>
    </row>
    <row r="49" ht="79.95" customHeight="1" s="31">
      <c r="A49" s="28" t="inlineStr">
        <is>
          <t>FT-46</t>
        </is>
      </c>
      <c r="B49" s="13" t="inlineStr">
        <is>
          <t>Single-player game sessions</t>
        </is>
      </c>
      <c r="C49" s="29" t="inlineStr">
        <is>
          <t>FE-10</t>
        </is>
      </c>
      <c r="D49" s="29" t="inlineStr">
        <is>
          <t>Game</t>
        </is>
      </c>
      <c r="E49" s="13" t="inlineStr">
        <is>
          <t>UC-133 to UC-137</t>
        </is>
      </c>
      <c r="F49" s="13" t="inlineStr">
        <is>
          <t>—</t>
        </is>
      </c>
      <c r="G49" s="13" t="inlineStr">
        <is>
          <t>Game Session, Game Answer</t>
        </is>
      </c>
      <c r="H49" s="13" t="inlineStr">
        <is>
          <t>NFR-P02, NFR-A01</t>
        </is>
      </c>
      <c r="I49" s="13" t="inlineStr">
        <is>
          <t>BR-29</t>
        </is>
      </c>
      <c r="J49" s="13" t="n"/>
      <c r="K49" s="13" t="n"/>
      <c r="L49" s="29" t="n"/>
      <c r="M49" s="29" t="inlineStr">
        <is>
          <t>Specified</t>
        </is>
      </c>
      <c r="N49" s="13" t="inlineStr">
        <is>
          <t>Report 5: Out of Scope, later report on activity/streak, plans, subscriptions, keys, points, games &amp; community.</t>
        </is>
      </c>
    </row>
    <row r="50" ht="79.95" customHeight="1" s="31">
      <c r="A50" s="26" t="inlineStr">
        <is>
          <t>FT-47</t>
        </is>
      </c>
      <c r="B50" s="11" t="inlineStr">
        <is>
          <t>Multiplayer game rooms</t>
        </is>
      </c>
      <c r="C50" s="27" t="inlineStr">
        <is>
          <t>FE-10</t>
        </is>
      </c>
      <c r="D50" s="27" t="inlineStr">
        <is>
          <t>Game</t>
        </is>
      </c>
      <c r="E50" s="11" t="inlineStr">
        <is>
          <t>UC-138 to UC-147</t>
        </is>
      </c>
      <c r="F50" s="11" t="inlineStr">
        <is>
          <t>—</t>
        </is>
      </c>
      <c r="G50" s="11" t="inlineStr">
        <is>
          <t>Game Room, Room Member, Game Match, Match Player</t>
        </is>
      </c>
      <c r="H50" s="11" t="inlineStr">
        <is>
          <t>NFR-S01, NFR-S02, NFR-SEC02, NFR-SEC09</t>
        </is>
      </c>
      <c r="I50" s="11" t="inlineStr">
        <is>
          <t>BR-29</t>
        </is>
      </c>
      <c r="J50" s="11" t="n"/>
      <c r="K50" s="11" t="n"/>
      <c r="L50" s="27" t="n"/>
      <c r="M50" s="27" t="inlineStr">
        <is>
          <t>Specified</t>
        </is>
      </c>
      <c r="N50" s="11" t="inlineStr">
        <is>
          <t>Report 5: Out of Scope, later report on activity/streak, plans, subscriptions, keys, points, games &amp; community.</t>
        </is>
      </c>
    </row>
    <row r="51" ht="79.95" customHeight="1" s="31">
      <c r="A51" s="28" t="inlineStr">
        <is>
          <t>FT-48</t>
        </is>
      </c>
      <c r="B51" s="13" t="inlineStr">
        <is>
          <t>Matchmaking</t>
        </is>
      </c>
      <c r="C51" s="29" t="inlineStr">
        <is>
          <t>FE-10</t>
        </is>
      </c>
      <c r="D51" s="29" t="inlineStr">
        <is>
          <t>Game</t>
        </is>
      </c>
      <c r="E51" s="13" t="inlineStr">
        <is>
          <t>UC-148</t>
        </is>
      </c>
      <c r="F51" s="13" t="inlineStr">
        <is>
          <t>—</t>
        </is>
      </c>
      <c r="G51" s="13" t="inlineStr">
        <is>
          <t>Game Room, Room Member</t>
        </is>
      </c>
      <c r="H51" s="13" t="inlineStr">
        <is>
          <t>NFR-S01, NFR-S02</t>
        </is>
      </c>
      <c r="I51" s="13" t="inlineStr">
        <is>
          <t>BR-29</t>
        </is>
      </c>
      <c r="J51" s="13" t="n"/>
      <c r="K51" s="13" t="n"/>
      <c r="L51" s="29" t="n"/>
      <c r="M51" s="29" t="inlineStr">
        <is>
          <t>Draft</t>
        </is>
      </c>
      <c r="N51" s="13" t="inlineStr">
        <is>
          <t>Report 5: Out of Scope, later report on activity/streak, plans, subscriptions, keys, points, games &amp; community.</t>
        </is>
      </c>
    </row>
    <row r="52" ht="79.95" customHeight="1" s="31">
      <c r="A52" s="26" t="inlineStr">
        <is>
          <t>FT-49</t>
        </is>
      </c>
      <c r="B52" s="11" t="inlineStr">
        <is>
          <t>Posts, comments &amp; reactions</t>
        </is>
      </c>
      <c r="C52" s="27" t="inlineStr">
        <is>
          <t>FE-12</t>
        </is>
      </c>
      <c r="D52" s="27" t="inlineStr">
        <is>
          <t>Community</t>
        </is>
      </c>
      <c r="E52" s="11" t="inlineStr">
        <is>
          <t>UC-149 to UC-159</t>
        </is>
      </c>
      <c r="F52" s="11" t="inlineStr">
        <is>
          <t>—</t>
        </is>
      </c>
      <c r="G52" s="11" t="inlineStr">
        <is>
          <t>Post, Comment, Reaction</t>
        </is>
      </c>
      <c r="H52" s="11" t="inlineStr">
        <is>
          <t>NFR-SEC06, NFR-P04</t>
        </is>
      </c>
      <c r="I52" s="11" t="inlineStr">
        <is>
          <t>BR-28</t>
        </is>
      </c>
      <c r="J52" s="11" t="n"/>
      <c r="K52" s="11" t="n"/>
      <c r="L52" s="27" t="n"/>
      <c r="M52" s="27" t="inlineStr">
        <is>
          <t>Specified</t>
        </is>
      </c>
      <c r="N52" s="11" t="inlineStr">
        <is>
          <t>Report 5: Out of Scope, later report on activity/streak, plans, subscriptions, keys, points, games &amp; community.</t>
        </is>
      </c>
    </row>
    <row r="53" ht="79.95" customHeight="1" s="31">
      <c r="A53" s="28" t="inlineStr">
        <is>
          <t>FT-50</t>
        </is>
      </c>
      <c r="B53" s="13" t="inlineStr">
        <is>
          <t>Community moderation</t>
        </is>
      </c>
      <c r="C53" s="29" t="inlineStr">
        <is>
          <t>FE-12</t>
        </is>
      </c>
      <c r="D53" s="29" t="inlineStr">
        <is>
          <t>Community</t>
        </is>
      </c>
      <c r="E53" s="13" t="inlineStr">
        <is>
          <t>UC-160 to UC-161</t>
        </is>
      </c>
      <c r="F53" s="13" t="inlineStr">
        <is>
          <t>—</t>
        </is>
      </c>
      <c r="G53" s="13" t="inlineStr">
        <is>
          <t>Post, Comment</t>
        </is>
      </c>
      <c r="H53" s="13" t="inlineStr">
        <is>
          <t>NFR-SEC06</t>
        </is>
      </c>
      <c r="I53" s="13" t="inlineStr">
        <is>
          <t>BR-28</t>
        </is>
      </c>
      <c r="J53" s="13" t="n"/>
      <c r="K53" s="13" t="n"/>
      <c r="L53" s="29" t="n"/>
      <c r="M53" s="29" t="inlineStr">
        <is>
          <t>Specified</t>
        </is>
      </c>
      <c r="N53" s="13" t="inlineStr">
        <is>
          <t>Report 5: Out of Scope, later report on activity/streak, plans, subscriptions, keys, points, games &amp; community.</t>
        </is>
      </c>
    </row>
    <row r="54" ht="79.95" customHeight="1" s="31">
      <c r="A54" s="26" t="inlineStr">
        <is>
          <t>FT-51</t>
        </is>
      </c>
      <c r="B54" s="11" t="inlineStr">
        <is>
          <t>Notification preferences &amp; devices</t>
        </is>
      </c>
      <c r="C54" s="27" t="inlineStr">
        <is>
          <t>FE-13</t>
        </is>
      </c>
      <c r="D54" s="27" t="inlineStr">
        <is>
          <t>Notification</t>
        </is>
      </c>
      <c r="E54" s="11" t="inlineStr">
        <is>
          <t>UC-098 to UC-099</t>
        </is>
      </c>
      <c r="F54" s="11" t="inlineStr">
        <is>
          <t>SC-04</t>
        </is>
      </c>
      <c r="G54" s="11" t="inlineStr">
        <is>
          <t>Notification Preference, Push Device</t>
        </is>
      </c>
      <c r="H54" s="11" t="inlineStr">
        <is>
          <t>NFR-SEC06, NFR-C01</t>
        </is>
      </c>
      <c r="I54" s="11" t="inlineStr">
        <is>
          <t>BR-27, BR-32</t>
        </is>
      </c>
      <c r="J54" s="11" t="n"/>
      <c r="K54" s="11" t="n"/>
      <c r="L54" s="27" t="n"/>
      <c r="M54" s="27" t="inlineStr">
        <is>
          <t>Draft</t>
        </is>
      </c>
      <c r="N54" s="11" t="inlineStr">
        <is>
          <t>Report 5: Out of Scope, later report on four-skill testing, AI/examiner marking, results, library &amp; notifications.</t>
        </is>
      </c>
    </row>
    <row r="55" ht="79.95" customHeight="1" s="31">
      <c r="A55" s="28" t="inlineStr">
        <is>
          <t>FT-52</t>
        </is>
      </c>
      <c r="B55" s="13" t="inlineStr">
        <is>
          <t>Grading-done alerts</t>
        </is>
      </c>
      <c r="C55" s="29" t="inlineStr">
        <is>
          <t>FE-13</t>
        </is>
      </c>
      <c r="D55" s="29" t="inlineStr">
        <is>
          <t>Notification</t>
        </is>
      </c>
      <c r="E55" s="13" t="inlineStr">
        <is>
          <t>UC-100</t>
        </is>
      </c>
      <c r="F55" s="13" t="inlineStr">
        <is>
          <t>SC-04</t>
        </is>
      </c>
      <c r="G55" s="13" t="inlineStr">
        <is>
          <t>Notification, Notification Delivery</t>
        </is>
      </c>
      <c r="H55" s="13" t="inlineStr">
        <is>
          <t>NFR-A01</t>
        </is>
      </c>
      <c r="I55" s="13" t="inlineStr">
        <is>
          <t>BR-27, BR-32</t>
        </is>
      </c>
      <c r="J55" s="13" t="n"/>
      <c r="K55" s="13" t="n"/>
      <c r="L55" s="29" t="n"/>
      <c r="M55" s="29" t="inlineStr">
        <is>
          <t>Draft</t>
        </is>
      </c>
      <c r="N55" s="13" t="inlineStr">
        <is>
          <t>Report 5: Out of Scope, later report on four-skill testing, AI/examiner marking, results, library &amp; notifications.</t>
        </is>
      </c>
    </row>
    <row r="56" ht="79.95" customHeight="1" s="31">
      <c r="A56" s="26" t="inlineStr">
        <is>
          <t>FT-53</t>
        </is>
      </c>
      <c r="B56" s="11" t="inlineStr">
        <is>
          <t>Study reminders</t>
        </is>
      </c>
      <c r="C56" s="27" t="inlineStr">
        <is>
          <t>FE-13</t>
        </is>
      </c>
      <c r="D56" s="27" t="inlineStr">
        <is>
          <t>Notification</t>
        </is>
      </c>
      <c r="E56" s="11" t="inlineStr">
        <is>
          <t>UC-101</t>
        </is>
      </c>
      <c r="F56" s="11" t="inlineStr">
        <is>
          <t>SC-04</t>
        </is>
      </c>
      <c r="G56" s="11" t="inlineStr">
        <is>
          <t>Reminder Schedule, Notification</t>
        </is>
      </c>
      <c r="H56" s="11" t="inlineStr">
        <is>
          <t>NFR-A01</t>
        </is>
      </c>
      <c r="I56" s="11" t="inlineStr">
        <is>
          <t>BR-27, BR-32</t>
        </is>
      </c>
      <c r="J56" s="11" t="n"/>
      <c r="K56" s="11" t="n"/>
      <c r="L56" s="27" t="n"/>
      <c r="M56" s="27" t="inlineStr">
        <is>
          <t>Draft</t>
        </is>
      </c>
      <c r="N56" s="11" t="inlineStr">
        <is>
          <t>Report 5: Out of Scope, later report on four-skill testing, AI/examiner marking, results, library &amp; notifications.</t>
        </is>
      </c>
    </row>
    <row r="57" ht="79.95" customHeight="1" s="31">
      <c r="A57" s="28" t="inlineStr">
        <is>
          <t>FT-54</t>
        </is>
      </c>
      <c r="B57" s="13" t="inlineStr">
        <is>
          <t>In-app notifications &amp; delivery retry</t>
        </is>
      </c>
      <c r="C57" s="29" t="inlineStr">
        <is>
          <t>FE-13</t>
        </is>
      </c>
      <c r="D57" s="29" t="inlineStr">
        <is>
          <t>Notification</t>
        </is>
      </c>
      <c r="E57" s="13" t="inlineStr">
        <is>
          <t>UC-100 to UC-102</t>
        </is>
      </c>
      <c r="F57" s="13" t="inlineStr">
        <is>
          <t>SC-04</t>
        </is>
      </c>
      <c r="G57" s="13" t="inlineStr">
        <is>
          <t>Notification, Notification Delivery</t>
        </is>
      </c>
      <c r="H57" s="13" t="inlineStr">
        <is>
          <t>NFR-A01, NFR-P04</t>
        </is>
      </c>
      <c r="I57" s="13" t="inlineStr">
        <is>
          <t>BR-27, BR-32</t>
        </is>
      </c>
      <c r="J57" s="13" t="n"/>
      <c r="K57" s="13" t="n"/>
      <c r="L57" s="29" t="n"/>
      <c r="M57" s="29" t="inlineStr">
        <is>
          <t>Draft</t>
        </is>
      </c>
      <c r="N57" s="13" t="inlineStr">
        <is>
          <t>Report 5: Out of Scope, later report on four-skill testing, AI/examiner marking, results, library &amp; notifications.</t>
        </is>
      </c>
    </row>
    <row r="58" ht="42" customHeight="1" s="31">
      <c r="A58" s="26" t="inlineStr">
        <is>
          <t>FT-55</t>
        </is>
      </c>
      <c r="B58" s="11" t="inlineStr">
        <is>
          <t>Course final test</t>
        </is>
      </c>
      <c r="C58" s="27" t="inlineStr">
        <is>
          <t>FE-05</t>
        </is>
      </c>
      <c r="D58" s="27" t="inlineStr">
        <is>
          <t>Learning</t>
        </is>
      </c>
      <c r="E58" s="11" t="inlineStr">
        <is>
          <t>UC-035, UC-060, UC-072</t>
        </is>
      </c>
      <c r="F58" s="11" t="inlineStr">
        <is>
          <t>SC-04</t>
        </is>
      </c>
      <c r="G58" s="11" t="inlineStr">
        <is>
          <t>Course Test Assignment, Course Progress, KP Evidence, Review Item</t>
        </is>
      </c>
      <c r="H58" s="11" t="inlineStr">
        <is>
          <t>NFR-P05, NFR-A02, NFR-A04, NFR-A05, NFR-SEC13</t>
        </is>
      </c>
      <c r="I58" s="11" t="inlineStr">
        <is>
          <t>BR-15, BR-22, BR-23, BR-25, BR-37, BR-39</t>
        </is>
      </c>
      <c r="J58" s="11" t="n"/>
      <c r="K58" s="11" t="n"/>
      <c r="L58" s="27" t="n"/>
      <c r="M58" s="27" t="inlineStr">
        <is>
          <t>Specified</t>
        </is>
      </c>
      <c r="N58" s="11" t="inlineStr">
        <is>
          <t>Report 5: not listed (the test plan covers FT-01 to FT-54).</t>
        </is>
      </c>
    </row>
    <row r="59" ht="42" customHeight="1" s="31"/>
  </sheetData>
  <autoFilter ref="A3:N57"/>
  <dataValidations count="2">
    <dataValidation sqref="M4:M58" showDropDown="0" showInputMessage="0" showErrorMessage="0" allowBlank="1" type="list">
      <formula1>"Specified,Draft,In Review,Approved,Deprecated"</formula1>
    </dataValidation>
    <dataValidation sqref="L4:L58" showDropDown="0" showInputMessage="0" showErrorMessage="0" allowBlank="1" type="list">
      <formula1>"Sprint 1,Sprint 2,Sprint 3,Sprint 4,Sprint 5,Backlog"</formula1>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375623"/>
    <outlinePr summaryBelow="1" summaryRight="1"/>
    <pageSetUpPr/>
  </sheetPr>
  <dimension ref="A1:J61"/>
  <sheetViews>
    <sheetView showGridLines="0" zoomScaleNormal="100" workbookViewId="0">
      <pane xSplit="2" ySplit="3" topLeftCell="C44" activePane="bottomRight" state="frozen"/>
      <selection activeCell="A3" sqref="A3"/>
      <selection pane="topRight" activeCell="A3" sqref="A3"/>
      <selection pane="bottomLeft" activeCell="A3" sqref="A3"/>
      <selection pane="bottomRight" activeCell="I4" sqref="I4"/>
    </sheetView>
  </sheetViews>
  <sheetFormatPr baseColWidth="8" defaultColWidth="8.6640625" defaultRowHeight="14.4"/>
  <cols>
    <col width="24" customWidth="1" style="31" min="1" max="1"/>
    <col width="44" customWidth="1" style="31" min="2" max="2"/>
    <col width="9" customWidth="1" style="31" min="3" max="3"/>
    <col width="15.5546875" customWidth="1" style="31" min="4" max="4"/>
    <col width="15" customWidth="1" style="31" min="5" max="5"/>
    <col width="12" customWidth="1" style="31" min="6" max="6"/>
    <col width="13" customWidth="1" style="31" min="7" max="7"/>
    <col width="14" customWidth="1" style="31" min="8" max="8"/>
    <col width="16" customWidth="1" style="31" min="9" max="9"/>
    <col width="46" customWidth="1" style="31" min="10" max="10"/>
  </cols>
  <sheetData>
    <row r="1" ht="17.7" customHeight="1" s="31">
      <c r="A1" s="7" t="inlineStr">
        <is>
          <t>Permission Matrix</t>
        </is>
      </c>
    </row>
    <row r="2">
      <c r="A2" s="8" t="inlineStr">
        <is>
          <t>Codes: F = Full (the action on any record) · E = Edit (limited change, no create/delete) · R = Read only · O = Own records only · — = no access. Source: Report 3.0_SRS_IELTSPath_IeltsPath_v1.docx Part 1.3 and the role statements of Part 3 (behaviour, NAC), BR-06 and BR-27; role checks cross-checked with @PreAuthorize in the code. The matrix states the required policy; where the current release differs, Notes says so. Administrator also holds every Content Author and Examiner permission. Current release checks only sign-in and ownership on learner self-service endpoints, so any signed-in role can use them on its own data.</t>
        </is>
      </c>
    </row>
    <row r="3" ht="48" customHeight="1" s="31">
      <c r="A3" s="3" t="inlineStr">
        <is>
          <t>Feature Area</t>
        </is>
      </c>
      <c r="B3" s="3" t="inlineStr">
        <is>
          <t>Action</t>
        </is>
      </c>
      <c r="C3" s="3" t="inlineStr">
        <is>
          <t>Guest</t>
        </is>
      </c>
      <c r="D3" s="3" t="inlineStr">
        <is>
          <t>Learner
(CUSTOMER)</t>
        </is>
      </c>
      <c r="E3" s="3" t="inlineStr">
        <is>
          <t>Content Author
(CONTENT_AUTHOR)</t>
        </is>
      </c>
      <c r="F3" s="3" t="inlineStr">
        <is>
          <t>Examiner
(EXAMINER)</t>
        </is>
      </c>
      <c r="G3" s="3" t="inlineStr">
        <is>
          <t>Sale
(SALES_STAFF)</t>
        </is>
      </c>
      <c r="H3" s="3" t="inlineStr">
        <is>
          <t>Administrator
(ADMIN)</t>
        </is>
      </c>
      <c r="I3" s="3" t="inlineStr">
        <is>
          <t>Related FT</t>
        </is>
      </c>
      <c r="J3" s="3" t="inlineStr">
        <is>
          <t>Notes</t>
        </is>
      </c>
    </row>
    <row r="4">
      <c r="A4" s="5" t="inlineStr">
        <is>
          <t>Account &amp; identity</t>
        </is>
      </c>
      <c r="B4" s="14" t="inlineStr">
        <is>
          <t>Register an account</t>
        </is>
      </c>
      <c r="C4" s="15" t="inlineStr">
        <is>
          <t>F</t>
        </is>
      </c>
      <c r="D4" s="16" t="inlineStr">
        <is>
          <t>—</t>
        </is>
      </c>
      <c r="E4" s="16" t="inlineStr">
        <is>
          <t>—</t>
        </is>
      </c>
      <c r="F4" s="16" t="inlineStr">
        <is>
          <t>—</t>
        </is>
      </c>
      <c r="G4" s="16" t="inlineStr">
        <is>
          <t>—</t>
        </is>
      </c>
      <c r="H4" s="16" t="inlineStr">
        <is>
          <t>—</t>
        </is>
      </c>
      <c r="I4" s="17" t="inlineStr">
        <is>
          <t>FT-01</t>
        </is>
      </c>
      <c r="J4" s="18" t="inlineStr">
        <is>
          <t>Creates a CUSTOMER account only (BR-01).</t>
        </is>
      </c>
    </row>
    <row r="5" ht="22.8" customHeight="1" s="31">
      <c r="A5" s="19" t="n"/>
      <c r="B5" s="20" t="inlineStr">
        <is>
          <t>Sign in with password or OAuth</t>
        </is>
      </c>
      <c r="C5" s="15" t="inlineStr">
        <is>
          <t>F</t>
        </is>
      </c>
      <c r="D5" s="16" t="inlineStr">
        <is>
          <t>—</t>
        </is>
      </c>
      <c r="E5" s="16" t="inlineStr">
        <is>
          <t>—</t>
        </is>
      </c>
      <c r="F5" s="16" t="inlineStr">
        <is>
          <t>—</t>
        </is>
      </c>
      <c r="G5" s="16" t="inlineStr">
        <is>
          <t>—</t>
        </is>
      </c>
      <c r="H5" s="16" t="inlineStr">
        <is>
          <t>—</t>
        </is>
      </c>
      <c r="I5" s="17" t="inlineStr">
        <is>
          <t>FT-02, FT-05</t>
        </is>
      </c>
      <c r="J5" s="18" t="inlineStr">
        <is>
          <t>Every role signs in from the Guest state. OAuth sign-in: Draft.</t>
        </is>
      </c>
    </row>
    <row r="6">
      <c r="A6" s="21" t="n"/>
      <c r="B6" s="14" t="inlineStr">
        <is>
          <t>Request password reset and set a new password</t>
        </is>
      </c>
      <c r="C6" s="15" t="inlineStr">
        <is>
          <t>F</t>
        </is>
      </c>
      <c r="D6" s="16" t="inlineStr">
        <is>
          <t>—</t>
        </is>
      </c>
      <c r="E6" s="16" t="inlineStr">
        <is>
          <t>—</t>
        </is>
      </c>
      <c r="F6" s="16" t="inlineStr">
        <is>
          <t>—</t>
        </is>
      </c>
      <c r="G6" s="16" t="inlineStr">
        <is>
          <t>—</t>
        </is>
      </c>
      <c r="H6" s="16" t="inlineStr">
        <is>
          <t>—</t>
        </is>
      </c>
      <c r="I6" s="17" t="inlineStr">
        <is>
          <t>FT-04</t>
        </is>
      </c>
      <c r="J6" s="18" t="inlineStr">
        <is>
          <t>Email delivery of the link: Draft.</t>
        </is>
      </c>
    </row>
    <row r="7">
      <c r="A7" s="19" t="n"/>
      <c r="B7" s="20" t="inlineStr">
        <is>
          <t>Refresh session and sign out</t>
        </is>
      </c>
      <c r="C7" s="16" t="inlineStr">
        <is>
          <t>—</t>
        </is>
      </c>
      <c r="D7" s="22" t="inlineStr">
        <is>
          <t>O</t>
        </is>
      </c>
      <c r="E7" s="22" t="inlineStr">
        <is>
          <t>O</t>
        </is>
      </c>
      <c r="F7" s="22" t="inlineStr">
        <is>
          <t>O</t>
        </is>
      </c>
      <c r="G7" s="22" t="inlineStr">
        <is>
          <t>O</t>
        </is>
      </c>
      <c r="H7" s="22" t="inlineStr">
        <is>
          <t>O</t>
        </is>
      </c>
      <c r="I7" s="17" t="inlineStr">
        <is>
          <t>FT-03</t>
        </is>
      </c>
      <c r="J7" s="18" t="inlineStr">
        <is>
          <t>Own session only.</t>
        </is>
      </c>
    </row>
    <row r="8">
      <c r="A8" s="23" t="n"/>
      <c r="B8" s="14" t="inlineStr">
        <is>
          <t>Read and update account (name, phone)</t>
        </is>
      </c>
      <c r="C8" s="16" t="inlineStr">
        <is>
          <t>—</t>
        </is>
      </c>
      <c r="D8" s="22" t="inlineStr">
        <is>
          <t>O</t>
        </is>
      </c>
      <c r="E8" s="22" t="inlineStr">
        <is>
          <t>O</t>
        </is>
      </c>
      <c r="F8" s="22" t="inlineStr">
        <is>
          <t>O</t>
        </is>
      </c>
      <c r="G8" s="22" t="inlineStr">
        <is>
          <t>O</t>
        </is>
      </c>
      <c r="H8" s="15" t="inlineStr">
        <is>
          <t>F</t>
        </is>
      </c>
      <c r="I8" s="17" t="inlineStr">
        <is>
          <t>FT-06, FT-08</t>
        </is>
      </c>
      <c r="J8" s="18" t="inlineStr">
        <is>
          <t>Admin edits any account through user administration.</t>
        </is>
      </c>
    </row>
    <row r="9">
      <c r="A9" s="23" t="n"/>
      <c r="B9" s="20" t="inlineStr">
        <is>
          <t>Read and update learner profile</t>
        </is>
      </c>
      <c r="C9" s="16" t="inlineStr">
        <is>
          <t>—</t>
        </is>
      </c>
      <c r="D9" s="22" t="inlineStr">
        <is>
          <t>O</t>
        </is>
      </c>
      <c r="E9" s="16" t="inlineStr">
        <is>
          <t>—</t>
        </is>
      </c>
      <c r="F9" s="16" t="inlineStr">
        <is>
          <t>—</t>
        </is>
      </c>
      <c r="G9" s="16" t="inlineStr">
        <is>
          <t>—</t>
        </is>
      </c>
      <c r="H9" s="15" t="inlineStr">
        <is>
          <t>F</t>
        </is>
      </c>
      <c r="I9" s="17" t="inlineStr">
        <is>
          <t>FT-06, FT-08</t>
        </is>
      </c>
      <c r="J9" s="18" t="n"/>
    </row>
    <row r="10">
      <c r="A10" s="23" t="n"/>
      <c r="B10" s="14" t="inlineStr">
        <is>
          <t>List and unlink OAuth identities</t>
        </is>
      </c>
      <c r="C10" s="16" t="inlineStr">
        <is>
          <t>—</t>
        </is>
      </c>
      <c r="D10" s="22" t="inlineStr">
        <is>
          <t>O</t>
        </is>
      </c>
      <c r="E10" s="22" t="inlineStr">
        <is>
          <t>O</t>
        </is>
      </c>
      <c r="F10" s="22" t="inlineStr">
        <is>
          <t>O</t>
        </is>
      </c>
      <c r="G10" s="22" t="inlineStr">
        <is>
          <t>O</t>
        </is>
      </c>
      <c r="H10" s="15" t="inlineStr">
        <is>
          <t>F</t>
        </is>
      </c>
      <c r="I10" s="17" t="inlineStr">
        <is>
          <t>FT-05, FT-08</t>
        </is>
      </c>
      <c r="J10" s="18" t="n"/>
    </row>
    <row r="11">
      <c r="A11" s="23" t="n"/>
      <c r="B11" s="20" t="inlineStr">
        <is>
          <t>Set and change learning goal</t>
        </is>
      </c>
      <c r="C11" s="16" t="inlineStr">
        <is>
          <t>—</t>
        </is>
      </c>
      <c r="D11" s="22" t="inlineStr">
        <is>
          <t>O</t>
        </is>
      </c>
      <c r="E11" s="16" t="inlineStr">
        <is>
          <t>—</t>
        </is>
      </c>
      <c r="F11" s="16" t="inlineStr">
        <is>
          <t>—</t>
        </is>
      </c>
      <c r="G11" s="16" t="inlineStr">
        <is>
          <t>—</t>
        </is>
      </c>
      <c r="H11" s="24" t="inlineStr">
        <is>
          <t>E</t>
        </is>
      </c>
      <c r="I11" s="17" t="inlineStr">
        <is>
          <t>FT-09, FT-08</t>
        </is>
      </c>
      <c r="J11" s="18" t="inlineStr">
        <is>
          <t>Admin reads goals and changes their status only.</t>
        </is>
      </c>
    </row>
    <row r="12">
      <c r="A12" s="5" t="inlineStr">
        <is>
          <t>User administration</t>
        </is>
      </c>
      <c r="B12" s="14" t="inlineStr">
        <is>
          <t>List and read users</t>
        </is>
      </c>
      <c r="C12" s="16" t="inlineStr">
        <is>
          <t>—</t>
        </is>
      </c>
      <c r="D12" s="16" t="inlineStr">
        <is>
          <t>—</t>
        </is>
      </c>
      <c r="E12" s="16" t="inlineStr">
        <is>
          <t>—</t>
        </is>
      </c>
      <c r="F12" s="16" t="inlineStr">
        <is>
          <t>—</t>
        </is>
      </c>
      <c r="G12" s="16" t="inlineStr">
        <is>
          <t>—</t>
        </is>
      </c>
      <c r="H12" s="15" t="inlineStr">
        <is>
          <t>F</t>
        </is>
      </c>
      <c r="I12" s="17" t="inlineStr">
        <is>
          <t>FT-08</t>
        </is>
      </c>
      <c r="J12" s="18" t="n"/>
    </row>
    <row r="13">
      <c r="A13" s="23" t="n"/>
      <c r="B13" s="20" t="inlineStr">
        <is>
          <t>Create users, replace roles, change status, delete</t>
        </is>
      </c>
      <c r="C13" s="16" t="inlineStr">
        <is>
          <t>—</t>
        </is>
      </c>
      <c r="D13" s="16" t="inlineStr">
        <is>
          <t>—</t>
        </is>
      </c>
      <c r="E13" s="16" t="inlineStr">
        <is>
          <t>—</t>
        </is>
      </c>
      <c r="F13" s="16" t="inlineStr">
        <is>
          <t>—</t>
        </is>
      </c>
      <c r="G13" s="16" t="inlineStr">
        <is>
          <t>—</t>
        </is>
      </c>
      <c r="H13" s="15" t="inlineStr">
        <is>
          <t>F</t>
        </is>
      </c>
      <c r="I13" s="17" t="inlineStr">
        <is>
          <t>FT-07, FT-08</t>
        </is>
      </c>
      <c r="J13" s="18" t="inlineStr">
        <is>
          <t>Roles limited to the five canonical roles (BR-06).</t>
        </is>
      </c>
    </row>
    <row r="14">
      <c r="A14" s="23" t="n"/>
      <c r="B14" s="14" t="inlineStr">
        <is>
          <t>List and revoke account action tokens</t>
        </is>
      </c>
      <c r="C14" s="16" t="inlineStr">
        <is>
          <t>—</t>
        </is>
      </c>
      <c r="D14" s="16" t="inlineStr">
        <is>
          <t>—</t>
        </is>
      </c>
      <c r="E14" s="16" t="inlineStr">
        <is>
          <t>—</t>
        </is>
      </c>
      <c r="F14" s="16" t="inlineStr">
        <is>
          <t>—</t>
        </is>
      </c>
      <c r="G14" s="16" t="inlineStr">
        <is>
          <t>—</t>
        </is>
      </c>
      <c r="H14" s="15" t="inlineStr">
        <is>
          <t>F</t>
        </is>
      </c>
      <c r="I14" s="17" t="inlineStr">
        <is>
          <t>FT-04, FT-08</t>
        </is>
      </c>
      <c r="J14" s="18" t="n"/>
    </row>
    <row r="15" ht="26.4" customHeight="1" s="31">
      <c r="A15" s="5" t="inlineStr">
        <is>
          <t>Plans, subscriptions &amp; keys</t>
        </is>
      </c>
      <c r="B15" s="14" t="inlineStr">
        <is>
          <t>Read plans and key products</t>
        </is>
      </c>
      <c r="C15" s="16" t="inlineStr">
        <is>
          <t>—</t>
        </is>
      </c>
      <c r="D15" s="25" t="inlineStr">
        <is>
          <t>R</t>
        </is>
      </c>
      <c r="E15" s="25" t="inlineStr">
        <is>
          <t>R</t>
        </is>
      </c>
      <c r="F15" s="25" t="inlineStr">
        <is>
          <t>R</t>
        </is>
      </c>
      <c r="G15" s="25" t="inlineStr">
        <is>
          <t>R</t>
        </is>
      </c>
      <c r="H15" s="15" t="inlineStr">
        <is>
          <t>F</t>
        </is>
      </c>
      <c r="I15" s="17" t="inlineStr">
        <is>
          <t>FT-10</t>
        </is>
      </c>
      <c r="J15" s="18" t="inlineStr">
        <is>
          <t>Any signed-in user reads the list.</t>
        </is>
      </c>
    </row>
    <row r="16">
      <c r="A16" s="23" t="n"/>
      <c r="B16" s="20" t="inlineStr">
        <is>
          <t>Create plans and key products</t>
        </is>
      </c>
      <c r="C16" s="16" t="inlineStr">
        <is>
          <t>—</t>
        </is>
      </c>
      <c r="D16" s="16" t="inlineStr">
        <is>
          <t>—</t>
        </is>
      </c>
      <c r="E16" s="16" t="inlineStr">
        <is>
          <t>—</t>
        </is>
      </c>
      <c r="F16" s="16" t="inlineStr">
        <is>
          <t>—</t>
        </is>
      </c>
      <c r="G16" s="16" t="inlineStr">
        <is>
          <t>—</t>
        </is>
      </c>
      <c r="H16" s="15" t="inlineStr">
        <is>
          <t>F</t>
        </is>
      </c>
      <c r="I16" s="17" t="inlineStr">
        <is>
          <t>FT-10</t>
        </is>
      </c>
      <c r="J16" s="18" t="n"/>
    </row>
    <row r="17">
      <c r="A17" s="23" t="n"/>
      <c r="B17" s="14" t="inlineStr">
        <is>
          <t>Grant a subscription (days, credits)</t>
        </is>
      </c>
      <c r="C17" s="16" t="inlineStr">
        <is>
          <t>—</t>
        </is>
      </c>
      <c r="D17" s="16" t="inlineStr">
        <is>
          <t>—</t>
        </is>
      </c>
      <c r="E17" s="16" t="inlineStr">
        <is>
          <t>—</t>
        </is>
      </c>
      <c r="F17" s="16" t="inlineStr">
        <is>
          <t>—</t>
        </is>
      </c>
      <c r="G17" s="16" t="inlineStr">
        <is>
          <t>—</t>
        </is>
      </c>
      <c r="H17" s="15" t="inlineStr">
        <is>
          <t>F</t>
        </is>
      </c>
      <c r="I17" s="17" t="inlineStr">
        <is>
          <t>FT-10, FT-14</t>
        </is>
      </c>
      <c r="J17" s="18" t="n"/>
    </row>
    <row r="18">
      <c r="A18" s="23" t="n"/>
      <c r="B18" s="20" t="inlineStr">
        <is>
          <t>Read subscription and entitlement</t>
        </is>
      </c>
      <c r="C18" s="16" t="inlineStr">
        <is>
          <t>—</t>
        </is>
      </c>
      <c r="D18" s="22" t="inlineStr">
        <is>
          <t>O</t>
        </is>
      </c>
      <c r="E18" s="16" t="inlineStr">
        <is>
          <t>—</t>
        </is>
      </c>
      <c r="F18" s="16" t="inlineStr">
        <is>
          <t>—</t>
        </is>
      </c>
      <c r="G18" s="16" t="inlineStr">
        <is>
          <t>—</t>
        </is>
      </c>
      <c r="H18" s="15" t="inlineStr">
        <is>
          <t>F</t>
        </is>
      </c>
      <c r="I18" s="17" t="inlineStr">
        <is>
          <t>FT-10, FT-13</t>
        </is>
      </c>
      <c r="J18" s="18" t="inlineStr">
        <is>
          <t>Current release: entitlement read is ADMIN only.</t>
        </is>
      </c>
    </row>
    <row r="19" ht="22.8" customHeight="1" s="31">
      <c r="A19" s="23" t="n"/>
      <c r="B19" s="14" t="inlineStr">
        <is>
          <t>Generate and revoke activation keys</t>
        </is>
      </c>
      <c r="C19" s="16" t="inlineStr">
        <is>
          <t>—</t>
        </is>
      </c>
      <c r="D19" s="16" t="inlineStr">
        <is>
          <t>—</t>
        </is>
      </c>
      <c r="E19" s="16" t="inlineStr">
        <is>
          <t>—</t>
        </is>
      </c>
      <c r="F19" s="16" t="inlineStr">
        <is>
          <t>—</t>
        </is>
      </c>
      <c r="G19" s="15" t="inlineStr">
        <is>
          <t>F</t>
        </is>
      </c>
      <c r="H19" s="15" t="inlineStr">
        <is>
          <t>F</t>
        </is>
      </c>
      <c r="I19" s="17" t="inlineStr">
        <is>
          <t>FT-11</t>
        </is>
      </c>
      <c r="J19" s="18" t="inlineStr">
        <is>
          <t>Current release: ADMIN only; SALES_STAFF access is Draft.</t>
        </is>
      </c>
    </row>
    <row r="20">
      <c r="A20" s="23" t="n"/>
      <c r="B20" s="20" t="inlineStr">
        <is>
          <t>List issued keys and their status</t>
        </is>
      </c>
      <c r="C20" s="16" t="inlineStr">
        <is>
          <t>—</t>
        </is>
      </c>
      <c r="D20" s="16" t="inlineStr">
        <is>
          <t>—</t>
        </is>
      </c>
      <c r="E20" s="16" t="inlineStr">
        <is>
          <t>—</t>
        </is>
      </c>
      <c r="F20" s="16" t="inlineStr">
        <is>
          <t>—</t>
        </is>
      </c>
      <c r="G20" s="25" t="inlineStr">
        <is>
          <t>R</t>
        </is>
      </c>
      <c r="H20" s="25" t="inlineStr">
        <is>
          <t>R</t>
        </is>
      </c>
      <c r="I20" s="17" t="inlineStr">
        <is>
          <t>FT-11</t>
        </is>
      </c>
      <c r="J20" s="18" t="inlineStr">
        <is>
          <t>Draft: no key list yet.</t>
        </is>
      </c>
    </row>
    <row r="21">
      <c r="A21" s="23" t="n"/>
      <c r="B21" s="14" t="inlineStr">
        <is>
          <t>Redeem an activation key</t>
        </is>
      </c>
      <c r="C21" s="16" t="inlineStr">
        <is>
          <t>—</t>
        </is>
      </c>
      <c r="D21" s="22" t="inlineStr">
        <is>
          <t>O</t>
        </is>
      </c>
      <c r="E21" s="16" t="inlineStr">
        <is>
          <t>—</t>
        </is>
      </c>
      <c r="F21" s="16" t="inlineStr">
        <is>
          <t>—</t>
        </is>
      </c>
      <c r="G21" s="16" t="inlineStr">
        <is>
          <t>—</t>
        </is>
      </c>
      <c r="H21" s="16" t="inlineStr">
        <is>
          <t>—</t>
        </is>
      </c>
      <c r="I21" s="17" t="inlineStr">
        <is>
          <t>FT-11</t>
        </is>
      </c>
      <c r="J21" s="18" t="inlineStr">
        <is>
          <t>Key redeemed once (BR-07).</t>
        </is>
      </c>
    </row>
    <row r="22" ht="26.4" customHeight="1" s="31">
      <c r="A22" s="23" t="n"/>
      <c r="B22" s="20" t="inlineStr">
        <is>
          <t>Send an attempt for examiner grading (consume credit)</t>
        </is>
      </c>
      <c r="C22" s="16" t="inlineStr">
        <is>
          <t>—</t>
        </is>
      </c>
      <c r="D22" s="22" t="inlineStr">
        <is>
          <t>O</t>
        </is>
      </c>
      <c r="E22" s="16" t="inlineStr">
        <is>
          <t>—</t>
        </is>
      </c>
      <c r="F22" s="16" t="inlineStr">
        <is>
          <t>—</t>
        </is>
      </c>
      <c r="G22" s="16" t="inlineStr">
        <is>
          <t>—</t>
        </is>
      </c>
      <c r="H22" s="15" t="inlineStr">
        <is>
          <t>F</t>
        </is>
      </c>
      <c r="I22" s="17" t="inlineStr">
        <is>
          <t>FT-14</t>
        </is>
      </c>
      <c r="J22" s="18" t="inlineStr">
        <is>
          <t>Current release: only ADMIN can consume credits; learner flow is Draft (BR-31).</t>
        </is>
      </c>
    </row>
    <row r="23">
      <c r="A23" s="5" t="inlineStr">
        <is>
          <t>Points</t>
        </is>
      </c>
      <c r="B23" s="14" t="inlineStr">
        <is>
          <t>Read point balance and history</t>
        </is>
      </c>
      <c r="C23" s="16" t="inlineStr">
        <is>
          <t>—</t>
        </is>
      </c>
      <c r="D23" s="22" t="inlineStr">
        <is>
          <t>O</t>
        </is>
      </c>
      <c r="E23" s="16" t="inlineStr">
        <is>
          <t>—</t>
        </is>
      </c>
      <c r="F23" s="16" t="inlineStr">
        <is>
          <t>—</t>
        </is>
      </c>
      <c r="G23" s="16" t="inlineStr">
        <is>
          <t>—</t>
        </is>
      </c>
      <c r="H23" s="16" t="inlineStr">
        <is>
          <t>—</t>
        </is>
      </c>
      <c r="I23" s="17" t="inlineStr">
        <is>
          <t>FT-12</t>
        </is>
      </c>
      <c r="J23" s="18" t="n"/>
    </row>
    <row r="24" ht="22.8" customHeight="1" s="31">
      <c r="A24" s="23" t="n"/>
      <c r="B24" s="20" t="inlineStr">
        <is>
          <t>Debit points for AI Writing grading</t>
        </is>
      </c>
      <c r="C24" s="16" t="inlineStr">
        <is>
          <t>—</t>
        </is>
      </c>
      <c r="D24" s="22" t="inlineStr">
        <is>
          <t>O</t>
        </is>
      </c>
      <c r="E24" s="16" t="inlineStr">
        <is>
          <t>—</t>
        </is>
      </c>
      <c r="F24" s="16" t="inlineStr">
        <is>
          <t>—</t>
        </is>
      </c>
      <c r="G24" s="16" t="inlineStr">
        <is>
          <t>—</t>
        </is>
      </c>
      <c r="H24" s="16" t="inlineStr">
        <is>
          <t>—</t>
        </is>
      </c>
      <c r="I24" s="17" t="inlineStr">
        <is>
          <t>FT-12, FT-25</t>
        </is>
      </c>
      <c r="J24" s="18" t="inlineStr">
        <is>
          <t>Done by the system with the learner's own token (BR-09, BR-10).</t>
        </is>
      </c>
    </row>
    <row r="25">
      <c r="A25" s="23" t="n"/>
      <c r="B25" s="14" t="inlineStr">
        <is>
          <t>Adjust points with a reason, refund a debit</t>
        </is>
      </c>
      <c r="C25" s="16" t="inlineStr">
        <is>
          <t>—</t>
        </is>
      </c>
      <c r="D25" s="16" t="inlineStr">
        <is>
          <t>—</t>
        </is>
      </c>
      <c r="E25" s="16" t="inlineStr">
        <is>
          <t>—</t>
        </is>
      </c>
      <c r="F25" s="16" t="inlineStr">
        <is>
          <t>—</t>
        </is>
      </c>
      <c r="G25" s="16" t="inlineStr">
        <is>
          <t>—</t>
        </is>
      </c>
      <c r="H25" s="15" t="inlineStr">
        <is>
          <t>F</t>
        </is>
      </c>
      <c r="I25" s="17" t="inlineStr">
        <is>
          <t>FT-12</t>
        </is>
      </c>
      <c r="J25" s="18" t="n"/>
    </row>
    <row r="26" ht="22.8" customHeight="1" s="31">
      <c r="A26" s="5" t="inlineStr">
        <is>
          <t>Premium content</t>
        </is>
      </c>
      <c r="B26" s="14" t="inlineStr">
        <is>
          <t>Open Premium lessons and practice sets</t>
        </is>
      </c>
      <c r="C26" s="16" t="inlineStr">
        <is>
          <t>—</t>
        </is>
      </c>
      <c r="D26" s="22" t="inlineStr">
        <is>
          <t>O</t>
        </is>
      </c>
      <c r="E26" s="16" t="inlineStr">
        <is>
          <t>—</t>
        </is>
      </c>
      <c r="F26" s="16" t="inlineStr">
        <is>
          <t>—</t>
        </is>
      </c>
      <c r="G26" s="16" t="inlineStr">
        <is>
          <t>—</t>
        </is>
      </c>
      <c r="H26" s="16" t="inlineStr">
        <is>
          <t>—</t>
        </is>
      </c>
      <c r="I26" s="17" t="inlineStr">
        <is>
          <t>FT-13</t>
        </is>
      </c>
      <c r="J26" s="18" t="inlineStr">
        <is>
          <t>Only with the required feature key (BR-34). Enforcement: Draft.</t>
        </is>
      </c>
    </row>
    <row r="27" ht="26.4" customHeight="1" s="31">
      <c r="A27" s="5" t="inlineStr">
        <is>
          <t>Curriculum &amp; content authoring</t>
        </is>
      </c>
      <c r="B27" s="14" t="inlineStr">
        <is>
          <t>Read topics</t>
        </is>
      </c>
      <c r="C27" s="16" t="inlineStr">
        <is>
          <t>—</t>
        </is>
      </c>
      <c r="D27" s="25" t="inlineStr">
        <is>
          <t>R</t>
        </is>
      </c>
      <c r="E27" s="25" t="inlineStr">
        <is>
          <t>R</t>
        </is>
      </c>
      <c r="F27" s="25" t="inlineStr">
        <is>
          <t>R</t>
        </is>
      </c>
      <c r="G27" s="16" t="inlineStr">
        <is>
          <t>—</t>
        </is>
      </c>
      <c r="H27" s="25" t="inlineStr">
        <is>
          <t>R</t>
        </is>
      </c>
      <c r="I27" s="17" t="inlineStr">
        <is>
          <t>FT-15</t>
        </is>
      </c>
      <c r="J27" s="18" t="n"/>
    </row>
    <row r="28">
      <c r="A28" s="23" t="n"/>
      <c r="B28" s="20" t="inlineStr">
        <is>
          <t>Read knowledge points</t>
        </is>
      </c>
      <c r="C28" s="16" t="inlineStr">
        <is>
          <t>—</t>
        </is>
      </c>
      <c r="D28" s="25" t="inlineStr">
        <is>
          <t>R</t>
        </is>
      </c>
      <c r="E28" s="25" t="inlineStr">
        <is>
          <t>R</t>
        </is>
      </c>
      <c r="F28" s="25" t="inlineStr">
        <is>
          <t>R</t>
        </is>
      </c>
      <c r="G28" s="25" t="inlineStr">
        <is>
          <t>R</t>
        </is>
      </c>
      <c r="H28" s="25" t="inlineStr">
        <is>
          <t>R</t>
        </is>
      </c>
      <c r="I28" s="17" t="inlineStr">
        <is>
          <t>FT-15</t>
        </is>
      </c>
      <c r="J28" s="18" t="inlineStr">
        <is>
          <t>Any signed-in user.</t>
        </is>
      </c>
    </row>
    <row r="29">
      <c r="A29" s="23" t="n"/>
      <c r="B29" s="14" t="inlineStr">
        <is>
          <t>Create and update courses, topics and knowledge points</t>
        </is>
      </c>
      <c r="C29" s="16" t="inlineStr">
        <is>
          <t>—</t>
        </is>
      </c>
      <c r="D29" s="16" t="inlineStr">
        <is>
          <t>—</t>
        </is>
      </c>
      <c r="E29" s="15" t="inlineStr">
        <is>
          <t>F</t>
        </is>
      </c>
      <c r="F29" s="16" t="inlineStr">
        <is>
          <t>—</t>
        </is>
      </c>
      <c r="G29" s="16" t="inlineStr">
        <is>
          <t>—</t>
        </is>
      </c>
      <c r="H29" s="15" t="inlineStr">
        <is>
          <t>F</t>
        </is>
      </c>
      <c r="I29" s="17" t="inlineStr">
        <is>
          <t>FT-15</t>
        </is>
      </c>
      <c r="J29" s="18" t="inlineStr">
        <is>
          <t>Course band level unique (DC-41); topic skill locked once lessons are published (BR-12).</t>
        </is>
      </c>
    </row>
    <row r="30">
      <c r="A30" s="23" t="n"/>
      <c r="B30" s="20" t="inlineStr">
        <is>
          <t>Read, create, version and archive questions</t>
        </is>
      </c>
      <c r="C30" s="16" t="inlineStr">
        <is>
          <t>—</t>
        </is>
      </c>
      <c r="D30" s="16" t="inlineStr">
        <is>
          <t>—</t>
        </is>
      </c>
      <c r="E30" s="15" t="inlineStr">
        <is>
          <t>F</t>
        </is>
      </c>
      <c r="F30" s="16" t="inlineStr">
        <is>
          <t>—</t>
        </is>
      </c>
      <c r="G30" s="16" t="inlineStr">
        <is>
          <t>—</t>
        </is>
      </c>
      <c r="H30" s="15" t="inlineStr">
        <is>
          <t>F</t>
        </is>
      </c>
      <c r="I30" s="17" t="inlineStr">
        <is>
          <t>FT-16</t>
        </is>
      </c>
      <c r="J30" s="18" t="inlineStr">
        <is>
          <t>Bank holds answers: ADMIN and CONTENT_AUTHOR only.</t>
        </is>
      </c>
    </row>
    <row r="31">
      <c r="A31" s="23" t="n"/>
      <c r="B31" s="14" t="inlineStr">
        <is>
          <t>Create, version and publish content packages</t>
        </is>
      </c>
      <c r="C31" s="16" t="inlineStr">
        <is>
          <t>—</t>
        </is>
      </c>
      <c r="D31" s="16" t="inlineStr">
        <is>
          <t>—</t>
        </is>
      </c>
      <c r="E31" s="15" t="inlineStr">
        <is>
          <t>F</t>
        </is>
      </c>
      <c r="F31" s="16" t="inlineStr">
        <is>
          <t>—</t>
        </is>
      </c>
      <c r="G31" s="16" t="inlineStr">
        <is>
          <t>—</t>
        </is>
      </c>
      <c r="H31" s="15" t="inlineStr">
        <is>
          <t>F</t>
        </is>
      </c>
      <c r="I31" s="17" t="inlineStr">
        <is>
          <t>FT-17</t>
        </is>
      </c>
      <c r="J31" s="18" t="inlineStr">
        <is>
          <t>Topic test creation: Draft.</t>
        </is>
      </c>
    </row>
    <row r="32">
      <c r="A32" s="23" t="n"/>
      <c r="B32" s="20" t="inlineStr">
        <is>
          <t>Read and upload media assets</t>
        </is>
      </c>
      <c r="C32" s="16" t="inlineStr">
        <is>
          <t>—</t>
        </is>
      </c>
      <c r="D32" s="16" t="inlineStr">
        <is>
          <t>—</t>
        </is>
      </c>
      <c r="E32" s="15" t="inlineStr">
        <is>
          <t>F</t>
        </is>
      </c>
      <c r="F32" s="16" t="inlineStr">
        <is>
          <t>—</t>
        </is>
      </c>
      <c r="G32" s="16" t="inlineStr">
        <is>
          <t>—</t>
        </is>
      </c>
      <c r="H32" s="15" t="inlineStr">
        <is>
          <t>F</t>
        </is>
      </c>
      <c r="I32" s="17" t="inlineStr">
        <is>
          <t>FT-18</t>
        </is>
      </c>
      <c r="J32" s="18" t="inlineStr">
        <is>
          <t>Assets can hold transcripts. Upload: Draft.</t>
        </is>
      </c>
    </row>
    <row r="33">
      <c r="A33" s="23" t="n"/>
      <c r="B33" s="14" t="inlineStr">
        <is>
          <t>Read Reading sections</t>
        </is>
      </c>
      <c r="C33" s="16" t="inlineStr">
        <is>
          <t>—</t>
        </is>
      </c>
      <c r="D33" s="25" t="inlineStr">
        <is>
          <t>R</t>
        </is>
      </c>
      <c r="E33" s="25" t="inlineStr">
        <is>
          <t>R</t>
        </is>
      </c>
      <c r="F33" s="25" t="inlineStr">
        <is>
          <t>R</t>
        </is>
      </c>
      <c r="G33" s="16" t="inlineStr">
        <is>
          <t>—</t>
        </is>
      </c>
      <c r="H33" s="25" t="inlineStr">
        <is>
          <t>R</t>
        </is>
      </c>
      <c r="I33" s="17" t="inlineStr">
        <is>
          <t>FT-15, FT-21</t>
        </is>
      </c>
      <c r="J33" s="18" t="n"/>
    </row>
    <row r="34">
      <c r="A34" s="23" t="n"/>
      <c r="B34" s="20" t="inlineStr">
        <is>
          <t>Author and publish lessons</t>
        </is>
      </c>
      <c r="C34" s="16" t="inlineStr">
        <is>
          <t>—</t>
        </is>
      </c>
      <c r="D34" s="16" t="inlineStr">
        <is>
          <t>—</t>
        </is>
      </c>
      <c r="E34" s="15" t="inlineStr">
        <is>
          <t>F</t>
        </is>
      </c>
      <c r="F34" s="16" t="inlineStr">
        <is>
          <t>—</t>
        </is>
      </c>
      <c r="G34" s="16" t="inlineStr">
        <is>
          <t>—</t>
        </is>
      </c>
      <c r="H34" s="15" t="inlineStr">
        <is>
          <t>F</t>
        </is>
      </c>
      <c r="I34" s="17" t="inlineStr">
        <is>
          <t>FT-19</t>
        </is>
      </c>
      <c r="J34" s="18" t="inlineStr">
        <is>
          <t>Draft.</t>
        </is>
      </c>
    </row>
    <row r="35">
      <c r="A35" s="5" t="inlineStr">
        <is>
          <t>Learning path &amp; lessons</t>
        </is>
      </c>
      <c r="B35" s="14" t="inlineStr">
        <is>
          <t>View courses, learning path, topics and lessons</t>
        </is>
      </c>
      <c r="C35" s="16" t="inlineStr">
        <is>
          <t>—</t>
        </is>
      </c>
      <c r="D35" s="22" t="inlineStr">
        <is>
          <t>O</t>
        </is>
      </c>
      <c r="E35" s="16" t="inlineStr">
        <is>
          <t>—</t>
        </is>
      </c>
      <c r="F35" s="16" t="inlineStr">
        <is>
          <t>—</t>
        </is>
      </c>
      <c r="G35" s="16" t="inlineStr">
        <is>
          <t>—</t>
        </is>
      </c>
      <c r="H35" s="16" t="inlineStr">
        <is>
          <t>—</t>
        </is>
      </c>
      <c r="I35" s="17" t="inlineStr">
        <is>
          <t>FT-20</t>
        </is>
      </c>
      <c r="J35" s="18" t="inlineStr">
        <is>
          <t>Progress is per learner; every ACTIVE course is open (BR-40).</t>
        </is>
      </c>
    </row>
    <row r="36" ht="26.4" customHeight="1" s="31">
      <c r="A36" s="23" t="n"/>
      <c r="B36" s="20" t="inlineStr">
        <is>
          <t>Open, submit and complete lessons (hints, transcripts)</t>
        </is>
      </c>
      <c r="C36" s="16" t="inlineStr">
        <is>
          <t>—</t>
        </is>
      </c>
      <c r="D36" s="22" t="inlineStr">
        <is>
          <t>O</t>
        </is>
      </c>
      <c r="E36" s="16" t="inlineStr">
        <is>
          <t>—</t>
        </is>
      </c>
      <c r="F36" s="16" t="inlineStr">
        <is>
          <t>—</t>
        </is>
      </c>
      <c r="G36" s="16" t="inlineStr">
        <is>
          <t>—</t>
        </is>
      </c>
      <c r="H36" s="16" t="inlineStr">
        <is>
          <t>—</t>
        </is>
      </c>
      <c r="I36" s="17" t="inlineStr">
        <is>
          <t>FT-21–FT-24</t>
        </is>
      </c>
      <c r="J36" s="18" t="inlineStr">
        <is>
          <t>Gates of BR-17: earlier lessons completed and practice cleared (practice gate: Draft); answers hidden until passed (BR-19).</t>
        </is>
      </c>
    </row>
    <row r="37">
      <c r="A37" s="23" t="n"/>
      <c r="B37" s="14" t="inlineStr">
        <is>
          <t>Submit a Writing essay for AI grading</t>
        </is>
      </c>
      <c r="C37" s="16" t="inlineStr">
        <is>
          <t>—</t>
        </is>
      </c>
      <c r="D37" s="22" t="inlineStr">
        <is>
          <t>O</t>
        </is>
      </c>
      <c r="E37" s="16" t="inlineStr">
        <is>
          <t>—</t>
        </is>
      </c>
      <c r="F37" s="16" t="inlineStr">
        <is>
          <t>—</t>
        </is>
      </c>
      <c r="G37" s="16" t="inlineStr">
        <is>
          <t>—</t>
        </is>
      </c>
      <c r="H37" s="16" t="inlineStr">
        <is>
          <t>—</t>
        </is>
      </c>
      <c r="I37" s="17" t="inlineStr">
        <is>
          <t>FT-25</t>
        </is>
      </c>
      <c r="J37" s="18" t="inlineStr">
        <is>
          <t>Reads own submissions only.</t>
        </is>
      </c>
    </row>
    <row r="38">
      <c r="A38" s="23" t="n"/>
      <c r="B38" s="20" t="inlineStr">
        <is>
          <t>View knowledge-point mastery</t>
        </is>
      </c>
      <c r="C38" s="16" t="inlineStr">
        <is>
          <t>—</t>
        </is>
      </c>
      <c r="D38" s="22" t="inlineStr">
        <is>
          <t>O</t>
        </is>
      </c>
      <c r="E38" s="16" t="inlineStr">
        <is>
          <t>—</t>
        </is>
      </c>
      <c r="F38" s="16" t="inlineStr">
        <is>
          <t>—</t>
        </is>
      </c>
      <c r="G38" s="16" t="inlineStr">
        <is>
          <t>—</t>
        </is>
      </c>
      <c r="H38" s="16" t="inlineStr">
        <is>
          <t>—</t>
        </is>
      </c>
      <c r="I38" s="17" t="inlineStr">
        <is>
          <t>FT-26</t>
        </is>
      </c>
      <c r="J38" s="18" t="n"/>
    </row>
    <row r="39">
      <c r="A39" s="23" t="n"/>
      <c r="B39" s="14" t="inlineStr">
        <is>
          <t>Start and submit lesson practice</t>
        </is>
      </c>
      <c r="C39" s="16" t="inlineStr">
        <is>
          <t>—</t>
        </is>
      </c>
      <c r="D39" s="22" t="inlineStr">
        <is>
          <t>O</t>
        </is>
      </c>
      <c r="E39" s="16" t="inlineStr">
        <is>
          <t>—</t>
        </is>
      </c>
      <c r="F39" s="16" t="inlineStr">
        <is>
          <t>—</t>
        </is>
      </c>
      <c r="G39" s="16" t="inlineStr">
        <is>
          <t>—</t>
        </is>
      </c>
      <c r="H39" s="16" t="inlineStr">
        <is>
          <t>—</t>
        </is>
      </c>
      <c r="I39" s="17" t="inlineStr">
        <is>
          <t>FT-27</t>
        </is>
      </c>
      <c r="J39" s="18" t="n"/>
    </row>
    <row r="40">
      <c r="A40" s="23" t="n"/>
      <c r="B40" s="20" t="inlineStr">
        <is>
          <t>Work through reviews</t>
        </is>
      </c>
      <c r="C40" s="16" t="inlineStr">
        <is>
          <t>—</t>
        </is>
      </c>
      <c r="D40" s="22" t="inlineStr">
        <is>
          <t>O</t>
        </is>
      </c>
      <c r="E40" s="16" t="inlineStr">
        <is>
          <t>—</t>
        </is>
      </c>
      <c r="F40" s="16" t="inlineStr">
        <is>
          <t>—</t>
        </is>
      </c>
      <c r="G40" s="16" t="inlineStr">
        <is>
          <t>—</t>
        </is>
      </c>
      <c r="H40" s="16" t="inlineStr">
        <is>
          <t>—</t>
        </is>
      </c>
      <c r="I40" s="17" t="inlineStr">
        <is>
          <t>FT-28</t>
        </is>
      </c>
      <c r="J40" s="18" t="n"/>
    </row>
    <row r="41">
      <c r="A41" s="23" t="n"/>
      <c r="B41" s="14" t="inlineStr">
        <is>
          <t>Request a topic or course final test code</t>
        </is>
      </c>
      <c r="C41" s="16" t="inlineStr">
        <is>
          <t>—</t>
        </is>
      </c>
      <c r="D41" s="22" t="inlineStr">
        <is>
          <t>O</t>
        </is>
      </c>
      <c r="E41" s="16" t="inlineStr">
        <is>
          <t>—</t>
        </is>
      </c>
      <c r="F41" s="16" t="inlineStr">
        <is>
          <t>—</t>
        </is>
      </c>
      <c r="G41" s="16" t="inlineStr">
        <is>
          <t>—</t>
        </is>
      </c>
      <c r="H41" s="16" t="inlineStr">
        <is>
          <t>—</t>
        </is>
      </c>
      <c r="I41" s="17" t="inlineStr">
        <is>
          <t>FT-29, FT-55</t>
        </is>
      </c>
      <c r="J41" s="18" t="n"/>
    </row>
    <row r="42" ht="26.4" customHeight="1" s="31">
      <c r="A42" s="5" t="inlineStr">
        <is>
          <t>Assessment</t>
        </is>
      </c>
      <c r="B42" s="14" t="inlineStr">
        <is>
          <t>Start, save and submit a test attempt</t>
        </is>
      </c>
      <c r="C42" s="16" t="inlineStr">
        <is>
          <t>—</t>
        </is>
      </c>
      <c r="D42" s="22" t="inlineStr">
        <is>
          <t>O</t>
        </is>
      </c>
      <c r="E42" s="16" t="inlineStr">
        <is>
          <t>—</t>
        </is>
      </c>
      <c r="F42" s="16" t="inlineStr">
        <is>
          <t>—</t>
        </is>
      </c>
      <c r="G42" s="16" t="inlineStr">
        <is>
          <t>—</t>
        </is>
      </c>
      <c r="H42" s="16" t="inlineStr">
        <is>
          <t>—</t>
        </is>
      </c>
      <c r="I42" s="17" t="inlineStr">
        <is>
          <t>FT-30, FT-34, FT-35</t>
        </is>
      </c>
      <c r="J42" s="18" t="inlineStr">
        <is>
          <t>Only the attempt owner. Mock test: Draft.</t>
        </is>
      </c>
    </row>
    <row r="43">
      <c r="A43" s="23" t="n"/>
      <c r="B43" s="20" t="inlineStr">
        <is>
          <t>View own test result</t>
        </is>
      </c>
      <c r="C43" s="16" t="inlineStr">
        <is>
          <t>—</t>
        </is>
      </c>
      <c r="D43" s="22" t="inlineStr">
        <is>
          <t>O</t>
        </is>
      </c>
      <c r="E43" s="16" t="inlineStr">
        <is>
          <t>—</t>
        </is>
      </c>
      <c r="F43" s="16" t="inlineStr">
        <is>
          <t>—</t>
        </is>
      </c>
      <c r="G43" s="16" t="inlineStr">
        <is>
          <t>—</t>
        </is>
      </c>
      <c r="H43" s="16" t="inlineStr">
        <is>
          <t>—</t>
        </is>
      </c>
      <c r="I43" s="17" t="inlineStr">
        <is>
          <t>FT-31</t>
        </is>
      </c>
      <c r="J43" s="18" t="inlineStr">
        <is>
          <t>Solutions only at 70% or more (BR-24).</t>
        </is>
      </c>
    </row>
    <row r="44" ht="22.8" customHeight="1" s="31">
      <c r="A44" s="23" t="inlineStr"/>
      <c r="B44" s="20" t="inlineStr">
        <is>
          <t>Reset a learner's placement test</t>
        </is>
      </c>
      <c r="C44" s="16" t="inlineStr">
        <is>
          <t>—</t>
        </is>
      </c>
      <c r="D44" s="22" t="inlineStr">
        <is>
          <t>—</t>
        </is>
      </c>
      <c r="E44" s="16" t="inlineStr">
        <is>
          <t>—</t>
        </is>
      </c>
      <c r="F44" s="16" t="inlineStr">
        <is>
          <t>—</t>
        </is>
      </c>
      <c r="G44" s="16" t="inlineStr">
        <is>
          <t>—</t>
        </is>
      </c>
      <c r="H44" s="16" t="inlineStr">
        <is>
          <t>F</t>
        </is>
      </c>
      <c r="I44" s="17" t="inlineStr">
        <is>
          <t>FT-35</t>
        </is>
      </c>
      <c r="J44" s="18" t="inlineStr">
        <is>
          <t>Allows one more placement attempt. Draft.</t>
        </is>
      </c>
    </row>
    <row r="45">
      <c r="A45" s="23" t="n"/>
      <c r="B45" s="14" t="inlineStr">
        <is>
          <t>Grade attempts and finalize results</t>
        </is>
      </c>
      <c r="C45" s="16" t="inlineStr">
        <is>
          <t>—</t>
        </is>
      </c>
      <c r="D45" s="16" t="inlineStr">
        <is>
          <t>—</t>
        </is>
      </c>
      <c r="E45" s="16" t="inlineStr">
        <is>
          <t>—</t>
        </is>
      </c>
      <c r="F45" s="15" t="inlineStr">
        <is>
          <t>F</t>
        </is>
      </c>
      <c r="G45" s="16" t="inlineStr">
        <is>
          <t>—</t>
        </is>
      </c>
      <c r="H45" s="15" t="inlineStr">
        <is>
          <t>F</t>
        </is>
      </c>
      <c r="I45" s="17" t="inlineStr">
        <is>
          <t>FT-32</t>
        </is>
      </c>
      <c r="J45" s="18" t="inlineStr">
        <is>
          <t>Current release: any Examiner can grade any result (no assignment).</t>
        </is>
      </c>
    </row>
    <row r="46" ht="26.4" customHeight="1" s="31">
      <c r="A46" s="23" t="n"/>
      <c r="B46" s="20" t="inlineStr">
        <is>
          <t>Request AI grading and read own jobs</t>
        </is>
      </c>
      <c r="C46" s="16" t="inlineStr">
        <is>
          <t>—</t>
        </is>
      </c>
      <c r="D46" s="22" t="inlineStr">
        <is>
          <t>O</t>
        </is>
      </c>
      <c r="E46" s="16" t="inlineStr">
        <is>
          <t>—</t>
        </is>
      </c>
      <c r="F46" s="16" t="inlineStr">
        <is>
          <t>—</t>
        </is>
      </c>
      <c r="G46" s="16" t="inlineStr">
        <is>
          <t>—</t>
        </is>
      </c>
      <c r="H46" s="16" t="inlineStr">
        <is>
          <t>—</t>
        </is>
      </c>
      <c r="I46" s="17" t="inlineStr">
        <is>
          <t>FT-33</t>
        </is>
      </c>
      <c r="J46" s="18" t="inlineStr">
        <is>
          <t>Draft (job records: Specified).</t>
        </is>
      </c>
    </row>
    <row r="47" ht="26.4" customHeight="1" s="31">
      <c r="A47" s="5" t="inlineStr">
        <is>
          <t>Vocabulary &amp; video catalog</t>
        </is>
      </c>
      <c r="B47" s="14" t="inlineStr">
        <is>
          <t>Search and read vocabulary and videos</t>
        </is>
      </c>
      <c r="C47" s="16" t="inlineStr">
        <is>
          <t>—</t>
        </is>
      </c>
      <c r="D47" s="25" t="inlineStr">
        <is>
          <t>R</t>
        </is>
      </c>
      <c r="E47" s="25" t="inlineStr">
        <is>
          <t>R</t>
        </is>
      </c>
      <c r="F47" s="25" t="inlineStr">
        <is>
          <t>R</t>
        </is>
      </c>
      <c r="G47" s="16" t="inlineStr">
        <is>
          <t>—</t>
        </is>
      </c>
      <c r="H47" s="25" t="inlineStr">
        <is>
          <t>R</t>
        </is>
      </c>
      <c r="I47" s="17" t="inlineStr">
        <is>
          <t>FT-36, FT-37</t>
        </is>
      </c>
      <c r="J47" s="18" t="n"/>
    </row>
    <row r="48" ht="26.4" customHeight="1" s="31">
      <c r="A48" s="23" t="n"/>
      <c r="B48" s="20" t="inlineStr">
        <is>
          <t>Create vocabulary, senses, videos, segments; publish videos</t>
        </is>
      </c>
      <c r="C48" s="16" t="inlineStr">
        <is>
          <t>—</t>
        </is>
      </c>
      <c r="D48" s="16" t="inlineStr">
        <is>
          <t>—</t>
        </is>
      </c>
      <c r="E48" s="15" t="inlineStr">
        <is>
          <t>F</t>
        </is>
      </c>
      <c r="F48" s="16" t="inlineStr">
        <is>
          <t>—</t>
        </is>
      </c>
      <c r="G48" s="16" t="inlineStr">
        <is>
          <t>—</t>
        </is>
      </c>
      <c r="H48" s="15" t="inlineStr">
        <is>
          <t>F</t>
        </is>
      </c>
      <c r="I48" s="17" t="inlineStr">
        <is>
          <t>FT-36, FT-37</t>
        </is>
      </c>
      <c r="J48" s="18" t="n"/>
    </row>
    <row r="49">
      <c r="A49" s="5" t="inlineStr">
        <is>
          <t>Personal library &amp; practice</t>
        </is>
      </c>
      <c r="B49" s="14" t="inlineStr">
        <is>
          <t>Track video progress and saved segments</t>
        </is>
      </c>
      <c r="C49" s="16" t="inlineStr">
        <is>
          <t>—</t>
        </is>
      </c>
      <c r="D49" s="22" t="inlineStr">
        <is>
          <t>O</t>
        </is>
      </c>
      <c r="E49" s="16" t="inlineStr">
        <is>
          <t>—</t>
        </is>
      </c>
      <c r="F49" s="16" t="inlineStr">
        <is>
          <t>—</t>
        </is>
      </c>
      <c r="G49" s="16" t="inlineStr">
        <is>
          <t>—</t>
        </is>
      </c>
      <c r="H49" s="16" t="inlineStr">
        <is>
          <t>—</t>
        </is>
      </c>
      <c r="I49" s="17" t="inlineStr">
        <is>
          <t>FT-38</t>
        </is>
      </c>
      <c r="J49" s="18" t="n"/>
    </row>
    <row r="50">
      <c r="A50" s="23" t="n"/>
      <c r="B50" s="20" t="inlineStr">
        <is>
          <t>Submit Speaking, shadowing and dictation attempts</t>
        </is>
      </c>
      <c r="C50" s="16" t="inlineStr">
        <is>
          <t>—</t>
        </is>
      </c>
      <c r="D50" s="22" t="inlineStr">
        <is>
          <t>O</t>
        </is>
      </c>
      <c r="E50" s="16" t="inlineStr">
        <is>
          <t>—</t>
        </is>
      </c>
      <c r="F50" s="16" t="inlineStr">
        <is>
          <t>—</t>
        </is>
      </c>
      <c r="G50" s="16" t="inlineStr">
        <is>
          <t>—</t>
        </is>
      </c>
      <c r="H50" s="16" t="inlineStr">
        <is>
          <t>—</t>
        </is>
      </c>
      <c r="I50" s="17" t="inlineStr">
        <is>
          <t>FT-39–FT-41</t>
        </is>
      </c>
      <c r="J50" s="18" t="inlineStr">
        <is>
          <t>Draft (attempt records: Specified).</t>
        </is>
      </c>
    </row>
    <row r="51">
      <c r="A51" s="23" t="n"/>
      <c r="B51" s="14" t="inlineStr">
        <is>
          <t>Manage notes</t>
        </is>
      </c>
      <c r="C51" s="16" t="inlineStr">
        <is>
          <t>—</t>
        </is>
      </c>
      <c r="D51" s="22" t="inlineStr">
        <is>
          <t>O</t>
        </is>
      </c>
      <c r="E51" s="16" t="inlineStr">
        <is>
          <t>—</t>
        </is>
      </c>
      <c r="F51" s="16" t="inlineStr">
        <is>
          <t>—</t>
        </is>
      </c>
      <c r="G51" s="16" t="inlineStr">
        <is>
          <t>—</t>
        </is>
      </c>
      <c r="H51" s="16" t="inlineStr">
        <is>
          <t>—</t>
        </is>
      </c>
      <c r="I51" s="17" t="inlineStr">
        <is>
          <t>FT-42</t>
        </is>
      </c>
      <c r="J51" s="18" t="n"/>
    </row>
    <row r="52" ht="26.4" customHeight="1" s="31">
      <c r="A52" s="23" t="n"/>
      <c r="B52" s="20" t="inlineStr">
        <is>
          <t>Manage flashcards and decks</t>
        </is>
      </c>
      <c r="C52" s="16" t="inlineStr">
        <is>
          <t>—</t>
        </is>
      </c>
      <c r="D52" s="22" t="inlineStr">
        <is>
          <t>O</t>
        </is>
      </c>
      <c r="E52" s="16" t="inlineStr">
        <is>
          <t>—</t>
        </is>
      </c>
      <c r="F52" s="16" t="inlineStr">
        <is>
          <t>—</t>
        </is>
      </c>
      <c r="G52" s="16" t="inlineStr">
        <is>
          <t>—</t>
        </is>
      </c>
      <c r="H52" s="16" t="inlineStr">
        <is>
          <t>—</t>
        </is>
      </c>
      <c r="I52" s="17" t="inlineStr">
        <is>
          <t>FT-43</t>
        </is>
      </c>
      <c r="J52" s="18" t="n"/>
    </row>
    <row r="53">
      <c r="A53" s="5" t="inlineStr">
        <is>
          <t>Activity &amp; streak</t>
        </is>
      </c>
      <c r="B53" s="14" t="inlineStr">
        <is>
          <t>Record, list and delete activities; read and save streak</t>
        </is>
      </c>
      <c r="C53" s="16" t="inlineStr">
        <is>
          <t>—</t>
        </is>
      </c>
      <c r="D53" s="22" t="inlineStr">
        <is>
          <t>O</t>
        </is>
      </c>
      <c r="E53" s="16" t="inlineStr">
        <is>
          <t>—</t>
        </is>
      </c>
      <c r="F53" s="16" t="inlineStr">
        <is>
          <t>—</t>
        </is>
      </c>
      <c r="G53" s="16" t="inlineStr">
        <is>
          <t>—</t>
        </is>
      </c>
      <c r="H53" s="16" t="inlineStr">
        <is>
          <t>—</t>
        </is>
      </c>
      <c r="I53" s="17" t="inlineStr">
        <is>
          <t>FT-44, FT-45</t>
        </is>
      </c>
      <c r="J53" s="18" t="inlineStr">
        <is>
          <t>Automatic recording and server-side streak: Draft.</t>
        </is>
      </c>
    </row>
    <row r="54">
      <c r="A54" s="5" t="inlineStr">
        <is>
          <t>Games</t>
        </is>
      </c>
      <c r="B54" s="14" t="inlineStr">
        <is>
          <t>Play single-player game sessions</t>
        </is>
      </c>
      <c r="C54" s="16" t="inlineStr">
        <is>
          <t>—</t>
        </is>
      </c>
      <c r="D54" s="22" t="inlineStr">
        <is>
          <t>O</t>
        </is>
      </c>
      <c r="E54" s="16" t="inlineStr">
        <is>
          <t>—</t>
        </is>
      </c>
      <c r="F54" s="16" t="inlineStr">
        <is>
          <t>—</t>
        </is>
      </c>
      <c r="G54" s="16" t="inlineStr">
        <is>
          <t>—</t>
        </is>
      </c>
      <c r="H54" s="16" t="inlineStr">
        <is>
          <t>—</t>
        </is>
      </c>
      <c r="I54" s="17" t="inlineStr">
        <is>
          <t>FT-46</t>
        </is>
      </c>
      <c r="J54" s="18" t="n"/>
    </row>
    <row r="55">
      <c r="A55" s="23" t="n"/>
      <c r="B55" s="20" t="inlineStr">
        <is>
          <t>Create, join, ready and leave multiplayer rooms</t>
        </is>
      </c>
      <c r="C55" s="16" t="inlineStr">
        <is>
          <t>—</t>
        </is>
      </c>
      <c r="D55" s="22" t="inlineStr">
        <is>
          <t>O</t>
        </is>
      </c>
      <c r="E55" s="16" t="inlineStr">
        <is>
          <t>—</t>
        </is>
      </c>
      <c r="F55" s="16" t="inlineStr">
        <is>
          <t>—</t>
        </is>
      </c>
      <c r="G55" s="16" t="inlineStr">
        <is>
          <t>—</t>
        </is>
      </c>
      <c r="H55" s="16" t="inlineStr">
        <is>
          <t>—</t>
        </is>
      </c>
      <c r="I55" s="17" t="inlineStr">
        <is>
          <t>FT-47</t>
        </is>
      </c>
      <c r="J55" s="18" t="inlineStr">
        <is>
          <t>Only the host starts and closes a room (BR-29).</t>
        </is>
      </c>
    </row>
    <row r="56">
      <c r="A56" s="23" t="n"/>
      <c r="B56" s="14" t="inlineStr">
        <is>
          <t>Join matchmaking queue</t>
        </is>
      </c>
      <c r="C56" s="16" t="inlineStr">
        <is>
          <t>—</t>
        </is>
      </c>
      <c r="D56" s="22" t="inlineStr">
        <is>
          <t>O</t>
        </is>
      </c>
      <c r="E56" s="16" t="inlineStr">
        <is>
          <t>—</t>
        </is>
      </c>
      <c r="F56" s="16" t="inlineStr">
        <is>
          <t>—</t>
        </is>
      </c>
      <c r="G56" s="16" t="inlineStr">
        <is>
          <t>—</t>
        </is>
      </c>
      <c r="H56" s="16" t="inlineStr">
        <is>
          <t>—</t>
        </is>
      </c>
      <c r="I56" s="17" t="inlineStr">
        <is>
          <t>FT-48</t>
        </is>
      </c>
      <c r="J56" s="18" t="inlineStr">
        <is>
          <t>Draft.</t>
        </is>
      </c>
    </row>
    <row r="57">
      <c r="A57" s="5" t="inlineStr">
        <is>
          <t>Community</t>
        </is>
      </c>
      <c r="B57" s="14" t="inlineStr">
        <is>
          <t>Read feed, posts and comments</t>
        </is>
      </c>
      <c r="C57" s="16" t="inlineStr">
        <is>
          <t>—</t>
        </is>
      </c>
      <c r="D57" s="25" t="inlineStr">
        <is>
          <t>R</t>
        </is>
      </c>
      <c r="E57" s="25" t="inlineStr">
        <is>
          <t>R</t>
        </is>
      </c>
      <c r="F57" s="25" t="inlineStr">
        <is>
          <t>R</t>
        </is>
      </c>
      <c r="G57" s="25" t="inlineStr">
        <is>
          <t>R</t>
        </is>
      </c>
      <c r="H57" s="25" t="inlineStr">
        <is>
          <t>R</t>
        </is>
      </c>
      <c r="I57" s="17" t="inlineStr">
        <is>
          <t>FT-49</t>
        </is>
      </c>
      <c r="J57" s="18" t="inlineStr">
        <is>
          <t>Any signed-in user; HIDDEN content excluded.</t>
        </is>
      </c>
    </row>
    <row r="58">
      <c r="A58" s="23" t="n"/>
      <c r="B58" s="20" t="inlineStr">
        <is>
          <t>Create, edit and delete posts and comments; react</t>
        </is>
      </c>
      <c r="C58" s="16" t="inlineStr">
        <is>
          <t>—</t>
        </is>
      </c>
      <c r="D58" s="22" t="inlineStr">
        <is>
          <t>O</t>
        </is>
      </c>
      <c r="E58" s="22" t="inlineStr">
        <is>
          <t>O</t>
        </is>
      </c>
      <c r="F58" s="22" t="inlineStr">
        <is>
          <t>O</t>
        </is>
      </c>
      <c r="G58" s="22" t="inlineStr">
        <is>
          <t>O</t>
        </is>
      </c>
      <c r="H58" s="22" t="inlineStr">
        <is>
          <t>O</t>
        </is>
      </c>
      <c r="I58" s="17" t="inlineStr">
        <is>
          <t>FT-49</t>
        </is>
      </c>
      <c r="J58" s="18" t="inlineStr">
        <is>
          <t>Edit and delete own content only (BR-28).</t>
        </is>
      </c>
    </row>
    <row r="59">
      <c r="A59" s="23" t="n"/>
      <c r="B59" s="14" t="inlineStr">
        <is>
          <t>Hide and restore posts and comments</t>
        </is>
      </c>
      <c r="C59" s="16" t="inlineStr">
        <is>
          <t>—</t>
        </is>
      </c>
      <c r="D59" s="16" t="inlineStr">
        <is>
          <t>—</t>
        </is>
      </c>
      <c r="E59" s="16" t="inlineStr">
        <is>
          <t>—</t>
        </is>
      </c>
      <c r="F59" s="16" t="inlineStr">
        <is>
          <t>—</t>
        </is>
      </c>
      <c r="G59" s="16" t="inlineStr">
        <is>
          <t>—</t>
        </is>
      </c>
      <c r="H59" s="15" t="inlineStr">
        <is>
          <t>F</t>
        </is>
      </c>
      <c r="I59" s="17" t="inlineStr">
        <is>
          <t>FT-50</t>
        </is>
      </c>
      <c r="J59" s="18" t="n"/>
    </row>
    <row r="60" ht="26.4" customHeight="1" s="31">
      <c r="A60" s="5" t="inlineStr">
        <is>
          <t>Notifications</t>
        </is>
      </c>
      <c r="B60" s="14" t="inlineStr">
        <is>
          <t>Manage notification preferences and devices</t>
        </is>
      </c>
      <c r="C60" s="16" t="inlineStr">
        <is>
          <t>—</t>
        </is>
      </c>
      <c r="D60" s="22" t="inlineStr">
        <is>
          <t>O</t>
        </is>
      </c>
      <c r="E60" s="16" t="inlineStr">
        <is>
          <t>—</t>
        </is>
      </c>
      <c r="F60" s="16" t="inlineStr">
        <is>
          <t>—</t>
        </is>
      </c>
      <c r="G60" s="16" t="inlineStr">
        <is>
          <t>—</t>
        </is>
      </c>
      <c r="H60" s="16" t="inlineStr">
        <is>
          <t>—</t>
        </is>
      </c>
      <c r="I60" s="17" t="inlineStr">
        <is>
          <t>FT-51</t>
        </is>
      </c>
      <c r="J60" s="18" t="inlineStr">
        <is>
          <t>Draft.</t>
        </is>
      </c>
    </row>
    <row r="61">
      <c r="A61" s="23" t="n"/>
      <c r="B61" s="20" t="inlineStr">
        <is>
          <t>Receive alerts and reminders; read and mark in-app notifications</t>
        </is>
      </c>
      <c r="C61" s="16" t="inlineStr">
        <is>
          <t>—</t>
        </is>
      </c>
      <c r="D61" s="22" t="inlineStr">
        <is>
          <t>O</t>
        </is>
      </c>
      <c r="E61" s="16" t="inlineStr">
        <is>
          <t>—</t>
        </is>
      </c>
      <c r="F61" s="16" t="inlineStr">
        <is>
          <t>—</t>
        </is>
      </c>
      <c r="G61" s="16" t="inlineStr">
        <is>
          <t>—</t>
        </is>
      </c>
      <c r="H61" s="16" t="inlineStr">
        <is>
          <t>—</t>
        </is>
      </c>
      <c r="I61" s="17" t="inlineStr">
        <is>
          <t>FT-52–FT-54</t>
        </is>
      </c>
      <c r="J61" s="18" t="inlineStr">
        <is>
          <t>Draft.</t>
        </is>
      </c>
    </row>
  </sheetData>
  <conditionalFormatting sqref="C4:H61">
    <cfRule type="cellIs" priority="1" operator="equal" dxfId="4">
      <formula>"F"</formula>
    </cfRule>
    <cfRule type="cellIs" priority="2" operator="equal" dxfId="3">
      <formula>"E"</formula>
    </cfRule>
    <cfRule type="cellIs" priority="3" operator="equal" dxfId="2">
      <formula>"R"</formula>
    </cfRule>
    <cfRule type="cellIs" priority="4" operator="equal" dxfId="1">
      <formula>"O"</formula>
    </cfRule>
    <cfRule type="cellIs" priority="5" operator="equal" dxfId="0">
      <formula>"—"</formula>
    </cfRule>
  </conditionalFormatting>
  <dataValidations count="1">
    <dataValidation sqref="C4:H61" showDropDown="0" showInputMessage="0" showErrorMessage="0" allowBlank="1" type="list">
      <formula1>"F,E,R,O,—"</formula1>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1E5C1F"/>
    <outlinePr summaryBelow="1" summaryRight="1"/>
    <pageSetUpPr/>
  </sheetPr>
  <dimension ref="A1:K757"/>
  <sheetViews>
    <sheetView showGridLines="0" zoomScaleNormal="100" workbookViewId="0">
      <pane xSplit="2" ySplit="3" topLeftCell="C53" activePane="bottomRight" state="frozen"/>
      <selection pane="topRight" activeCell="A1" sqref="A1"/>
      <selection pane="bottomLeft" activeCell="A4" sqref="A4"/>
      <selection pane="bottomRight" activeCell="H12" sqref="H12"/>
    </sheetView>
  </sheetViews>
  <sheetFormatPr baseColWidth="8" defaultColWidth="8.6640625" defaultRowHeight="14.4"/>
  <cols>
    <col width="30" customWidth="1" style="31" min="1" max="1"/>
    <col width="20.6640625" customWidth="1" style="31" min="2" max="2"/>
    <col width="22" customWidth="1" style="31" min="3" max="3"/>
    <col width="30" customWidth="1" style="31" min="4" max="4"/>
    <col width="9" customWidth="1" style="31" min="5" max="5"/>
    <col width="22" customWidth="1" style="31" min="6" max="6"/>
    <col width="60.6640625" customWidth="1" style="31" min="7" max="7"/>
    <col width="48" customWidth="1" style="31" min="8" max="8"/>
    <col width="18" customWidth="1" style="31" min="9" max="10"/>
    <col width="50" customWidth="1" style="31" min="11" max="11"/>
  </cols>
  <sheetData>
    <row r="1" ht="27.75" customHeight="1" s="31">
      <c r="A1" s="7" t="inlineStr">
        <is>
          <t>Data Dictionary</t>
        </is>
      </c>
    </row>
    <row r="2" ht="15.75" customHeight="1" s="31">
      <c r="A2" s="8" t="inlineStr">
        <is>
          <t>Source: Report 3.0_SRS_IELTSPath_IeltsPath_v1.docx Part 4.1 (entities and relationships) and the Flyway migrations of each service, applied in version order (data type, default, CHECK, unique, foreign key). Ref = stored id without SQL foreign key. Retention follows SRS Part 4.3. Owner = owning service. Association tables (user_roles, section_questions, ...) are not core entities. Notification entities are Draft: notification-service has no database yet, and their attributes follow SRS FT-51 to FT-54.</t>
        </is>
      </c>
    </row>
    <row r="3" ht="31.5" customHeight="1" s="31">
      <c r="A3" s="3" t="inlineStr">
        <is>
          <t>Entity</t>
        </is>
      </c>
      <c r="B3" s="3" t="inlineStr">
        <is>
          <t>Attribute</t>
        </is>
      </c>
      <c r="C3" s="3" t="inlineStr">
        <is>
          <t>Data Type</t>
        </is>
      </c>
      <c r="D3" s="3" t="inlineStr">
        <is>
          <t>PK/FK</t>
        </is>
      </c>
      <c r="E3" s="3" t="inlineStr">
        <is>
          <t>Nullable</t>
        </is>
      </c>
      <c r="F3" s="3" t="inlineStr">
        <is>
          <t>Unique</t>
        </is>
      </c>
      <c r="G3" s="3" t="inlineStr">
        <is>
          <t>Default</t>
        </is>
      </c>
      <c r="H3" s="3" t="inlineStr">
        <is>
          <t>Validation / Constraint</t>
        </is>
      </c>
      <c r="I3" s="3" t="inlineStr">
        <is>
          <t>Retention</t>
        </is>
      </c>
      <c r="J3" s="3" t="inlineStr">
        <is>
          <t>Owner</t>
        </is>
      </c>
      <c r="K3" s="3" t="inlineStr">
        <is>
          <t>Notes</t>
        </is>
      </c>
    </row>
    <row r="4" ht="25.5" customHeight="1" s="31">
      <c r="A4" s="11" t="inlineStr">
        <is>
          <t>User (users)</t>
        </is>
      </c>
      <c r="B4" s="10" t="inlineStr">
        <is>
          <t>id</t>
        </is>
      </c>
      <c r="C4" s="11" t="inlineStr">
        <is>
          <t>UUID</t>
        </is>
      </c>
      <c r="D4" s="11" t="inlineStr">
        <is>
          <t>PK</t>
        </is>
      </c>
      <c r="E4" s="11" t="inlineStr">
        <is>
          <t>No</t>
        </is>
      </c>
      <c r="F4" s="11" t="inlineStr">
        <is>
          <t>Yes</t>
        </is>
      </c>
      <c r="G4" s="11" t="inlineStr">
        <is>
          <t>gen_random_uuid()</t>
        </is>
      </c>
      <c r="H4" s="11" t="inlineStr">
        <is>
          <t>—</t>
        </is>
      </c>
      <c r="I4" s="11" t="inlineStr">
        <is>
          <t>While the account exists; deleted 30 days after the account is closed (SRS 4.3).</t>
        </is>
      </c>
      <c r="J4" s="11" t="inlineStr">
        <is>
          <t>user-service</t>
        </is>
      </c>
      <c r="K4" s="11" t="inlineStr">
        <is>
          <t>Represents an account that owns learning records or performs staff actions. Table users; owner user-service; created in V1__create_user_tables.sql.</t>
        </is>
      </c>
    </row>
    <row r="5" ht="42" customHeight="1" s="31">
      <c r="A5" s="11" t="inlineStr">
        <is>
          <t>User (users)</t>
        </is>
      </c>
      <c r="B5" s="11" t="inlineStr">
        <is>
          <t>email</t>
        </is>
      </c>
      <c r="C5" s="11" t="inlineStr">
        <is>
          <t>VARCHAR(255)</t>
        </is>
      </c>
      <c r="D5" s="11" t="inlineStr">
        <is>
          <t>—</t>
        </is>
      </c>
      <c r="E5" s="11" t="inlineStr">
        <is>
          <t>No</t>
        </is>
      </c>
      <c r="F5" s="11" t="inlineStr">
        <is>
          <t>Yes</t>
        </is>
      </c>
      <c r="G5" s="11" t="inlineStr">
        <is>
          <t>—</t>
        </is>
      </c>
      <c r="H5" s="11" t="inlineStr">
        <is>
          <t>—</t>
        </is>
      </c>
      <c r="I5" s="11" t="inlineStr">
        <is>
          <t>While the account exists; deleted 30 days after the account is closed (SRS 4.3).</t>
        </is>
      </c>
      <c r="J5" s="11" t="inlineStr">
        <is>
          <t>user-service</t>
        </is>
      </c>
      <c r="K5" s="11" t="n"/>
    </row>
    <row r="6" ht="42" customHeight="1" s="31">
      <c r="A6" s="11" t="inlineStr">
        <is>
          <t>User (users)</t>
        </is>
      </c>
      <c r="B6" s="11" t="inlineStr">
        <is>
          <t>full_name</t>
        </is>
      </c>
      <c r="C6" s="11" t="inlineStr">
        <is>
          <t>VARCHAR(150)</t>
        </is>
      </c>
      <c r="D6" s="11" t="inlineStr">
        <is>
          <t>—</t>
        </is>
      </c>
      <c r="E6" s="11" t="inlineStr">
        <is>
          <t>No</t>
        </is>
      </c>
      <c r="F6" s="11" t="inlineStr">
        <is>
          <t>No</t>
        </is>
      </c>
      <c r="G6" s="11" t="inlineStr">
        <is>
          <t>—</t>
        </is>
      </c>
      <c r="H6" s="11" t="inlineStr">
        <is>
          <t>—</t>
        </is>
      </c>
      <c r="I6" s="11" t="inlineStr">
        <is>
          <t>While the account exists; deleted 30 days after the account is closed (SRS 4.3).</t>
        </is>
      </c>
      <c r="J6" s="11" t="inlineStr">
        <is>
          <t>user-service</t>
        </is>
      </c>
      <c r="K6" s="11" t="n"/>
    </row>
    <row r="7" ht="42" customHeight="1" s="31">
      <c r="A7" s="11" t="inlineStr">
        <is>
          <t>User (users)</t>
        </is>
      </c>
      <c r="B7" s="11" t="inlineStr">
        <is>
          <t>phone_number</t>
        </is>
      </c>
      <c r="C7" s="11" t="inlineStr">
        <is>
          <t>VARCHAR(30)</t>
        </is>
      </c>
      <c r="D7" s="11" t="inlineStr">
        <is>
          <t>—</t>
        </is>
      </c>
      <c r="E7" s="11" t="inlineStr">
        <is>
          <t>Yes</t>
        </is>
      </c>
      <c r="F7" s="11" t="inlineStr">
        <is>
          <t>Yes</t>
        </is>
      </c>
      <c r="G7" s="11" t="inlineStr">
        <is>
          <t>NULL</t>
        </is>
      </c>
      <c r="H7" s="11" t="inlineStr">
        <is>
          <t>—</t>
        </is>
      </c>
      <c r="I7" s="11" t="inlineStr">
        <is>
          <t>While the account exists; deleted 30 days after the account is closed (SRS 4.3).</t>
        </is>
      </c>
      <c r="J7" s="11" t="inlineStr">
        <is>
          <t>user-service</t>
        </is>
      </c>
      <c r="K7" s="11" t="n"/>
    </row>
    <row r="8" ht="42" customHeight="1" s="31">
      <c r="A8" s="11" t="inlineStr">
        <is>
          <t>User (users)</t>
        </is>
      </c>
      <c r="B8" s="11" t="inlineStr">
        <is>
          <t>password_hash</t>
        </is>
      </c>
      <c r="C8" s="11" t="inlineStr">
        <is>
          <t>VARCHAR(255)</t>
        </is>
      </c>
      <c r="D8" s="11" t="inlineStr">
        <is>
          <t>—</t>
        </is>
      </c>
      <c r="E8" s="11" t="inlineStr">
        <is>
          <t>No</t>
        </is>
      </c>
      <c r="F8" s="11" t="inlineStr">
        <is>
          <t>No</t>
        </is>
      </c>
      <c r="G8" s="11" t="inlineStr">
        <is>
          <t>—</t>
        </is>
      </c>
      <c r="H8" s="11" t="inlineStr">
        <is>
          <t>—</t>
        </is>
      </c>
      <c r="I8" s="11" t="inlineStr">
        <is>
          <t>While the account exists; deleted 30 days after the account is closed (SRS 4.3).</t>
        </is>
      </c>
      <c r="J8" s="11" t="inlineStr">
        <is>
          <t>user-service</t>
        </is>
      </c>
      <c r="K8" s="11" t="n"/>
    </row>
    <row r="9" ht="42" customHeight="1" s="31">
      <c r="A9" s="11" t="inlineStr">
        <is>
          <t>User (users)</t>
        </is>
      </c>
      <c r="B9" s="11" t="inlineStr">
        <is>
          <t>status</t>
        </is>
      </c>
      <c r="C9" s="11" t="inlineStr">
        <is>
          <t>VARCHAR(30)</t>
        </is>
      </c>
      <c r="D9" s="11" t="inlineStr">
        <is>
          <t>—</t>
        </is>
      </c>
      <c r="E9" s="11" t="inlineStr">
        <is>
          <t>No</t>
        </is>
      </c>
      <c r="F9" s="11" t="inlineStr">
        <is>
          <t>No</t>
        </is>
      </c>
      <c r="G9" s="11" t="inlineStr">
        <is>
          <t>—</t>
        </is>
      </c>
      <c r="H9" s="11" t="inlineStr">
        <is>
          <t>CHECK (status IN ('ACTIVE', 'INACTIVE', 'LOCKED', 'PENDING_VERIFY'))</t>
        </is>
      </c>
      <c r="I9" s="11" t="inlineStr">
        <is>
          <t>While the account exists; deleted 30 days after the account is closed (SRS 4.3).</t>
        </is>
      </c>
      <c r="J9" s="11" t="inlineStr">
        <is>
          <t>user-service</t>
        </is>
      </c>
      <c r="K9" s="11" t="n"/>
    </row>
    <row r="10" ht="42" customHeight="1" s="31">
      <c r="A10" s="11" t="inlineStr">
        <is>
          <t>User (users)</t>
        </is>
      </c>
      <c r="B10" s="11" t="inlineStr">
        <is>
          <t>created_at</t>
        </is>
      </c>
      <c r="C10" s="11" t="inlineStr">
        <is>
          <t>TIMESTAMP</t>
        </is>
      </c>
      <c r="D10" s="11" t="inlineStr">
        <is>
          <t>—</t>
        </is>
      </c>
      <c r="E10" s="11" t="inlineStr">
        <is>
          <t>No</t>
        </is>
      </c>
      <c r="F10" s="11" t="inlineStr">
        <is>
          <t>No</t>
        </is>
      </c>
      <c r="G10" s="11" t="inlineStr">
        <is>
          <t>CURRENT_TIMESTAMP</t>
        </is>
      </c>
      <c r="H10" s="11" t="inlineStr">
        <is>
          <t>—</t>
        </is>
      </c>
      <c r="I10" s="11" t="inlineStr">
        <is>
          <t>While the account exists; deleted 30 days after the account is closed (SRS 4.3).</t>
        </is>
      </c>
      <c r="J10" s="11" t="inlineStr">
        <is>
          <t>user-service</t>
        </is>
      </c>
      <c r="K10" s="11" t="n"/>
    </row>
    <row r="11" ht="42" customHeight="1" s="31">
      <c r="A11" s="11" t="inlineStr">
        <is>
          <t>User (users)</t>
        </is>
      </c>
      <c r="B11" s="11" t="inlineStr">
        <is>
          <t>updated_at</t>
        </is>
      </c>
      <c r="C11" s="11" t="inlineStr">
        <is>
          <t>TIMESTAMP</t>
        </is>
      </c>
      <c r="D11" s="11" t="inlineStr">
        <is>
          <t>—</t>
        </is>
      </c>
      <c r="E11" s="11" t="inlineStr">
        <is>
          <t>No</t>
        </is>
      </c>
      <c r="F11" s="11" t="inlineStr">
        <is>
          <t>No</t>
        </is>
      </c>
      <c r="G11" s="11" t="inlineStr">
        <is>
          <t>CURRENT_TIMESTAMP</t>
        </is>
      </c>
      <c r="H11" s="11" t="inlineStr">
        <is>
          <t>—</t>
        </is>
      </c>
      <c r="I11" s="11" t="inlineStr">
        <is>
          <t>While the account exists; deleted 30 days after the account is closed (SRS 4.3).</t>
        </is>
      </c>
      <c r="J11" s="11" t="inlineStr">
        <is>
          <t>user-service</t>
        </is>
      </c>
      <c r="K11" s="11" t="n"/>
    </row>
    <row r="12" ht="42" customHeight="1" s="31">
      <c r="A12" s="13" t="inlineStr">
        <is>
          <t>Role (roles)</t>
        </is>
      </c>
      <c r="B12" s="12" t="inlineStr">
        <is>
          <t>id</t>
        </is>
      </c>
      <c r="C12" s="13" t="inlineStr">
        <is>
          <t>UUID</t>
        </is>
      </c>
      <c r="D12" s="13" t="inlineStr">
        <is>
          <t>PK</t>
        </is>
      </c>
      <c r="E12" s="13" t="inlineStr">
        <is>
          <t>No</t>
        </is>
      </c>
      <c r="F12" s="13" t="inlineStr">
        <is>
          <t>Yes</t>
        </is>
      </c>
      <c r="G12" s="13" t="inlineStr">
        <is>
          <t>gen_random_uuid()</t>
        </is>
      </c>
      <c r="H12" s="13" t="inlineStr">
        <is>
          <t>—</t>
        </is>
      </c>
      <c r="I12" s="13" t="inlineStr">
        <is>
          <t>For the life of the system; archived, not deleted (SRS 4.3).</t>
        </is>
      </c>
      <c r="J12" s="13" t="inlineStr">
        <is>
          <t>user-service</t>
        </is>
      </c>
      <c r="K12" s="13" t="inlineStr">
        <is>
          <t>Defines a system access role assigned to users. Table roles; owner user-service; created in V1__create_user_tables.sql.</t>
        </is>
      </c>
    </row>
    <row r="13" ht="42" customHeight="1" s="31">
      <c r="A13" s="13" t="inlineStr">
        <is>
          <t>Role (roles)</t>
        </is>
      </c>
      <c r="B13" s="13" t="inlineStr">
        <is>
          <t>name</t>
        </is>
      </c>
      <c r="C13" s="13" t="inlineStr">
        <is>
          <t>VARCHAR(50)</t>
        </is>
      </c>
      <c r="D13" s="13" t="inlineStr">
        <is>
          <t>—</t>
        </is>
      </c>
      <c r="E13" s="13" t="inlineStr">
        <is>
          <t>No</t>
        </is>
      </c>
      <c r="F13" s="13" t="inlineStr">
        <is>
          <t>Yes</t>
        </is>
      </c>
      <c r="G13" s="13" t="inlineStr">
        <is>
          <t>—</t>
        </is>
      </c>
      <c r="H13" s="13" t="inlineStr">
        <is>
          <t>CHECK (name IN ('ADMIN', 'CUSTOMER', 'CONTENT_AUTHOR', 'EXAMINER', 'SALES_STAFF'))</t>
        </is>
      </c>
      <c r="I13" s="13" t="inlineStr">
        <is>
          <t>For the life of the system; archived, not deleted (SRS 4.3).</t>
        </is>
      </c>
      <c r="J13" s="13" t="inlineStr">
        <is>
          <t>user-service</t>
        </is>
      </c>
      <c r="K13" s="13" t="n"/>
    </row>
    <row r="14" ht="42" customHeight="1" s="31">
      <c r="A14" s="13" t="inlineStr">
        <is>
          <t>Role (roles)</t>
        </is>
      </c>
      <c r="B14" s="13" t="inlineStr">
        <is>
          <t>description</t>
        </is>
      </c>
      <c r="C14" s="13" t="inlineStr">
        <is>
          <t>VARCHAR(255)</t>
        </is>
      </c>
      <c r="D14" s="13" t="inlineStr">
        <is>
          <t>—</t>
        </is>
      </c>
      <c r="E14" s="13" t="inlineStr">
        <is>
          <t>Yes</t>
        </is>
      </c>
      <c r="F14" s="13" t="inlineStr">
        <is>
          <t>No</t>
        </is>
      </c>
      <c r="G14" s="13" t="inlineStr">
        <is>
          <t>NULL</t>
        </is>
      </c>
      <c r="H14" s="13" t="inlineStr">
        <is>
          <t>—</t>
        </is>
      </c>
      <c r="I14" s="13" t="inlineStr">
        <is>
          <t>For the life of the system; archived, not deleted (SRS 4.3).</t>
        </is>
      </c>
      <c r="J14" s="13" t="inlineStr">
        <is>
          <t>user-service</t>
        </is>
      </c>
      <c r="K14" s="13" t="n"/>
    </row>
    <row r="15" ht="42" customHeight="1" s="31">
      <c r="A15" s="13" t="inlineStr">
        <is>
          <t>Role (roles)</t>
        </is>
      </c>
      <c r="B15" s="13" t="inlineStr">
        <is>
          <t>created_at</t>
        </is>
      </c>
      <c r="C15" s="13" t="inlineStr">
        <is>
          <t>TIMESTAMP</t>
        </is>
      </c>
      <c r="D15" s="13" t="inlineStr">
        <is>
          <t>—</t>
        </is>
      </c>
      <c r="E15" s="13" t="inlineStr">
        <is>
          <t>No</t>
        </is>
      </c>
      <c r="F15" s="13" t="inlineStr">
        <is>
          <t>No</t>
        </is>
      </c>
      <c r="G15" s="13" t="inlineStr">
        <is>
          <t>CURRENT_TIMESTAMP</t>
        </is>
      </c>
      <c r="H15" s="13" t="inlineStr">
        <is>
          <t>—</t>
        </is>
      </c>
      <c r="I15" s="13" t="inlineStr">
        <is>
          <t>For the life of the system; archived, not deleted (SRS 4.3).</t>
        </is>
      </c>
      <c r="J15" s="13" t="inlineStr">
        <is>
          <t>user-service</t>
        </is>
      </c>
      <c r="K15" s="13" t="n"/>
    </row>
    <row r="16" ht="42" customHeight="1" s="31">
      <c r="A16" s="13" t="inlineStr">
        <is>
          <t>Role (roles)</t>
        </is>
      </c>
      <c r="B16" s="13" t="inlineStr">
        <is>
          <t>updated_at</t>
        </is>
      </c>
      <c r="C16" s="13" t="inlineStr">
        <is>
          <t>TIMESTAMP</t>
        </is>
      </c>
      <c r="D16" s="13" t="inlineStr">
        <is>
          <t>—</t>
        </is>
      </c>
      <c r="E16" s="13" t="inlineStr">
        <is>
          <t>No</t>
        </is>
      </c>
      <c r="F16" s="13" t="inlineStr">
        <is>
          <t>No</t>
        </is>
      </c>
      <c r="G16" s="13" t="inlineStr">
        <is>
          <t>CURRENT_TIMESTAMP</t>
        </is>
      </c>
      <c r="H16" s="13" t="inlineStr">
        <is>
          <t>—</t>
        </is>
      </c>
      <c r="I16" s="13" t="inlineStr">
        <is>
          <t>For the life of the system; archived, not deleted (SRS 4.3).</t>
        </is>
      </c>
      <c r="J16" s="13" t="inlineStr">
        <is>
          <t>user-service</t>
        </is>
      </c>
      <c r="K16" s="13" t="n"/>
    </row>
    <row r="17" ht="42" customHeight="1" s="31">
      <c r="A17" s="11" t="inlineStr">
        <is>
          <t>Refresh Token (refresh_tokens)</t>
        </is>
      </c>
      <c r="B17" s="11" t="inlineStr">
        <is>
          <t>id</t>
        </is>
      </c>
      <c r="C17" s="11" t="inlineStr">
        <is>
          <t>UUID</t>
        </is>
      </c>
      <c r="D17" s="11" t="inlineStr">
        <is>
          <t>PK</t>
        </is>
      </c>
      <c r="E17" s="11" t="inlineStr">
        <is>
          <t>No</t>
        </is>
      </c>
      <c r="F17" s="11" t="inlineStr">
        <is>
          <t>Yes</t>
        </is>
      </c>
      <c r="G17" s="11" t="inlineStr">
        <is>
          <t>gen_random_uuid()</t>
        </is>
      </c>
      <c r="H17" s="11" t="inlineStr">
        <is>
          <t>—</t>
        </is>
      </c>
      <c r="I17" s="11" t="inlineStr">
        <is>
          <t>Until used, revoked or expired; deleted 30 days after that (SRS 4.3).</t>
        </is>
      </c>
      <c r="J17" s="11" t="inlineStr">
        <is>
          <t>user-service</t>
        </is>
      </c>
      <c r="K17" s="11" t="inlineStr">
        <is>
          <t>A hashed, single-use token that keeps one sign-in session alive. Table refresh_tokens; owner user-service; created in V1__create_user_tables.sql.</t>
        </is>
      </c>
    </row>
    <row r="18" ht="42" customHeight="1" s="31">
      <c r="A18" s="11" t="inlineStr">
        <is>
          <t>Refresh Token (refresh_tokens)</t>
        </is>
      </c>
      <c r="B18" s="11" t="inlineStr">
        <is>
          <t>user_id</t>
        </is>
      </c>
      <c r="C18" s="11" t="inlineStr">
        <is>
          <t>UUID</t>
        </is>
      </c>
      <c r="D18" s="11" t="inlineStr">
        <is>
          <t>FK→User.id</t>
        </is>
      </c>
      <c r="E18" s="11" t="inlineStr">
        <is>
          <t>No</t>
        </is>
      </c>
      <c r="F18" s="11" t="inlineStr">
        <is>
          <t>No</t>
        </is>
      </c>
      <c r="G18" s="11" t="inlineStr">
        <is>
          <t>—</t>
        </is>
      </c>
      <c r="H18" s="11" t="inlineStr">
        <is>
          <t>ON DELETE CASCADE</t>
        </is>
      </c>
      <c r="I18" s="11" t="inlineStr">
        <is>
          <t>Until used, revoked or expired; deleted 30 days after that (SRS 4.3).</t>
        </is>
      </c>
      <c r="J18" s="11" t="inlineStr">
        <is>
          <t>user-service</t>
        </is>
      </c>
      <c r="K18" s="11" t="n"/>
    </row>
    <row r="19" ht="42" customHeight="1" s="31">
      <c r="A19" s="11" t="inlineStr">
        <is>
          <t>Refresh Token (refresh_tokens)</t>
        </is>
      </c>
      <c r="B19" s="11" t="inlineStr">
        <is>
          <t>token_hash</t>
        </is>
      </c>
      <c r="C19" s="11" t="inlineStr">
        <is>
          <t>VARCHAR(128)</t>
        </is>
      </c>
      <c r="D19" s="11" t="inlineStr">
        <is>
          <t>—</t>
        </is>
      </c>
      <c r="E19" s="11" t="inlineStr">
        <is>
          <t>No</t>
        </is>
      </c>
      <c r="F19" s="11" t="inlineStr">
        <is>
          <t>Yes</t>
        </is>
      </c>
      <c r="G19" s="11" t="inlineStr">
        <is>
          <t>—</t>
        </is>
      </c>
      <c r="H19" s="11" t="inlineStr">
        <is>
          <t>—</t>
        </is>
      </c>
      <c r="I19" s="11" t="inlineStr">
        <is>
          <t>Until used, revoked or expired; deleted 30 days after that (SRS 4.3).</t>
        </is>
      </c>
      <c r="J19" s="11" t="inlineStr">
        <is>
          <t>user-service</t>
        </is>
      </c>
      <c r="K19" s="11" t="inlineStr">
        <is>
          <t>SHA-256 hash; the raw token is never stored.</t>
        </is>
      </c>
    </row>
    <row r="20" ht="42" customHeight="1" s="31">
      <c r="A20" s="11" t="inlineStr">
        <is>
          <t>Refresh Token (refresh_tokens)</t>
        </is>
      </c>
      <c r="B20" s="11" t="inlineStr">
        <is>
          <t>expires_at</t>
        </is>
      </c>
      <c r="C20" s="11" t="inlineStr">
        <is>
          <t>TIMESTAMP</t>
        </is>
      </c>
      <c r="D20" s="11" t="inlineStr">
        <is>
          <t>—</t>
        </is>
      </c>
      <c r="E20" s="11" t="inlineStr">
        <is>
          <t>No</t>
        </is>
      </c>
      <c r="F20" s="11" t="inlineStr">
        <is>
          <t>No</t>
        </is>
      </c>
      <c r="G20" s="11" t="inlineStr">
        <is>
          <t>—</t>
        </is>
      </c>
      <c r="H20" s="11" t="inlineStr">
        <is>
          <t>—</t>
        </is>
      </c>
      <c r="I20" s="11" t="inlineStr">
        <is>
          <t>Until used, revoked or expired; deleted 30 days after that (SRS 4.3).</t>
        </is>
      </c>
      <c r="J20" s="11" t="inlineStr">
        <is>
          <t>user-service</t>
        </is>
      </c>
      <c r="K20" s="11" t="inlineStr">
        <is>
          <t>7 days after issue (BR-04).</t>
        </is>
      </c>
    </row>
    <row r="21" ht="42" customHeight="1" s="31">
      <c r="A21" s="11" t="inlineStr">
        <is>
          <t>Refresh Token (refresh_tokens)</t>
        </is>
      </c>
      <c r="B21" s="11" t="inlineStr">
        <is>
          <t>revoked_at</t>
        </is>
      </c>
      <c r="C21" s="11" t="inlineStr">
        <is>
          <t>TIMESTAMP</t>
        </is>
      </c>
      <c r="D21" s="11" t="inlineStr">
        <is>
          <t>—</t>
        </is>
      </c>
      <c r="E21" s="11" t="inlineStr">
        <is>
          <t>Yes</t>
        </is>
      </c>
      <c r="F21" s="11" t="inlineStr">
        <is>
          <t>No</t>
        </is>
      </c>
      <c r="G21" s="11" t="inlineStr">
        <is>
          <t>NULL</t>
        </is>
      </c>
      <c r="H21" s="11" t="inlineStr">
        <is>
          <t>—</t>
        </is>
      </c>
      <c r="I21" s="11" t="inlineStr">
        <is>
          <t>Until used, revoked or expired; deleted 30 days after that (SRS 4.3).</t>
        </is>
      </c>
      <c r="J21" s="11" t="inlineStr">
        <is>
          <t>user-service</t>
        </is>
      </c>
      <c r="K21" s="11" t="inlineStr">
        <is>
          <t>Set on use or sign-out.</t>
        </is>
      </c>
    </row>
    <row r="22" ht="42" customHeight="1" s="31">
      <c r="A22" s="11" t="inlineStr">
        <is>
          <t>Refresh Token (refresh_tokens)</t>
        </is>
      </c>
      <c r="B22" s="11" t="inlineStr">
        <is>
          <t>created_at</t>
        </is>
      </c>
      <c r="C22" s="11" t="inlineStr">
        <is>
          <t>TIMESTAMP</t>
        </is>
      </c>
      <c r="D22" s="11" t="inlineStr">
        <is>
          <t>—</t>
        </is>
      </c>
      <c r="E22" s="11" t="inlineStr">
        <is>
          <t>No</t>
        </is>
      </c>
      <c r="F22" s="11" t="inlineStr">
        <is>
          <t>No</t>
        </is>
      </c>
      <c r="G22" s="11" t="inlineStr">
        <is>
          <t>CURRENT_TIMESTAMP</t>
        </is>
      </c>
      <c r="H22" s="11" t="inlineStr">
        <is>
          <t>—</t>
        </is>
      </c>
      <c r="I22" s="11" t="inlineStr">
        <is>
          <t>Until used, revoked or expired; deleted 30 days after that (SRS 4.3).</t>
        </is>
      </c>
      <c r="J22" s="11" t="inlineStr">
        <is>
          <t>user-service</t>
        </is>
      </c>
      <c r="K22" s="11" t="n"/>
    </row>
    <row r="23" ht="42" customHeight="1" s="31">
      <c r="A23" s="11" t="inlineStr">
        <is>
          <t>Account Action Token (account_action_tokens)</t>
        </is>
      </c>
      <c r="B23" s="11" t="inlineStr">
        <is>
          <t>id</t>
        </is>
      </c>
      <c r="C23" s="11" t="inlineStr">
        <is>
          <t>UUID</t>
        </is>
      </c>
      <c r="D23" s="11" t="inlineStr">
        <is>
          <t>PK</t>
        </is>
      </c>
      <c r="E23" s="11" t="inlineStr">
        <is>
          <t>No</t>
        </is>
      </c>
      <c r="F23" s="11" t="inlineStr">
        <is>
          <t>Yes</t>
        </is>
      </c>
      <c r="G23" s="11" t="inlineStr">
        <is>
          <t>gen_random_uuid()</t>
        </is>
      </c>
      <c r="H23" s="11" t="inlineStr">
        <is>
          <t>—</t>
        </is>
      </c>
      <c r="I23" s="11" t="inlineStr">
        <is>
          <t>Until used, revoked or expired; deleted 30 days after that (SRS 4.3).</t>
        </is>
      </c>
      <c r="J23" s="11" t="inlineStr">
        <is>
          <t>user-service</t>
        </is>
      </c>
      <c r="K23" s="11" t="inlineStr">
        <is>
          <t>A hashed, single-use token for a sensitive action such as a password reset. Table account_action_tokens; owner user-service; created in V2__create_identity_tables.sql.</t>
        </is>
      </c>
    </row>
    <row r="24" ht="42" customHeight="1" s="31">
      <c r="A24" s="11" t="inlineStr">
        <is>
          <t>Account Action Token (account_action_tokens)</t>
        </is>
      </c>
      <c r="B24" s="11" t="inlineStr">
        <is>
          <t>user_id</t>
        </is>
      </c>
      <c r="C24" s="11" t="inlineStr">
        <is>
          <t>UUID</t>
        </is>
      </c>
      <c r="D24" s="11" t="inlineStr">
        <is>
          <t>FK→User.id</t>
        </is>
      </c>
      <c r="E24" s="11" t="inlineStr">
        <is>
          <t>No</t>
        </is>
      </c>
      <c r="F24" s="11" t="inlineStr">
        <is>
          <t>No</t>
        </is>
      </c>
      <c r="G24" s="11" t="inlineStr">
        <is>
          <t>—</t>
        </is>
      </c>
      <c r="H24" s="11" t="inlineStr">
        <is>
          <t>ON DELETE CASCADE</t>
        </is>
      </c>
      <c r="I24" s="11" t="inlineStr">
        <is>
          <t>Until used, revoked or expired; deleted 30 days after that (SRS 4.3).</t>
        </is>
      </c>
      <c r="J24" s="11" t="inlineStr">
        <is>
          <t>user-service</t>
        </is>
      </c>
      <c r="K24" s="11" t="n"/>
    </row>
    <row r="25" ht="42" customHeight="1" s="31">
      <c r="A25" s="11" t="inlineStr">
        <is>
          <t>Account Action Token (account_action_tokens)</t>
        </is>
      </c>
      <c r="B25" s="11" t="inlineStr">
        <is>
          <t>purpose</t>
        </is>
      </c>
      <c r="C25" s="11" t="inlineStr">
        <is>
          <t>VARCHAR(50)</t>
        </is>
      </c>
      <c r="D25" s="11" t="inlineStr">
        <is>
          <t>—</t>
        </is>
      </c>
      <c r="E25" s="11" t="inlineStr">
        <is>
          <t>No</t>
        </is>
      </c>
      <c r="F25" s="11" t="inlineStr">
        <is>
          <t>No</t>
        </is>
      </c>
      <c r="G25" s="11" t="inlineStr">
        <is>
          <t>—</t>
        </is>
      </c>
      <c r="H25" s="11" t="inlineStr">
        <is>
          <t>CHECK (purpose IN ('PASSWORD_RESET', 'EMAIL_VERIFICATION', 'ACCOUNT_ACTIVATION'))</t>
        </is>
      </c>
      <c r="I25" s="11" t="inlineStr">
        <is>
          <t>Until used, revoked or expired; deleted 30 days after that (SRS 4.3).</t>
        </is>
      </c>
      <c r="J25" s="11" t="inlineStr">
        <is>
          <t>user-service</t>
        </is>
      </c>
      <c r="K25" s="11" t="n"/>
    </row>
    <row r="26" ht="42" customHeight="1" s="31">
      <c r="A26" s="11" t="inlineStr">
        <is>
          <t>Account Action Token (account_action_tokens)</t>
        </is>
      </c>
      <c r="B26" s="11" t="inlineStr">
        <is>
          <t>token_hash</t>
        </is>
      </c>
      <c r="C26" s="11" t="inlineStr">
        <is>
          <t>VARCHAR(128)</t>
        </is>
      </c>
      <c r="D26" s="11" t="inlineStr">
        <is>
          <t>—</t>
        </is>
      </c>
      <c r="E26" s="11" t="inlineStr">
        <is>
          <t>No</t>
        </is>
      </c>
      <c r="F26" s="11" t="inlineStr">
        <is>
          <t>Yes</t>
        </is>
      </c>
      <c r="G26" s="11" t="inlineStr">
        <is>
          <t>—</t>
        </is>
      </c>
      <c r="H26" s="11" t="inlineStr">
        <is>
          <t>—</t>
        </is>
      </c>
      <c r="I26" s="11" t="inlineStr">
        <is>
          <t>Until used, revoked or expired; deleted 30 days after that (SRS 4.3).</t>
        </is>
      </c>
      <c r="J26" s="11" t="inlineStr">
        <is>
          <t>user-service</t>
        </is>
      </c>
      <c r="K26" s="11" t="inlineStr">
        <is>
          <t>Hash only (BR-03).</t>
        </is>
      </c>
    </row>
    <row r="27" ht="42" customHeight="1" s="31">
      <c r="A27" s="11" t="inlineStr">
        <is>
          <t>Account Action Token (account_action_tokens)</t>
        </is>
      </c>
      <c r="B27" s="11" t="inlineStr">
        <is>
          <t>expires_at</t>
        </is>
      </c>
      <c r="C27" s="11" t="inlineStr">
        <is>
          <t>TIMESTAMP</t>
        </is>
      </c>
      <c r="D27" s="11" t="inlineStr">
        <is>
          <t>—</t>
        </is>
      </c>
      <c r="E27" s="11" t="inlineStr">
        <is>
          <t>No</t>
        </is>
      </c>
      <c r="F27" s="11" t="inlineStr">
        <is>
          <t>No</t>
        </is>
      </c>
      <c r="G27" s="11" t="inlineStr">
        <is>
          <t>—</t>
        </is>
      </c>
      <c r="H27" s="11" t="inlineStr">
        <is>
          <t>—</t>
        </is>
      </c>
      <c r="I27" s="11" t="inlineStr">
        <is>
          <t>Until used, revoked or expired; deleted 30 days after that (SRS 4.3).</t>
        </is>
      </c>
      <c r="J27" s="11" t="inlineStr">
        <is>
          <t>user-service</t>
        </is>
      </c>
      <c r="K27" s="11" t="inlineStr">
        <is>
          <t>15 minutes after creation for PASSWORD_RESET.</t>
        </is>
      </c>
    </row>
    <row r="28" ht="42" customHeight="1" s="31">
      <c r="A28" s="11" t="inlineStr">
        <is>
          <t>Account Action Token (account_action_tokens)</t>
        </is>
      </c>
      <c r="B28" s="11" t="inlineStr">
        <is>
          <t>used_at</t>
        </is>
      </c>
      <c r="C28" s="11" t="inlineStr">
        <is>
          <t>TIMESTAMP</t>
        </is>
      </c>
      <c r="D28" s="11" t="inlineStr">
        <is>
          <t>—</t>
        </is>
      </c>
      <c r="E28" s="11" t="inlineStr">
        <is>
          <t>Yes</t>
        </is>
      </c>
      <c r="F28" s="11" t="inlineStr">
        <is>
          <t>No</t>
        </is>
      </c>
      <c r="G28" s="11" t="inlineStr">
        <is>
          <t>NULL</t>
        </is>
      </c>
      <c r="H28" s="11" t="inlineStr">
        <is>
          <t>—</t>
        </is>
      </c>
      <c r="I28" s="11" t="inlineStr">
        <is>
          <t>Until used, revoked or expired; deleted 30 days after that (SRS 4.3).</t>
        </is>
      </c>
      <c r="J28" s="11" t="inlineStr">
        <is>
          <t>user-service</t>
        </is>
      </c>
      <c r="K28" s="11" t="inlineStr">
        <is>
          <t>Single use.</t>
        </is>
      </c>
    </row>
    <row r="29" ht="42" customHeight="1" s="31">
      <c r="A29" s="11" t="inlineStr">
        <is>
          <t>Account Action Token (account_action_tokens)</t>
        </is>
      </c>
      <c r="B29" s="11" t="inlineStr">
        <is>
          <t>created_at</t>
        </is>
      </c>
      <c r="C29" s="11" t="inlineStr">
        <is>
          <t>TIMESTAMP</t>
        </is>
      </c>
      <c r="D29" s="11" t="inlineStr">
        <is>
          <t>—</t>
        </is>
      </c>
      <c r="E29" s="11" t="inlineStr">
        <is>
          <t>No</t>
        </is>
      </c>
      <c r="F29" s="11" t="inlineStr">
        <is>
          <t>No</t>
        </is>
      </c>
      <c r="G29" s="11" t="inlineStr">
        <is>
          <t>CURRENT_TIMESTAMP</t>
        </is>
      </c>
      <c r="H29" s="11" t="inlineStr">
        <is>
          <t>—</t>
        </is>
      </c>
      <c r="I29" s="11" t="inlineStr">
        <is>
          <t>Until used, revoked or expired; deleted 30 days after that (SRS 4.3).</t>
        </is>
      </c>
      <c r="J29" s="11" t="inlineStr">
        <is>
          <t>user-service</t>
        </is>
      </c>
      <c r="K29" s="11" t="n"/>
    </row>
    <row r="30" ht="42" customHeight="1" s="31">
      <c r="A30" s="11" t="inlineStr">
        <is>
          <t>OAuth Identity (oauth_identities)</t>
        </is>
      </c>
      <c r="B30" s="11" t="inlineStr">
        <is>
          <t>id</t>
        </is>
      </c>
      <c r="C30" s="11" t="inlineStr">
        <is>
          <t>UUID</t>
        </is>
      </c>
      <c r="D30" s="11" t="inlineStr">
        <is>
          <t>PK</t>
        </is>
      </c>
      <c r="E30" s="11" t="inlineStr">
        <is>
          <t>No</t>
        </is>
      </c>
      <c r="F30" s="11" t="inlineStr">
        <is>
          <t>Yes</t>
        </is>
      </c>
      <c r="G30" s="11" t="inlineStr">
        <is>
          <t>gen_random_uuid()</t>
        </is>
      </c>
      <c r="H30" s="11" t="inlineStr">
        <is>
          <t>—</t>
        </is>
      </c>
      <c r="I30" s="11" t="inlineStr">
        <is>
          <t>While the account exists; deleted 30 days after the account is closed (SRS 4.3).</t>
        </is>
      </c>
      <c r="J30" s="11" t="inlineStr">
        <is>
          <t>user-service</t>
        </is>
      </c>
      <c r="K30" s="11" t="inlineStr">
        <is>
          <t>A link between a user and an external identity provider account. Table oauth_identities; owner user-service; created in V2__create_identity_tables.sql.</t>
        </is>
      </c>
    </row>
    <row r="31" ht="42" customHeight="1" s="31">
      <c r="A31" s="11" t="inlineStr">
        <is>
          <t>OAuth Identity (oauth_identities)</t>
        </is>
      </c>
      <c r="B31" s="11" t="inlineStr">
        <is>
          <t>user_id</t>
        </is>
      </c>
      <c r="C31" s="11" t="inlineStr">
        <is>
          <t>UUID</t>
        </is>
      </c>
      <c r="D31" s="11" t="inlineStr">
        <is>
          <t>FK→User.id</t>
        </is>
      </c>
      <c r="E31" s="11" t="inlineStr">
        <is>
          <t>No</t>
        </is>
      </c>
      <c r="F31" s="11" t="inlineStr">
        <is>
          <t>No</t>
        </is>
      </c>
      <c r="G31" s="11" t="inlineStr">
        <is>
          <t>—</t>
        </is>
      </c>
      <c r="H31" s="11" t="inlineStr">
        <is>
          <t>ON DELETE CASCADE</t>
        </is>
      </c>
      <c r="I31" s="11" t="inlineStr">
        <is>
          <t>While the account exists; deleted 30 days after the account is closed (SRS 4.3).</t>
        </is>
      </c>
      <c r="J31" s="11" t="inlineStr">
        <is>
          <t>user-service</t>
        </is>
      </c>
      <c r="K31" s="11" t="n"/>
    </row>
    <row r="32" ht="42" customHeight="1" s="31">
      <c r="A32" s="11" t="inlineStr">
        <is>
          <t>OAuth Identity (oauth_identities)</t>
        </is>
      </c>
      <c r="B32" s="11" t="inlineStr">
        <is>
          <t>provider</t>
        </is>
      </c>
      <c r="C32" s="11" t="inlineStr">
        <is>
          <t>VARCHAR(50)</t>
        </is>
      </c>
      <c r="D32" s="11" t="inlineStr">
        <is>
          <t>—</t>
        </is>
      </c>
      <c r="E32" s="11" t="inlineStr">
        <is>
          <t>No</t>
        </is>
      </c>
      <c r="F32" s="11" t="inlineStr">
        <is>
          <t>Partial (provider, provider_subject)</t>
        </is>
      </c>
      <c r="G32" s="11" t="inlineStr">
        <is>
          <t>—</t>
        </is>
      </c>
      <c r="H32" s="11" t="inlineStr">
        <is>
          <t>—</t>
        </is>
      </c>
      <c r="I32" s="11" t="inlineStr">
        <is>
          <t>While the account exists; deleted 30 days after the account is closed (SRS 4.3).</t>
        </is>
      </c>
      <c r="J32" s="11" t="inlineStr">
        <is>
          <t>user-service</t>
        </is>
      </c>
      <c r="K32" s="11" t="n"/>
    </row>
    <row r="33" ht="42" customHeight="1" s="31">
      <c r="A33" s="11" t="inlineStr">
        <is>
          <t>OAuth Identity (oauth_identities)</t>
        </is>
      </c>
      <c r="B33" s="11" t="inlineStr">
        <is>
          <t>provider_subject</t>
        </is>
      </c>
      <c r="C33" s="11" t="inlineStr">
        <is>
          <t>VARCHAR(255)</t>
        </is>
      </c>
      <c r="D33" s="11" t="inlineStr">
        <is>
          <t>—</t>
        </is>
      </c>
      <c r="E33" s="11" t="inlineStr">
        <is>
          <t>No</t>
        </is>
      </c>
      <c r="F33" s="11" t="inlineStr">
        <is>
          <t>Partial (provider, provider_subject)</t>
        </is>
      </c>
      <c r="G33" s="11" t="inlineStr">
        <is>
          <t>—</t>
        </is>
      </c>
      <c r="H33" s="11" t="inlineStr">
        <is>
          <t>—</t>
        </is>
      </c>
      <c r="I33" s="11" t="inlineStr">
        <is>
          <t>While the account exists; deleted 30 days after the account is closed (SRS 4.3).</t>
        </is>
      </c>
      <c r="J33" s="11" t="inlineStr">
        <is>
          <t>user-service</t>
        </is>
      </c>
      <c r="K33" s="11" t="n"/>
    </row>
    <row r="34" ht="42" customHeight="1" s="31">
      <c r="A34" s="11" t="inlineStr">
        <is>
          <t>OAuth Identity (oauth_identities)</t>
        </is>
      </c>
      <c r="B34" s="11" t="inlineStr">
        <is>
          <t>linked_at</t>
        </is>
      </c>
      <c r="C34" s="11" t="inlineStr">
        <is>
          <t>TIMESTAMP</t>
        </is>
      </c>
      <c r="D34" s="11" t="inlineStr">
        <is>
          <t>—</t>
        </is>
      </c>
      <c r="E34" s="11" t="inlineStr">
        <is>
          <t>No</t>
        </is>
      </c>
      <c r="F34" s="11" t="inlineStr">
        <is>
          <t>No</t>
        </is>
      </c>
      <c r="G34" s="11" t="inlineStr">
        <is>
          <t>CURRENT_TIMESTAMP</t>
        </is>
      </c>
      <c r="H34" s="11" t="inlineStr">
        <is>
          <t>—</t>
        </is>
      </c>
      <c r="I34" s="11" t="inlineStr">
        <is>
          <t>While the account exists; deleted 30 days after the account is closed (SRS 4.3).</t>
        </is>
      </c>
      <c r="J34" s="11" t="inlineStr">
        <is>
          <t>user-service</t>
        </is>
      </c>
      <c r="K34" s="11" t="n"/>
    </row>
    <row r="35" ht="42" customHeight="1" s="31">
      <c r="A35" s="11" t="inlineStr">
        <is>
          <t>OAuth Identity (oauth_identities)</t>
        </is>
      </c>
      <c r="B35" s="11" t="inlineStr">
        <is>
          <t>last_authenticated_at</t>
        </is>
      </c>
      <c r="C35" s="11" t="inlineStr">
        <is>
          <t>TIMESTAMP</t>
        </is>
      </c>
      <c r="D35" s="11" t="inlineStr">
        <is>
          <t>—</t>
        </is>
      </c>
      <c r="E35" s="11" t="inlineStr">
        <is>
          <t>Yes</t>
        </is>
      </c>
      <c r="F35" s="11" t="inlineStr">
        <is>
          <t>No</t>
        </is>
      </c>
      <c r="G35" s="11" t="inlineStr">
        <is>
          <t>NULL</t>
        </is>
      </c>
      <c r="H35" s="11" t="inlineStr">
        <is>
          <t>—</t>
        </is>
      </c>
      <c r="I35" s="11" t="inlineStr">
        <is>
          <t>While the account exists; deleted 30 days after the account is closed (SRS 4.3).</t>
        </is>
      </c>
      <c r="J35" s="11" t="inlineStr">
        <is>
          <t>user-service</t>
        </is>
      </c>
      <c r="K35" s="11" t="n"/>
    </row>
    <row r="36" ht="42" customHeight="1" s="31">
      <c r="A36" s="11" t="inlineStr">
        <is>
          <t>Learner Profile (learner_profiles)</t>
        </is>
      </c>
      <c r="B36" s="10" t="inlineStr">
        <is>
          <t>user_id</t>
        </is>
      </c>
      <c r="C36" s="11" t="inlineStr">
        <is>
          <t>UUID</t>
        </is>
      </c>
      <c r="D36" s="11" t="inlineStr">
        <is>
          <t>PK, FK→User.id</t>
        </is>
      </c>
      <c r="E36" s="11" t="inlineStr">
        <is>
          <t>No</t>
        </is>
      </c>
      <c r="F36" s="11" t="inlineStr">
        <is>
          <t>Yes</t>
        </is>
      </c>
      <c r="G36" s="11" t="inlineStr">
        <is>
          <t>—</t>
        </is>
      </c>
      <c r="H36" s="11" t="inlineStr">
        <is>
          <t>—</t>
        </is>
      </c>
      <c r="I36" s="11" t="inlineStr">
        <is>
          <t>While the account exists; deleted 30 days after closure (SRS 4.3).</t>
        </is>
      </c>
      <c r="J36" s="11" t="inlineStr">
        <is>
          <t>user-service</t>
        </is>
      </c>
      <c r="K36" s="11" t="inlineStr">
        <is>
          <t>Stores the learning profile and visibility preferences of one user. Table learner_profiles; owner user-service; created in V2__create_identity_tables.sql.</t>
        </is>
      </c>
    </row>
    <row r="37" ht="42" customHeight="1" s="31">
      <c r="A37" s="11" t="inlineStr">
        <is>
          <t>Learner Profile (learner_profiles)</t>
        </is>
      </c>
      <c r="B37" s="11" t="inlineStr">
        <is>
          <t>display_name</t>
        </is>
      </c>
      <c r="C37" s="11" t="inlineStr">
        <is>
          <t>VARCHAR(150)</t>
        </is>
      </c>
      <c r="D37" s="11" t="inlineStr">
        <is>
          <t>—</t>
        </is>
      </c>
      <c r="E37" s="11" t="inlineStr">
        <is>
          <t>No</t>
        </is>
      </c>
      <c r="F37" s="11" t="inlineStr">
        <is>
          <t>No</t>
        </is>
      </c>
      <c r="G37" s="11" t="inlineStr">
        <is>
          <t>—</t>
        </is>
      </c>
      <c r="H37" s="11" t="inlineStr">
        <is>
          <t>—</t>
        </is>
      </c>
      <c r="I37" s="11" t="inlineStr">
        <is>
          <t>While the account exists; deleted 30 days after closure (SRS 4.3).</t>
        </is>
      </c>
      <c r="J37" s="11" t="inlineStr">
        <is>
          <t>user-service</t>
        </is>
      </c>
      <c r="K37" s="11" t="n"/>
    </row>
    <row r="38" ht="42" customHeight="1" s="31">
      <c r="A38" s="11" t="inlineStr">
        <is>
          <t>Learner Profile (learner_profiles)</t>
        </is>
      </c>
      <c r="B38" s="11" t="inlineStr">
        <is>
          <t>avatar_reference</t>
        </is>
      </c>
      <c r="C38" s="11" t="inlineStr">
        <is>
          <t>VARCHAR(500)</t>
        </is>
      </c>
      <c r="D38" s="11" t="inlineStr">
        <is>
          <t>—</t>
        </is>
      </c>
      <c r="E38" s="11" t="inlineStr">
        <is>
          <t>Yes</t>
        </is>
      </c>
      <c r="F38" s="11" t="inlineStr">
        <is>
          <t>No</t>
        </is>
      </c>
      <c r="G38" s="11" t="inlineStr">
        <is>
          <t>NULL</t>
        </is>
      </c>
      <c r="H38" s="11" t="inlineStr">
        <is>
          <t>—</t>
        </is>
      </c>
      <c r="I38" s="11" t="inlineStr">
        <is>
          <t>While the account exists; deleted 30 days after closure (SRS 4.3).</t>
        </is>
      </c>
      <c r="J38" s="11" t="inlineStr">
        <is>
          <t>user-service</t>
        </is>
      </c>
      <c r="K38" s="11" t="n"/>
    </row>
    <row r="39" ht="42" customHeight="1" s="31">
      <c r="A39" s="11" t="inlineStr">
        <is>
          <t>Learner Profile (learner_profiles)</t>
        </is>
      </c>
      <c r="B39" s="11" t="inlineStr">
        <is>
          <t>bio</t>
        </is>
      </c>
      <c r="C39" s="11" t="inlineStr">
        <is>
          <t>TEXT</t>
        </is>
      </c>
      <c r="D39" s="11" t="inlineStr">
        <is>
          <t>—</t>
        </is>
      </c>
      <c r="E39" s="11" t="inlineStr">
        <is>
          <t>Yes</t>
        </is>
      </c>
      <c r="F39" s="11" t="inlineStr">
        <is>
          <t>No</t>
        </is>
      </c>
      <c r="G39" s="11" t="inlineStr">
        <is>
          <t>NULL</t>
        </is>
      </c>
      <c r="H39" s="11" t="inlineStr">
        <is>
          <t>—</t>
        </is>
      </c>
      <c r="I39" s="11" t="inlineStr">
        <is>
          <t>While the account exists; deleted 30 days after closure (SRS 4.3).</t>
        </is>
      </c>
      <c r="J39" s="11" t="inlineStr">
        <is>
          <t>user-service</t>
        </is>
      </c>
      <c r="K39" s="11" t="n"/>
    </row>
    <row r="40" ht="42" customHeight="1" s="31">
      <c r="A40" s="11" t="inlineStr">
        <is>
          <t>Learner Profile (learner_profiles)</t>
        </is>
      </c>
      <c r="B40" s="11" t="inlineStr">
        <is>
          <t>self_reported_band</t>
        </is>
      </c>
      <c r="C40" s="11" t="inlineStr">
        <is>
          <t>NUMERIC(3, 1)</t>
        </is>
      </c>
      <c r="D40" s="11" t="inlineStr">
        <is>
          <t>—</t>
        </is>
      </c>
      <c r="E40" s="11" t="inlineStr">
        <is>
          <t>Yes</t>
        </is>
      </c>
      <c r="F40" s="11" t="inlineStr">
        <is>
          <t>No</t>
        </is>
      </c>
      <c r="G40" s="11" t="inlineStr">
        <is>
          <t>NULL</t>
        </is>
      </c>
      <c r="H40" s="11" t="inlineStr">
        <is>
          <t>—</t>
        </is>
      </c>
      <c r="I40" s="11" t="inlineStr">
        <is>
          <t>While the account exists; deleted 30 days after closure (SRS 4.3).</t>
        </is>
      </c>
      <c r="J40" s="11" t="inlineStr">
        <is>
          <t>user-service</t>
        </is>
      </c>
      <c r="K40" s="11" t="n"/>
    </row>
    <row r="41" ht="42" customHeight="1" s="31">
      <c r="A41" s="11" t="inlineStr">
        <is>
          <t>Learner Profile (learner_profiles)</t>
        </is>
      </c>
      <c r="B41" s="11" t="inlineStr">
        <is>
          <t>timezone</t>
        </is>
      </c>
      <c r="C41" s="11" t="inlineStr">
        <is>
          <t>VARCHAR(50)</t>
        </is>
      </c>
      <c r="D41" s="11" t="inlineStr">
        <is>
          <t>—</t>
        </is>
      </c>
      <c r="E41" s="11" t="inlineStr">
        <is>
          <t>No</t>
        </is>
      </c>
      <c r="F41" s="11" t="inlineStr">
        <is>
          <t>No</t>
        </is>
      </c>
      <c r="G41" s="11" t="inlineStr">
        <is>
          <t>'Asia/Ho_Chi_Minh'</t>
        </is>
      </c>
      <c r="H41" s="11" t="inlineStr">
        <is>
          <t>—</t>
        </is>
      </c>
      <c r="I41" s="11" t="inlineStr">
        <is>
          <t>While the account exists; deleted 30 days after closure (SRS 4.3).</t>
        </is>
      </c>
      <c r="J41" s="11" t="inlineStr">
        <is>
          <t>user-service</t>
        </is>
      </c>
      <c r="K41" s="11" t="n"/>
    </row>
    <row r="42" ht="42" customHeight="1" s="31">
      <c r="A42" s="11" t="inlineStr">
        <is>
          <t>Learner Profile (learner_profiles)</t>
        </is>
      </c>
      <c r="B42" s="11" t="inlineStr">
        <is>
          <t>profile_visibility</t>
        </is>
      </c>
      <c r="C42" s="11" t="inlineStr">
        <is>
          <t>VARCHAR(30)</t>
        </is>
      </c>
      <c r="D42" s="11" t="inlineStr">
        <is>
          <t>—</t>
        </is>
      </c>
      <c r="E42" s="11" t="inlineStr">
        <is>
          <t>No</t>
        </is>
      </c>
      <c r="F42" s="11" t="inlineStr">
        <is>
          <t>No</t>
        </is>
      </c>
      <c r="G42" s="11" t="inlineStr">
        <is>
          <t>'PUBLIC'</t>
        </is>
      </c>
      <c r="H42" s="11" t="inlineStr">
        <is>
          <t>CHECK (profile_visibility IN ('PUBLIC', 'PRIVATE', 'COMMUNITY'))</t>
        </is>
      </c>
      <c r="I42" s="11" t="inlineStr">
        <is>
          <t>While the account exists; deleted 30 days after closure (SRS 4.3).</t>
        </is>
      </c>
      <c r="J42" s="11" t="inlineStr">
        <is>
          <t>user-service</t>
        </is>
      </c>
      <c r="K42" s="11" t="n"/>
    </row>
    <row r="43" ht="42" customHeight="1" s="31">
      <c r="A43" s="11" t="inlineStr">
        <is>
          <t>Learner Profile (learner_profiles)</t>
        </is>
      </c>
      <c r="B43" s="11" t="inlineStr">
        <is>
          <t>created_at</t>
        </is>
      </c>
      <c r="C43" s="11" t="inlineStr">
        <is>
          <t>TIMESTAMP</t>
        </is>
      </c>
      <c r="D43" s="11" t="inlineStr">
        <is>
          <t>—</t>
        </is>
      </c>
      <c r="E43" s="11" t="inlineStr">
        <is>
          <t>No</t>
        </is>
      </c>
      <c r="F43" s="11" t="inlineStr">
        <is>
          <t>No</t>
        </is>
      </c>
      <c r="G43" s="11" t="inlineStr">
        <is>
          <t>CURRENT_TIMESTAMP</t>
        </is>
      </c>
      <c r="H43" s="11" t="inlineStr">
        <is>
          <t>—</t>
        </is>
      </c>
      <c r="I43" s="11" t="inlineStr">
        <is>
          <t>While the account exists; deleted 30 days after closure (SRS 4.3).</t>
        </is>
      </c>
      <c r="J43" s="11" t="inlineStr">
        <is>
          <t>user-service</t>
        </is>
      </c>
      <c r="K43" s="11" t="n"/>
    </row>
    <row r="44" ht="42" customHeight="1" s="31">
      <c r="A44" s="11" t="inlineStr">
        <is>
          <t>Learner Profile (learner_profiles)</t>
        </is>
      </c>
      <c r="B44" s="11" t="inlineStr">
        <is>
          <t>updated_at</t>
        </is>
      </c>
      <c r="C44" s="11" t="inlineStr">
        <is>
          <t>TIMESTAMP</t>
        </is>
      </c>
      <c r="D44" s="11" t="inlineStr">
        <is>
          <t>—</t>
        </is>
      </c>
      <c r="E44" s="11" t="inlineStr">
        <is>
          <t>No</t>
        </is>
      </c>
      <c r="F44" s="11" t="inlineStr">
        <is>
          <t>No</t>
        </is>
      </c>
      <c r="G44" s="11" t="inlineStr">
        <is>
          <t>CURRENT_TIMESTAMP</t>
        </is>
      </c>
      <c r="H44" s="11" t="inlineStr">
        <is>
          <t>—</t>
        </is>
      </c>
      <c r="I44" s="11" t="inlineStr">
        <is>
          <t>While the account exists; deleted 30 days after closure (SRS 4.3).</t>
        </is>
      </c>
      <c r="J44" s="11" t="inlineStr">
        <is>
          <t>user-service</t>
        </is>
      </c>
      <c r="K44" s="11" t="n"/>
    </row>
    <row r="45" ht="42" customHeight="1" s="31">
      <c r="A45" s="13" t="inlineStr">
        <is>
          <t>Learning Goal (learning_goals)</t>
        </is>
      </c>
      <c r="B45" s="12" t="inlineStr">
        <is>
          <t>id</t>
        </is>
      </c>
      <c r="C45" s="13" t="inlineStr">
        <is>
          <t>UUID</t>
        </is>
      </c>
      <c r="D45" s="13" t="inlineStr">
        <is>
          <t>PK</t>
        </is>
      </c>
      <c r="E45" s="13" t="inlineStr">
        <is>
          <t>No</t>
        </is>
      </c>
      <c r="F45" s="13" t="inlineStr">
        <is>
          <t>Yes</t>
        </is>
      </c>
      <c r="G45" s="13" t="inlineStr">
        <is>
          <t>gen_random_uuid()</t>
        </is>
      </c>
      <c r="H45" s="13" t="inlineStr">
        <is>
          <t>—</t>
        </is>
      </c>
      <c r="I45" s="13" t="inlineStr">
        <is>
          <t>While the account exists; deleted 30 days after closure (SRS 4.3).</t>
        </is>
      </c>
      <c r="J45" s="13" t="inlineStr">
        <is>
          <t>user-service</t>
        </is>
      </c>
      <c r="K45" s="13" t="inlineStr">
        <is>
          <t>Records a user's target band, study availability and goal lifecycle. Table learning_goals; owner user-service; created in V2__create_identity_tables.sql.</t>
        </is>
      </c>
    </row>
    <row r="46" ht="42" customHeight="1" s="31">
      <c r="A46" s="13" t="inlineStr">
        <is>
          <t>Learning Goal (learning_goals)</t>
        </is>
      </c>
      <c r="B46" s="13" t="inlineStr">
        <is>
          <t>user_id</t>
        </is>
      </c>
      <c r="C46" s="13" t="inlineStr">
        <is>
          <t>UUID</t>
        </is>
      </c>
      <c r="D46" s="13" t="inlineStr">
        <is>
          <t>FK→User.id</t>
        </is>
      </c>
      <c r="E46" s="13" t="inlineStr">
        <is>
          <t>No</t>
        </is>
      </c>
      <c r="F46" s="13" t="inlineStr">
        <is>
          <t>Partial (user_id) WHERE status = 'ACTIVE'</t>
        </is>
      </c>
      <c r="G46" s="13" t="inlineStr">
        <is>
          <t>—</t>
        </is>
      </c>
      <c r="H46" s="13" t="inlineStr">
        <is>
          <t>—</t>
        </is>
      </c>
      <c r="I46" s="13" t="inlineStr">
        <is>
          <t>While the account exists; deleted 30 days after closure (SRS 4.3).</t>
        </is>
      </c>
      <c r="J46" s="13" t="inlineStr">
        <is>
          <t>user-service</t>
        </is>
      </c>
      <c r="K46" s="13" t="n"/>
    </row>
    <row r="47" ht="42" customHeight="1" s="31">
      <c r="A47" s="13" t="inlineStr">
        <is>
          <t>Learning Goal (learning_goals)</t>
        </is>
      </c>
      <c r="B47" s="13" t="inlineStr">
        <is>
          <t>target_band</t>
        </is>
      </c>
      <c r="C47" s="13" t="inlineStr">
        <is>
          <t>NUMERIC(3, 1)</t>
        </is>
      </c>
      <c r="D47" s="13" t="inlineStr">
        <is>
          <t>—</t>
        </is>
      </c>
      <c r="E47" s="13" t="inlineStr">
        <is>
          <t>No</t>
        </is>
      </c>
      <c r="F47" s="13" t="inlineStr">
        <is>
          <t>No</t>
        </is>
      </c>
      <c r="G47" s="13" t="inlineStr">
        <is>
          <t>—</t>
        </is>
      </c>
      <c r="H47" s="13" t="inlineStr">
        <is>
          <t>—</t>
        </is>
      </c>
      <c r="I47" s="13" t="inlineStr">
        <is>
          <t>While the account exists; deleted 30 days after closure (SRS 4.3).</t>
        </is>
      </c>
      <c r="J47" s="13" t="inlineStr">
        <is>
          <t>user-service</t>
        </is>
      </c>
      <c r="K47" s="13" t="n"/>
    </row>
    <row r="48" ht="42" customHeight="1" s="31">
      <c r="A48" s="13" t="inlineStr">
        <is>
          <t>Learning Goal (learning_goals)</t>
        </is>
      </c>
      <c r="B48" s="13" t="inlineStr">
        <is>
          <t>exam_date</t>
        </is>
      </c>
      <c r="C48" s="13" t="inlineStr">
        <is>
          <t>DATE</t>
        </is>
      </c>
      <c r="D48" s="13" t="inlineStr">
        <is>
          <t>—</t>
        </is>
      </c>
      <c r="E48" s="13" t="inlineStr">
        <is>
          <t>Yes</t>
        </is>
      </c>
      <c r="F48" s="13" t="inlineStr">
        <is>
          <t>No</t>
        </is>
      </c>
      <c r="G48" s="13" t="inlineStr">
        <is>
          <t>NULL</t>
        </is>
      </c>
      <c r="H48" s="13" t="inlineStr">
        <is>
          <t>—</t>
        </is>
      </c>
      <c r="I48" s="13" t="inlineStr">
        <is>
          <t>While the account exists; deleted 30 days after closure (SRS 4.3).</t>
        </is>
      </c>
      <c r="J48" s="13" t="inlineStr">
        <is>
          <t>user-service</t>
        </is>
      </c>
      <c r="K48" s="13" t="n"/>
    </row>
    <row r="49" ht="42" customHeight="1" s="31">
      <c r="A49" s="13" t="inlineStr">
        <is>
          <t>Learning Goal (learning_goals)</t>
        </is>
      </c>
      <c r="B49" s="13" t="inlineStr">
        <is>
          <t>available_minutes_per_day</t>
        </is>
      </c>
      <c r="C49" s="13" t="inlineStr">
        <is>
          <t>INTEGER</t>
        </is>
      </c>
      <c r="D49" s="13" t="inlineStr">
        <is>
          <t>—</t>
        </is>
      </c>
      <c r="E49" s="13" t="inlineStr">
        <is>
          <t>No</t>
        </is>
      </c>
      <c r="F49" s="13" t="inlineStr">
        <is>
          <t>No</t>
        </is>
      </c>
      <c r="G49" s="13" t="inlineStr">
        <is>
          <t>60</t>
        </is>
      </c>
      <c r="H49" s="13" t="inlineStr">
        <is>
          <t>—</t>
        </is>
      </c>
      <c r="I49" s="13" t="inlineStr">
        <is>
          <t>While the account exists; deleted 30 days after closure (SRS 4.3).</t>
        </is>
      </c>
      <c r="J49" s="13" t="inlineStr">
        <is>
          <t>user-service</t>
        </is>
      </c>
      <c r="K49" s="13" t="n"/>
    </row>
    <row r="50" ht="42" customHeight="1" s="31">
      <c r="A50" s="13" t="inlineStr">
        <is>
          <t>Learning Goal (learning_goals)</t>
        </is>
      </c>
      <c r="B50" s="13" t="inlineStr">
        <is>
          <t>status</t>
        </is>
      </c>
      <c r="C50" s="13" t="inlineStr">
        <is>
          <t>VARCHAR(30)</t>
        </is>
      </c>
      <c r="D50" s="13" t="inlineStr">
        <is>
          <t>—</t>
        </is>
      </c>
      <c r="E50" s="13" t="inlineStr">
        <is>
          <t>No</t>
        </is>
      </c>
      <c r="F50" s="13" t="inlineStr">
        <is>
          <t>No</t>
        </is>
      </c>
      <c r="G50" s="13" t="inlineStr">
        <is>
          <t>'ACTIVE'</t>
        </is>
      </c>
      <c r="H50" s="13" t="inlineStr">
        <is>
          <t>CHECK (status IN ('ACTIVE', 'ACHIEVED', 'ABANDONED', 'PAUSED'))</t>
        </is>
      </c>
      <c r="I50" s="13" t="inlineStr">
        <is>
          <t>While the account exists; deleted 30 days after closure (SRS 4.3).</t>
        </is>
      </c>
      <c r="J50" s="13" t="inlineStr">
        <is>
          <t>user-service</t>
        </is>
      </c>
      <c r="K50" s="13" t="n"/>
    </row>
    <row r="51" ht="42" customHeight="1" s="31">
      <c r="A51" s="13" t="inlineStr">
        <is>
          <t>Learning Goal (learning_goals)</t>
        </is>
      </c>
      <c r="B51" s="13" t="inlineStr">
        <is>
          <t>started_at</t>
        </is>
      </c>
      <c r="C51" s="13" t="inlineStr">
        <is>
          <t>TIMESTAMP</t>
        </is>
      </c>
      <c r="D51" s="13" t="inlineStr">
        <is>
          <t>—</t>
        </is>
      </c>
      <c r="E51" s="13" t="inlineStr">
        <is>
          <t>No</t>
        </is>
      </c>
      <c r="F51" s="13" t="inlineStr">
        <is>
          <t>No</t>
        </is>
      </c>
      <c r="G51" s="13" t="inlineStr">
        <is>
          <t>CURRENT_TIMESTAMP</t>
        </is>
      </c>
      <c r="H51" s="13" t="inlineStr">
        <is>
          <t>—</t>
        </is>
      </c>
      <c r="I51" s="13" t="inlineStr">
        <is>
          <t>While the account exists; deleted 30 days after closure (SRS 4.3).</t>
        </is>
      </c>
      <c r="J51" s="13" t="inlineStr">
        <is>
          <t>user-service</t>
        </is>
      </c>
      <c r="K51" s="13" t="n"/>
    </row>
    <row r="52" ht="42" customHeight="1" s="31">
      <c r="A52" s="13" t="inlineStr">
        <is>
          <t>Learning Goal (learning_goals)</t>
        </is>
      </c>
      <c r="B52" s="13" t="inlineStr">
        <is>
          <t>ended_at</t>
        </is>
      </c>
      <c r="C52" s="13" t="inlineStr">
        <is>
          <t>TIMESTAMP</t>
        </is>
      </c>
      <c r="D52" s="13" t="inlineStr">
        <is>
          <t>—</t>
        </is>
      </c>
      <c r="E52" s="13" t="inlineStr">
        <is>
          <t>Yes</t>
        </is>
      </c>
      <c r="F52" s="13" t="inlineStr">
        <is>
          <t>No</t>
        </is>
      </c>
      <c r="G52" s="13" t="inlineStr">
        <is>
          <t>NULL</t>
        </is>
      </c>
      <c r="H52" s="13" t="inlineStr">
        <is>
          <t>—</t>
        </is>
      </c>
      <c r="I52" s="13" t="inlineStr">
        <is>
          <t>While the account exists; deleted 30 days after closure (SRS 4.3).</t>
        </is>
      </c>
      <c r="J52" s="13" t="inlineStr">
        <is>
          <t>user-service</t>
        </is>
      </c>
      <c r="K52" s="13" t="n"/>
    </row>
    <row r="53" ht="42" customHeight="1" s="31">
      <c r="A53" s="13" t="inlineStr">
        <is>
          <t>Learning Goal (learning_goals)</t>
        </is>
      </c>
      <c r="B53" s="13" t="inlineStr">
        <is>
          <t>created_at</t>
        </is>
      </c>
      <c r="C53" s="13" t="inlineStr">
        <is>
          <t>TIMESTAMP</t>
        </is>
      </c>
      <c r="D53" s="13" t="inlineStr">
        <is>
          <t>—</t>
        </is>
      </c>
      <c r="E53" s="13" t="inlineStr">
        <is>
          <t>No</t>
        </is>
      </c>
      <c r="F53" s="13" t="inlineStr">
        <is>
          <t>No</t>
        </is>
      </c>
      <c r="G53" s="13" t="inlineStr">
        <is>
          <t>CURRENT_TIMESTAMP</t>
        </is>
      </c>
      <c r="H53" s="13" t="inlineStr">
        <is>
          <t>—</t>
        </is>
      </c>
      <c r="I53" s="13" t="inlineStr">
        <is>
          <t>While the account exists; deleted 30 days after closure (SRS 4.3).</t>
        </is>
      </c>
      <c r="J53" s="13" t="inlineStr">
        <is>
          <t>user-service</t>
        </is>
      </c>
      <c r="K53" s="13" t="n"/>
    </row>
    <row r="54" ht="42" customHeight="1" s="31">
      <c r="A54" s="13" t="inlineStr">
        <is>
          <t>Learning Goal (learning_goals)</t>
        </is>
      </c>
      <c r="B54" s="13" t="inlineStr">
        <is>
          <t>updated_at</t>
        </is>
      </c>
      <c r="C54" s="13" t="inlineStr">
        <is>
          <t>TIMESTAMP</t>
        </is>
      </c>
      <c r="D54" s="13" t="inlineStr">
        <is>
          <t>—</t>
        </is>
      </c>
      <c r="E54" s="13" t="inlineStr">
        <is>
          <t>No</t>
        </is>
      </c>
      <c r="F54" s="13" t="inlineStr">
        <is>
          <t>No</t>
        </is>
      </c>
      <c r="G54" s="13" t="inlineStr">
        <is>
          <t>CURRENT_TIMESTAMP</t>
        </is>
      </c>
      <c r="H54" s="13" t="inlineStr">
        <is>
          <t>—</t>
        </is>
      </c>
      <c r="I54" s="13" t="inlineStr">
        <is>
          <t>While the account exists; deleted 30 days after closure (SRS 4.3).</t>
        </is>
      </c>
      <c r="J54" s="13" t="inlineStr">
        <is>
          <t>user-service</t>
        </is>
      </c>
      <c r="K54" s="13" t="n"/>
    </row>
    <row r="55" ht="42" customHeight="1" s="31">
      <c r="A55" s="11" t="inlineStr">
        <is>
          <t>Learning Activity (learning_activities)</t>
        </is>
      </c>
      <c r="B55" s="10" t="inlineStr">
        <is>
          <t>id</t>
        </is>
      </c>
      <c r="C55" s="11" t="inlineStr">
        <is>
          <t>UUID</t>
        </is>
      </c>
      <c r="D55" s="11" t="inlineStr">
        <is>
          <t>PK</t>
        </is>
      </c>
      <c r="E55" s="11" t="inlineStr">
        <is>
          <t>No</t>
        </is>
      </c>
      <c r="F55" s="11" t="inlineStr">
        <is>
          <t>Yes</t>
        </is>
      </c>
      <c r="G55" s="11" t="inlineStr">
        <is>
          <t>—</t>
        </is>
      </c>
      <c r="H55" s="11" t="inlineStr">
        <is>
          <t>—</t>
        </is>
      </c>
      <c r="I55" s="11" t="inlineStr">
        <is>
          <t>While the account exists; notes, flashcards and decks the learner deletes are removed after 90 days; deleted 30 days after closure (SRS 4.3).</t>
        </is>
      </c>
      <c r="J55" s="11" t="inlineStr">
        <is>
          <t>user-service</t>
        </is>
      </c>
      <c r="K55" s="11" t="inlineStr">
        <is>
          <t>Records a user's learning activity and its source reference. Table learning_activities; owner user-service; created in V5__create_learning_activity_and_streak_tables.sql.</t>
        </is>
      </c>
    </row>
    <row r="56" ht="42" customHeight="1" s="31">
      <c r="A56" s="11" t="inlineStr">
        <is>
          <t>Learning Activity (learning_activities)</t>
        </is>
      </c>
      <c r="B56" s="11" t="inlineStr">
        <is>
          <t>user_id</t>
        </is>
      </c>
      <c r="C56" s="11" t="inlineStr">
        <is>
          <t>UUID</t>
        </is>
      </c>
      <c r="D56" s="11" t="inlineStr">
        <is>
          <t>Ref→User (no FK)</t>
        </is>
      </c>
      <c r="E56" s="11" t="inlineStr">
        <is>
          <t>No</t>
        </is>
      </c>
      <c r="F56" s="11" t="inlineStr">
        <is>
          <t>No</t>
        </is>
      </c>
      <c r="G56" s="11" t="inlineStr">
        <is>
          <t>—</t>
        </is>
      </c>
      <c r="H56" s="11" t="inlineStr">
        <is>
          <t>—</t>
        </is>
      </c>
      <c r="I56" s="11" t="inlineStr">
        <is>
          <t>While the account exists; notes, flashcards and decks the learner deletes are removed after 90 days; deleted 30 days after closure (SRS 4.3).</t>
        </is>
      </c>
      <c r="J56" s="11" t="inlineStr">
        <is>
          <t>user-service</t>
        </is>
      </c>
      <c r="K56" s="11" t="inlineStr">
        <is>
          <t>Stored id only; no SQL foreign key (cross-service or polymorphic).</t>
        </is>
      </c>
    </row>
    <row r="57" ht="42" customHeight="1" s="31">
      <c r="A57" s="11" t="inlineStr">
        <is>
          <t>Learning Activity (learning_activities)</t>
        </is>
      </c>
      <c r="B57" s="11" t="inlineStr">
        <is>
          <t>activity_type</t>
        </is>
      </c>
      <c r="C57" s="11" t="inlineStr">
        <is>
          <t>VARCHAR(50)</t>
        </is>
      </c>
      <c r="D57" s="11" t="inlineStr">
        <is>
          <t>—</t>
        </is>
      </c>
      <c r="E57" s="11" t="inlineStr">
        <is>
          <t>No</t>
        </is>
      </c>
      <c r="F57" s="11" t="inlineStr">
        <is>
          <t>No</t>
        </is>
      </c>
      <c r="G57" s="11" t="inlineStr">
        <is>
          <t>—</t>
        </is>
      </c>
      <c r="H57" s="11" t="inlineStr">
        <is>
          <t>—</t>
        </is>
      </c>
      <c r="I57" s="11" t="inlineStr">
        <is>
          <t>While the account exists; notes, flashcards and decks the learner deletes are removed after 90 days; deleted 30 days after closure (SRS 4.3).</t>
        </is>
      </c>
      <c r="J57" s="11" t="inlineStr">
        <is>
          <t>user-service</t>
        </is>
      </c>
      <c r="K57" s="11" t="n"/>
    </row>
    <row r="58" ht="42" customHeight="1" s="31">
      <c r="A58" s="11" t="inlineStr">
        <is>
          <t>Learning Activity (learning_activities)</t>
        </is>
      </c>
      <c r="B58" s="11" t="inlineStr">
        <is>
          <t>source_type</t>
        </is>
      </c>
      <c r="C58" s="11" t="inlineStr">
        <is>
          <t>VARCHAR(50)</t>
        </is>
      </c>
      <c r="D58" s="11" t="inlineStr">
        <is>
          <t>—</t>
        </is>
      </c>
      <c r="E58" s="11" t="inlineStr">
        <is>
          <t>No</t>
        </is>
      </c>
      <c r="F58" s="11" t="inlineStr">
        <is>
          <t>No</t>
        </is>
      </c>
      <c r="G58" s="11" t="inlineStr">
        <is>
          <t>—</t>
        </is>
      </c>
      <c r="H58" s="11" t="inlineStr">
        <is>
          <t>—</t>
        </is>
      </c>
      <c r="I58" s="11" t="inlineStr">
        <is>
          <t>While the account exists; notes, flashcards and decks the learner deletes are removed after 90 days; deleted 30 days after closure (SRS 4.3).</t>
        </is>
      </c>
      <c r="J58" s="11" t="inlineStr">
        <is>
          <t>user-service</t>
        </is>
      </c>
      <c r="K58" s="11" t="n"/>
    </row>
    <row r="59" ht="42" customHeight="1" s="31">
      <c r="A59" s="11" t="inlineStr">
        <is>
          <t>Learning Activity (learning_activities)</t>
        </is>
      </c>
      <c r="B59" s="11" t="inlineStr">
        <is>
          <t>source_id</t>
        </is>
      </c>
      <c r="C59" s="11" t="inlineStr">
        <is>
          <t>UUID</t>
        </is>
      </c>
      <c r="D59" s="11" t="inlineStr">
        <is>
          <t>—</t>
        </is>
      </c>
      <c r="E59" s="11" t="inlineStr">
        <is>
          <t>No</t>
        </is>
      </c>
      <c r="F59" s="11" t="inlineStr">
        <is>
          <t>No</t>
        </is>
      </c>
      <c r="G59" s="11" t="inlineStr">
        <is>
          <t>—</t>
        </is>
      </c>
      <c r="H59" s="11" t="inlineStr">
        <is>
          <t>—</t>
        </is>
      </c>
      <c r="I59" s="11" t="inlineStr">
        <is>
          <t>While the account exists; notes, flashcards and decks the learner deletes are removed after 90 days; deleted 30 days after closure (SRS 4.3).</t>
        </is>
      </c>
      <c r="J59" s="11" t="inlineStr">
        <is>
          <t>user-service</t>
        </is>
      </c>
      <c r="K59" s="11" t="n"/>
    </row>
    <row r="60" ht="26.4" customHeight="1" s="31">
      <c r="A60" s="11" t="inlineStr">
        <is>
          <t>Learning Activity (learning_activities)</t>
        </is>
      </c>
      <c r="B60" s="11" t="inlineStr">
        <is>
          <t>occurred_at</t>
        </is>
      </c>
      <c r="C60" s="11" t="inlineStr">
        <is>
          <t>TIMESTAMPTZ</t>
        </is>
      </c>
      <c r="D60" s="11" t="inlineStr">
        <is>
          <t>—</t>
        </is>
      </c>
      <c r="E60" s="11" t="inlineStr">
        <is>
          <t>No</t>
        </is>
      </c>
      <c r="F60" s="11" t="inlineStr">
        <is>
          <t>No</t>
        </is>
      </c>
      <c r="G60" s="11" t="inlineStr">
        <is>
          <t>—</t>
        </is>
      </c>
      <c r="H60" s="11" t="inlineStr">
        <is>
          <t>—</t>
        </is>
      </c>
      <c r="I60" s="11" t="inlineStr">
        <is>
          <t>While the account exists; notes, flashcards and decks the learner deletes are removed after 90 days; deleted 30 days after closure (SRS 4.3).</t>
        </is>
      </c>
      <c r="J60" s="11" t="inlineStr">
        <is>
          <t>user-service</t>
        </is>
      </c>
      <c r="K60" s="11" t="n"/>
    </row>
    <row r="61" ht="26.4" customHeight="1" s="31">
      <c r="A61" s="11" t="inlineStr">
        <is>
          <t>Learning Activity (learning_activities)</t>
        </is>
      </c>
      <c r="B61" s="11" t="inlineStr">
        <is>
          <t>duration_seconds</t>
        </is>
      </c>
      <c r="C61" s="11" t="inlineStr">
        <is>
          <t>INTEGER</t>
        </is>
      </c>
      <c r="D61" s="11" t="inlineStr">
        <is>
          <t>—</t>
        </is>
      </c>
      <c r="E61" s="11" t="inlineStr">
        <is>
          <t>Yes</t>
        </is>
      </c>
      <c r="F61" s="11" t="inlineStr">
        <is>
          <t>No</t>
        </is>
      </c>
      <c r="G61" s="11" t="inlineStr">
        <is>
          <t>NULL</t>
        </is>
      </c>
      <c r="H61" s="11" t="inlineStr">
        <is>
          <t>CHECK (duration_seconds IS NULL OR duration_seconds &gt;= 0)</t>
        </is>
      </c>
      <c r="I61" s="11" t="inlineStr">
        <is>
          <t>While the account exists; notes, flashcards and decks the learner deletes are removed after 90 days; deleted 30 days after closure (SRS 4.3).</t>
        </is>
      </c>
      <c r="J61" s="11" t="inlineStr">
        <is>
          <t>user-service</t>
        </is>
      </c>
      <c r="K61" s="11" t="n"/>
    </row>
    <row r="62" ht="26.4" customHeight="1" s="31">
      <c r="A62" s="11" t="inlineStr">
        <is>
          <t>Learning Activity (learning_activities)</t>
        </is>
      </c>
      <c r="B62" s="11" t="inlineStr">
        <is>
          <t>verified_at</t>
        </is>
      </c>
      <c r="C62" s="11" t="inlineStr">
        <is>
          <t>TIMESTAMPTZ</t>
        </is>
      </c>
      <c r="D62" s="11" t="inlineStr">
        <is>
          <t>—</t>
        </is>
      </c>
      <c r="E62" s="11" t="inlineStr">
        <is>
          <t>Yes</t>
        </is>
      </c>
      <c r="F62" s="11" t="inlineStr">
        <is>
          <t>No</t>
        </is>
      </c>
      <c r="G62" s="11" t="inlineStr">
        <is>
          <t>NULL</t>
        </is>
      </c>
      <c r="H62" s="11" t="inlineStr">
        <is>
          <t>—</t>
        </is>
      </c>
      <c r="I62" s="11" t="inlineStr">
        <is>
          <t>While the account exists; notes, flashcards and decks the learner deletes are removed after 90 days; deleted 30 days after closure (SRS 4.3).</t>
        </is>
      </c>
      <c r="J62" s="11" t="inlineStr">
        <is>
          <t>user-service</t>
        </is>
      </c>
      <c r="K62" s="11" t="n"/>
    </row>
    <row r="63" ht="39.6" customHeight="1" s="31">
      <c r="A63" s="13" t="inlineStr">
        <is>
          <t>Streak (streaks)</t>
        </is>
      </c>
      <c r="B63" s="12" t="inlineStr">
        <is>
          <t>user_id</t>
        </is>
      </c>
      <c r="C63" s="13" t="inlineStr">
        <is>
          <t>UUID</t>
        </is>
      </c>
      <c r="D63" s="13" t="inlineStr">
        <is>
          <t>PK, Ref→User (no FK)</t>
        </is>
      </c>
      <c r="E63" s="13" t="inlineStr">
        <is>
          <t>No</t>
        </is>
      </c>
      <c r="F63" s="13" t="inlineStr">
        <is>
          <t>Yes</t>
        </is>
      </c>
      <c r="G63" s="13" t="inlineStr">
        <is>
          <t>—</t>
        </is>
      </c>
      <c r="H63" s="13" t="inlineStr">
        <is>
          <t>—</t>
        </is>
      </c>
      <c r="I63" s="13" t="inlineStr">
        <is>
          <t>While the account exists; notes, flashcards and decks the learner deletes are removed after 90 days; deleted 30 days after closure (SRS 4.3).</t>
        </is>
      </c>
      <c r="J63" s="13" t="inlineStr">
        <is>
          <t>user-service</t>
        </is>
      </c>
      <c r="K63" s="13" t="inlineStr">
        <is>
          <t>Stores a user's current and longest qualified-day streak. Table streaks; owner user-service; created in V5__create_learning_activity_and_streak_tables.sql. Stored id only; no SQL foreign key (cross-service or polymorphic).</t>
        </is>
      </c>
    </row>
    <row r="64" ht="26.4" customHeight="1" s="31">
      <c r="A64" s="13" t="inlineStr">
        <is>
          <t>Streak (streaks)</t>
        </is>
      </c>
      <c r="B64" s="13" t="inlineStr">
        <is>
          <t>current_days</t>
        </is>
      </c>
      <c r="C64" s="13" t="inlineStr">
        <is>
          <t>INTEGER</t>
        </is>
      </c>
      <c r="D64" s="13" t="inlineStr">
        <is>
          <t>—</t>
        </is>
      </c>
      <c r="E64" s="13" t="inlineStr">
        <is>
          <t>No</t>
        </is>
      </c>
      <c r="F64" s="13" t="inlineStr">
        <is>
          <t>No</t>
        </is>
      </c>
      <c r="G64" s="13" t="inlineStr">
        <is>
          <t>0</t>
        </is>
      </c>
      <c r="H64" s="13" t="inlineStr">
        <is>
          <t>—</t>
        </is>
      </c>
      <c r="I64" s="13" t="inlineStr">
        <is>
          <t>While the account exists; notes, flashcards and decks the learner deletes are removed after 90 days; deleted 30 days after closure (SRS 4.3).</t>
        </is>
      </c>
      <c r="J64" s="13" t="inlineStr">
        <is>
          <t>user-service</t>
        </is>
      </c>
      <c r="K64" s="13" t="n"/>
    </row>
    <row r="65" ht="26.4" customHeight="1" s="31">
      <c r="A65" s="13" t="inlineStr">
        <is>
          <t>Streak (streaks)</t>
        </is>
      </c>
      <c r="B65" s="13" t="inlineStr">
        <is>
          <t>longest_days</t>
        </is>
      </c>
      <c r="C65" s="13" t="inlineStr">
        <is>
          <t>INTEGER</t>
        </is>
      </c>
      <c r="D65" s="13" t="inlineStr">
        <is>
          <t>—</t>
        </is>
      </c>
      <c r="E65" s="13" t="inlineStr">
        <is>
          <t>No</t>
        </is>
      </c>
      <c r="F65" s="13" t="inlineStr">
        <is>
          <t>No</t>
        </is>
      </c>
      <c r="G65" s="13" t="inlineStr">
        <is>
          <t>0</t>
        </is>
      </c>
      <c r="H65" s="13" t="inlineStr">
        <is>
          <t>—</t>
        </is>
      </c>
      <c r="I65" s="13" t="inlineStr">
        <is>
          <t>While the account exists; notes, flashcards and decks the learner deletes are removed after 90 days; deleted 30 days after closure (SRS 4.3).</t>
        </is>
      </c>
      <c r="J65" s="13" t="inlineStr">
        <is>
          <t>user-service</t>
        </is>
      </c>
      <c r="K65" s="13" t="n"/>
    </row>
    <row r="66" ht="26.4" customHeight="1" s="31">
      <c r="A66" s="13" t="inlineStr">
        <is>
          <t>Streak (streaks)</t>
        </is>
      </c>
      <c r="B66" s="13" t="inlineStr">
        <is>
          <t>last_qualified_date</t>
        </is>
      </c>
      <c r="C66" s="13" t="inlineStr">
        <is>
          <t>DATE</t>
        </is>
      </c>
      <c r="D66" s="13" t="inlineStr">
        <is>
          <t>—</t>
        </is>
      </c>
      <c r="E66" s="13" t="inlineStr">
        <is>
          <t>Yes</t>
        </is>
      </c>
      <c r="F66" s="13" t="inlineStr">
        <is>
          <t>No</t>
        </is>
      </c>
      <c r="G66" s="13" t="inlineStr">
        <is>
          <t>NULL</t>
        </is>
      </c>
      <c r="H66" s="13" t="inlineStr">
        <is>
          <t>—</t>
        </is>
      </c>
      <c r="I66" s="13" t="inlineStr">
        <is>
          <t>While the account exists; notes, flashcards and decks the learner deletes are removed after 90 days; deleted 30 days after closure (SRS 4.3).</t>
        </is>
      </c>
      <c r="J66" s="13" t="inlineStr">
        <is>
          <t>user-service</t>
        </is>
      </c>
      <c r="K66" s="13" t="n"/>
    </row>
    <row r="67" ht="26.4" customHeight="1" s="31">
      <c r="A67" s="13" t="inlineStr">
        <is>
          <t>Streak (streaks)</t>
        </is>
      </c>
      <c r="B67" s="13" t="inlineStr">
        <is>
          <t>timezone</t>
        </is>
      </c>
      <c r="C67" s="13" t="inlineStr">
        <is>
          <t>VARCHAR(100)</t>
        </is>
      </c>
      <c r="D67" s="13" t="inlineStr">
        <is>
          <t>—</t>
        </is>
      </c>
      <c r="E67" s="13" t="inlineStr">
        <is>
          <t>No</t>
        </is>
      </c>
      <c r="F67" s="13" t="inlineStr">
        <is>
          <t>No</t>
        </is>
      </c>
      <c r="G67" s="13" t="inlineStr">
        <is>
          <t>—</t>
        </is>
      </c>
      <c r="H67" s="13" t="inlineStr">
        <is>
          <t>—</t>
        </is>
      </c>
      <c r="I67" s="13" t="inlineStr">
        <is>
          <t>While the account exists; notes, flashcards and decks the learner deletes are removed after 90 days; deleted 30 days after closure (SRS 4.3).</t>
        </is>
      </c>
      <c r="J67" s="13" t="inlineStr">
        <is>
          <t>user-service</t>
        </is>
      </c>
      <c r="K67" s="13" t="n"/>
    </row>
    <row r="68" ht="26.4" customHeight="1" s="31">
      <c r="A68" s="11" t="inlineStr">
        <is>
          <t>Plan (plans)</t>
        </is>
      </c>
      <c r="B68" s="10" t="inlineStr">
        <is>
          <t>id</t>
        </is>
      </c>
      <c r="C68" s="11" t="inlineStr">
        <is>
          <t>UUID</t>
        </is>
      </c>
      <c r="D68" s="11" t="inlineStr">
        <is>
          <t>PK</t>
        </is>
      </c>
      <c r="E68" s="11" t="inlineStr">
        <is>
          <t>No</t>
        </is>
      </c>
      <c r="F68" s="11" t="inlineStr">
        <is>
          <t>Yes</t>
        </is>
      </c>
      <c r="G68" s="11" t="inlineStr">
        <is>
          <t>gen_random_uuid()</t>
        </is>
      </c>
      <c r="H68" s="11" t="inlineStr">
        <is>
          <t>—</t>
        </is>
      </c>
      <c r="I68" s="11" t="inlineStr">
        <is>
          <t>For the life of the system; archived, not deleted (SRS 4.3).</t>
        </is>
      </c>
      <c r="J68" s="11" t="inlineStr">
        <is>
          <t>access-service</t>
        </is>
      </c>
      <c r="K68" s="11" t="inlineStr">
        <is>
          <t>Defines an access offering available through subscriptions. Table plans; owner access-service; created in V1__create_access_tables.sql.</t>
        </is>
      </c>
    </row>
    <row r="69" ht="26.4" customHeight="1" s="31">
      <c r="A69" s="11" t="inlineStr">
        <is>
          <t>Plan (plans)</t>
        </is>
      </c>
      <c r="B69" s="11" t="inlineStr">
        <is>
          <t>code</t>
        </is>
      </c>
      <c r="C69" s="11" t="inlineStr">
        <is>
          <t>VARCHAR(50)</t>
        </is>
      </c>
      <c r="D69" s="11" t="inlineStr">
        <is>
          <t>—</t>
        </is>
      </c>
      <c r="E69" s="11" t="inlineStr">
        <is>
          <t>No</t>
        </is>
      </c>
      <c r="F69" s="11" t="inlineStr">
        <is>
          <t>Yes</t>
        </is>
      </c>
      <c r="G69" s="11" t="inlineStr">
        <is>
          <t>—</t>
        </is>
      </c>
      <c r="H69" s="11" t="inlineStr">
        <is>
          <t>—</t>
        </is>
      </c>
      <c r="I69" s="11" t="inlineStr">
        <is>
          <t>For the life of the system; archived, not deleted (SRS 4.3).</t>
        </is>
      </c>
      <c r="J69" s="11" t="inlineStr">
        <is>
          <t>access-service</t>
        </is>
      </c>
      <c r="K69" s="11" t="n"/>
    </row>
    <row r="70" ht="26.4" customHeight="1" s="31">
      <c r="A70" s="11" t="inlineStr">
        <is>
          <t>Plan (plans)</t>
        </is>
      </c>
      <c r="B70" s="11" t="inlineStr">
        <is>
          <t>name</t>
        </is>
      </c>
      <c r="C70" s="11" t="inlineStr">
        <is>
          <t>VARCHAR(100)</t>
        </is>
      </c>
      <c r="D70" s="11" t="inlineStr">
        <is>
          <t>—</t>
        </is>
      </c>
      <c r="E70" s="11" t="inlineStr">
        <is>
          <t>No</t>
        </is>
      </c>
      <c r="F70" s="11" t="inlineStr">
        <is>
          <t>No</t>
        </is>
      </c>
      <c r="G70" s="11" t="inlineStr">
        <is>
          <t>—</t>
        </is>
      </c>
      <c r="H70" s="11" t="inlineStr">
        <is>
          <t>—</t>
        </is>
      </c>
      <c r="I70" s="11" t="inlineStr">
        <is>
          <t>For the life of the system; archived, not deleted (SRS 4.3).</t>
        </is>
      </c>
      <c r="J70" s="11" t="inlineStr">
        <is>
          <t>access-service</t>
        </is>
      </c>
      <c r="K70" s="11" t="n"/>
    </row>
    <row r="71" ht="26.4" customHeight="1" s="31">
      <c r="A71" s="11" t="inlineStr">
        <is>
          <t>Plan (plans)</t>
        </is>
      </c>
      <c r="B71" s="11" t="inlineStr">
        <is>
          <t>status</t>
        </is>
      </c>
      <c r="C71" s="11" t="inlineStr">
        <is>
          <t>VARCHAR(50)</t>
        </is>
      </c>
      <c r="D71" s="11" t="inlineStr">
        <is>
          <t>—</t>
        </is>
      </c>
      <c r="E71" s="11" t="inlineStr">
        <is>
          <t>No</t>
        </is>
      </c>
      <c r="F71" s="11" t="inlineStr">
        <is>
          <t>No</t>
        </is>
      </c>
      <c r="G71" s="11" t="inlineStr">
        <is>
          <t>'ACTIVE'</t>
        </is>
      </c>
      <c r="H71" s="11" t="inlineStr">
        <is>
          <t>CHECK (status IN ('ACTIVE', 'INACTIVE'))</t>
        </is>
      </c>
      <c r="I71" s="11" t="inlineStr">
        <is>
          <t>For the life of the system; archived, not deleted (SRS 4.3).</t>
        </is>
      </c>
      <c r="J71" s="11" t="inlineStr">
        <is>
          <t>access-service</t>
        </is>
      </c>
      <c r="K71" s="11" t="n"/>
    </row>
    <row r="72" ht="26.4" customHeight="1" s="31">
      <c r="A72" s="11" t="inlineStr">
        <is>
          <t>Plan (plans)</t>
        </is>
      </c>
      <c r="B72" s="11" t="inlineStr">
        <is>
          <t>created_at</t>
        </is>
      </c>
      <c r="C72" s="11" t="inlineStr">
        <is>
          <t>TIMESTAMPTZ</t>
        </is>
      </c>
      <c r="D72" s="11" t="inlineStr">
        <is>
          <t>—</t>
        </is>
      </c>
      <c r="E72" s="11" t="inlineStr">
        <is>
          <t>No</t>
        </is>
      </c>
      <c r="F72" s="11" t="inlineStr">
        <is>
          <t>No</t>
        </is>
      </c>
      <c r="G72" s="11" t="inlineStr">
        <is>
          <t>CURRENT_TIMESTAMP</t>
        </is>
      </c>
      <c r="H72" s="11" t="inlineStr">
        <is>
          <t>—</t>
        </is>
      </c>
      <c r="I72" s="11" t="inlineStr">
        <is>
          <t>For the life of the system; archived, not deleted (SRS 4.3).</t>
        </is>
      </c>
      <c r="J72" s="11" t="inlineStr">
        <is>
          <t>access-service</t>
        </is>
      </c>
      <c r="K72" s="11" t="n"/>
    </row>
    <row r="73" ht="26.4" customHeight="1" s="31">
      <c r="A73" s="11" t="inlineStr">
        <is>
          <t>Plan (plans)</t>
        </is>
      </c>
      <c r="B73" s="11" t="inlineStr">
        <is>
          <t>updated_at</t>
        </is>
      </c>
      <c r="C73" s="11" t="inlineStr">
        <is>
          <t>TIMESTAMPTZ</t>
        </is>
      </c>
      <c r="D73" s="11" t="inlineStr">
        <is>
          <t>—</t>
        </is>
      </c>
      <c r="E73" s="11" t="inlineStr">
        <is>
          <t>No</t>
        </is>
      </c>
      <c r="F73" s="11" t="inlineStr">
        <is>
          <t>No</t>
        </is>
      </c>
      <c r="G73" s="11" t="inlineStr">
        <is>
          <t>CURRENT_TIMESTAMP</t>
        </is>
      </c>
      <c r="H73" s="11" t="inlineStr">
        <is>
          <t>—</t>
        </is>
      </c>
      <c r="I73" s="11" t="inlineStr">
        <is>
          <t>For the life of the system; archived, not deleted (SRS 4.3).</t>
        </is>
      </c>
      <c r="J73" s="11" t="inlineStr">
        <is>
          <t>access-service</t>
        </is>
      </c>
      <c r="K73" s="11" t="n"/>
    </row>
    <row r="74" ht="26.4" customHeight="1" s="31">
      <c r="A74" s="13" t="inlineStr">
        <is>
          <t>Plan Feature (plan_features)</t>
        </is>
      </c>
      <c r="B74" s="12" t="inlineStr">
        <is>
          <t>id</t>
        </is>
      </c>
      <c r="C74" s="13" t="inlineStr">
        <is>
          <t>UUID</t>
        </is>
      </c>
      <c r="D74" s="13" t="inlineStr">
        <is>
          <t>PK</t>
        </is>
      </c>
      <c r="E74" s="13" t="inlineStr">
        <is>
          <t>No</t>
        </is>
      </c>
      <c r="F74" s="13" t="inlineStr">
        <is>
          <t>Yes</t>
        </is>
      </c>
      <c r="G74" s="13" t="inlineStr">
        <is>
          <t>gen_random_uuid()</t>
        </is>
      </c>
      <c r="H74" s="13" t="inlineStr">
        <is>
          <t>—</t>
        </is>
      </c>
      <c r="I74" s="13" t="inlineStr">
        <is>
          <t>For the life of the system; archived, not deleted (SRS 4.3).</t>
        </is>
      </c>
      <c r="J74" s="13" t="inlineStr">
        <is>
          <t>access-service</t>
        </is>
      </c>
      <c r="K74" s="13" t="inlineStr">
        <is>
          <t>Defines a feature entitlement and optional limit within a plan. Table plan_features; owner access-service; created in V1__create_access_tables.sql.</t>
        </is>
      </c>
    </row>
    <row r="75" ht="26.4" customHeight="1" s="31">
      <c r="A75" s="13" t="inlineStr">
        <is>
          <t>Plan Feature (plan_features)</t>
        </is>
      </c>
      <c r="B75" s="13" t="inlineStr">
        <is>
          <t>plan_id</t>
        </is>
      </c>
      <c r="C75" s="13" t="inlineStr">
        <is>
          <t>UUID</t>
        </is>
      </c>
      <c r="D75" s="13" t="inlineStr">
        <is>
          <t>FK→Plan.id</t>
        </is>
      </c>
      <c r="E75" s="13" t="inlineStr">
        <is>
          <t>No</t>
        </is>
      </c>
      <c r="F75" s="13" t="inlineStr">
        <is>
          <t>Composite (plan_id, feature_key)</t>
        </is>
      </c>
      <c r="G75" s="13" t="inlineStr">
        <is>
          <t>—</t>
        </is>
      </c>
      <c r="H75" s="13" t="inlineStr">
        <is>
          <t>—</t>
        </is>
      </c>
      <c r="I75" s="13" t="inlineStr">
        <is>
          <t>For the life of the system; archived, not deleted (SRS 4.3).</t>
        </is>
      </c>
      <c r="J75" s="13" t="inlineStr">
        <is>
          <t>access-service</t>
        </is>
      </c>
      <c r="K75" s="13" t="n"/>
    </row>
    <row r="76" ht="26.4" customHeight="1" s="31">
      <c r="A76" s="13" t="inlineStr">
        <is>
          <t>Plan Feature (plan_features)</t>
        </is>
      </c>
      <c r="B76" s="13" t="inlineStr">
        <is>
          <t>feature_key</t>
        </is>
      </c>
      <c r="C76" s="13" t="inlineStr">
        <is>
          <t>VARCHAR(100)</t>
        </is>
      </c>
      <c r="D76" s="13" t="inlineStr">
        <is>
          <t>—</t>
        </is>
      </c>
      <c r="E76" s="13" t="inlineStr">
        <is>
          <t>No</t>
        </is>
      </c>
      <c r="F76" s="13" t="inlineStr">
        <is>
          <t>Composite (plan_id, feature_key)</t>
        </is>
      </c>
      <c r="G76" s="13" t="inlineStr">
        <is>
          <t>—</t>
        </is>
      </c>
      <c r="H76" s="13" t="inlineStr">
        <is>
          <t>—</t>
        </is>
      </c>
      <c r="I76" s="13" t="inlineStr">
        <is>
          <t>For the life of the system; archived, not deleted (SRS 4.3).</t>
        </is>
      </c>
      <c r="J76" s="13" t="inlineStr">
        <is>
          <t>access-service</t>
        </is>
      </c>
      <c r="K76" s="13" t="n"/>
    </row>
    <row r="77" ht="39.6" customHeight="1" s="31">
      <c r="A77" s="13" t="inlineStr">
        <is>
          <t>Plan Feature (plan_features)</t>
        </is>
      </c>
      <c r="B77" s="13" t="inlineStr">
        <is>
          <t>is_enabled</t>
        </is>
      </c>
      <c r="C77" s="13" t="inlineStr">
        <is>
          <t>BOOLEAN</t>
        </is>
      </c>
      <c r="D77" s="13" t="inlineStr">
        <is>
          <t>—</t>
        </is>
      </c>
      <c r="E77" s="13" t="inlineStr">
        <is>
          <t>No</t>
        </is>
      </c>
      <c r="F77" s="13" t="inlineStr">
        <is>
          <t>No</t>
        </is>
      </c>
      <c r="G77" s="13" t="inlineStr">
        <is>
          <t>true</t>
        </is>
      </c>
      <c r="H77" s="13" t="inlineStr">
        <is>
          <t>—</t>
        </is>
      </c>
      <c r="I77" s="13" t="inlineStr">
        <is>
          <t>For the life of the system; archived, not deleted (SRS 4.3).</t>
        </is>
      </c>
      <c r="J77" s="13" t="inlineStr">
        <is>
          <t>access-service</t>
        </is>
      </c>
      <c r="K77" s="13" t="n"/>
    </row>
    <row r="78" ht="26.4" customHeight="1" s="31">
      <c r="A78" s="13" t="inlineStr">
        <is>
          <t>Plan Feature (plan_features)</t>
        </is>
      </c>
      <c r="B78" s="13" t="inlineStr">
        <is>
          <t>limit_value</t>
        </is>
      </c>
      <c r="C78" s="13" t="inlineStr">
        <is>
          <t>INT</t>
        </is>
      </c>
      <c r="D78" s="13" t="inlineStr">
        <is>
          <t>—</t>
        </is>
      </c>
      <c r="E78" s="13" t="inlineStr">
        <is>
          <t>Yes</t>
        </is>
      </c>
      <c r="F78" s="13" t="inlineStr">
        <is>
          <t>No</t>
        </is>
      </c>
      <c r="G78" s="13" t="inlineStr">
        <is>
          <t>NULL</t>
        </is>
      </c>
      <c r="H78" s="13" t="inlineStr">
        <is>
          <t>—</t>
        </is>
      </c>
      <c r="I78" s="13" t="inlineStr">
        <is>
          <t>For the life of the system; archived, not deleted (SRS 4.3).</t>
        </is>
      </c>
      <c r="J78" s="13" t="inlineStr">
        <is>
          <t>access-service</t>
        </is>
      </c>
      <c r="K78" s="13" t="n"/>
    </row>
    <row r="79" ht="26.4" customHeight="1" s="31">
      <c r="A79" s="13" t="inlineStr">
        <is>
          <t>Plan Feature (plan_features)</t>
        </is>
      </c>
      <c r="B79" s="13" t="inlineStr">
        <is>
          <t>config</t>
        </is>
      </c>
      <c r="C79" s="13" t="inlineStr">
        <is>
          <t>JSONB</t>
        </is>
      </c>
      <c r="D79" s="13" t="inlineStr">
        <is>
          <t>—</t>
        </is>
      </c>
      <c r="E79" s="13" t="inlineStr">
        <is>
          <t>Yes</t>
        </is>
      </c>
      <c r="F79" s="13" t="inlineStr">
        <is>
          <t>No</t>
        </is>
      </c>
      <c r="G79" s="13" t="inlineStr">
        <is>
          <t>NULL</t>
        </is>
      </c>
      <c r="H79" s="13" t="inlineStr">
        <is>
          <t>—</t>
        </is>
      </c>
      <c r="I79" s="13" t="inlineStr">
        <is>
          <t>For the life of the system; archived, not deleted (SRS 4.3).</t>
        </is>
      </c>
      <c r="J79" s="13" t="inlineStr">
        <is>
          <t>access-service</t>
        </is>
      </c>
      <c r="K79" s="13" t="n"/>
    </row>
    <row r="80" ht="26.4" customHeight="1" s="31">
      <c r="A80" s="13" t="inlineStr">
        <is>
          <t>Plan Feature (plan_features)</t>
        </is>
      </c>
      <c r="B80" s="13" t="inlineStr">
        <is>
          <t>created_at</t>
        </is>
      </c>
      <c r="C80" s="13" t="inlineStr">
        <is>
          <t>TIMESTAMPTZ</t>
        </is>
      </c>
      <c r="D80" s="13" t="inlineStr">
        <is>
          <t>—</t>
        </is>
      </c>
      <c r="E80" s="13" t="inlineStr">
        <is>
          <t>No</t>
        </is>
      </c>
      <c r="F80" s="13" t="inlineStr">
        <is>
          <t>No</t>
        </is>
      </c>
      <c r="G80" s="13" t="inlineStr">
        <is>
          <t>CURRENT_TIMESTAMP</t>
        </is>
      </c>
      <c r="H80" s="13" t="inlineStr">
        <is>
          <t>—</t>
        </is>
      </c>
      <c r="I80" s="13" t="inlineStr">
        <is>
          <t>For the life of the system; archived, not deleted (SRS 4.3).</t>
        </is>
      </c>
      <c r="J80" s="13" t="inlineStr">
        <is>
          <t>access-service</t>
        </is>
      </c>
      <c r="K80" s="13" t="n"/>
    </row>
    <row r="81" ht="26.4" customHeight="1" s="31">
      <c r="A81" s="13" t="inlineStr">
        <is>
          <t>Plan Feature (plan_features)</t>
        </is>
      </c>
      <c r="B81" s="13" t="inlineStr">
        <is>
          <t>updated_at</t>
        </is>
      </c>
      <c r="C81" s="13" t="inlineStr">
        <is>
          <t>TIMESTAMPTZ</t>
        </is>
      </c>
      <c r="D81" s="13" t="inlineStr">
        <is>
          <t>—</t>
        </is>
      </c>
      <c r="E81" s="13" t="inlineStr">
        <is>
          <t>No</t>
        </is>
      </c>
      <c r="F81" s="13" t="inlineStr">
        <is>
          <t>No</t>
        </is>
      </c>
      <c r="G81" s="13" t="inlineStr">
        <is>
          <t>CURRENT_TIMESTAMP</t>
        </is>
      </c>
      <c r="H81" s="13" t="inlineStr">
        <is>
          <t>—</t>
        </is>
      </c>
      <c r="I81" s="13" t="inlineStr">
        <is>
          <t>For the life of the system; archived, not deleted (SRS 4.3).</t>
        </is>
      </c>
      <c r="J81" s="13" t="inlineStr">
        <is>
          <t>access-service</t>
        </is>
      </c>
      <c r="K81" s="13" t="n"/>
    </row>
    <row r="82" ht="26.4" customHeight="1" s="31">
      <c r="A82" s="11" t="inlineStr">
        <is>
          <t>Subscription (subscriptions)</t>
        </is>
      </c>
      <c r="B82" s="10" t="inlineStr">
        <is>
          <t>id</t>
        </is>
      </c>
      <c r="C82" s="11" t="inlineStr">
        <is>
          <t>UUID</t>
        </is>
      </c>
      <c r="D82" s="11" t="inlineStr">
        <is>
          <t>PK</t>
        </is>
      </c>
      <c r="E82" s="11" t="inlineStr">
        <is>
          <t>No</t>
        </is>
      </c>
      <c r="F82" s="11" t="inlineStr">
        <is>
          <t>Yes</t>
        </is>
      </c>
      <c r="G82" s="11" t="inlineStr">
        <is>
          <t>gen_random_uuid()</t>
        </is>
      </c>
      <c r="H82" s="11" t="inlineStr">
        <is>
          <t>—</t>
        </is>
      </c>
      <c r="I82" s="11" t="inlineStr">
        <is>
          <t>5 years after the subscription ends (SRS 4.3).</t>
        </is>
      </c>
      <c r="J82" s="11" t="inlineStr">
        <is>
          <t>access-service</t>
        </is>
      </c>
      <c r="K82" s="11" t="inlineStr">
        <is>
          <t>Records a user's access to a plan for a period. Table subscriptions; owner access-service; created in V1__create_access_tables.sql.</t>
        </is>
      </c>
    </row>
    <row r="83" ht="26.4" customHeight="1" s="31">
      <c r="A83" s="11" t="inlineStr">
        <is>
          <t>Subscription (subscriptions)</t>
        </is>
      </c>
      <c r="B83" s="11" t="inlineStr">
        <is>
          <t>user_id</t>
        </is>
      </c>
      <c r="C83" s="11" t="inlineStr">
        <is>
          <t>UUID</t>
        </is>
      </c>
      <c r="D83" s="11" t="inlineStr">
        <is>
          <t>Ref→User (no FK)</t>
        </is>
      </c>
      <c r="E83" s="11" t="inlineStr">
        <is>
          <t>No</t>
        </is>
      </c>
      <c r="F83" s="11" t="inlineStr">
        <is>
          <t>No</t>
        </is>
      </c>
      <c r="G83" s="11" t="inlineStr">
        <is>
          <t>—</t>
        </is>
      </c>
      <c r="H83" s="11" t="inlineStr">
        <is>
          <t>—</t>
        </is>
      </c>
      <c r="I83" s="11" t="inlineStr">
        <is>
          <t>5 years after the subscription ends (SRS 4.3).</t>
        </is>
      </c>
      <c r="J83" s="11" t="inlineStr">
        <is>
          <t>access-service</t>
        </is>
      </c>
      <c r="K83" s="11" t="inlineStr">
        <is>
          <t>Stored id only; no SQL foreign key (cross-service or polymorphic).</t>
        </is>
      </c>
    </row>
    <row r="84" ht="26.4" customHeight="1" s="31">
      <c r="A84" s="11" t="inlineStr">
        <is>
          <t>Subscription (subscriptions)</t>
        </is>
      </c>
      <c r="B84" s="11" t="inlineStr">
        <is>
          <t>plan_id</t>
        </is>
      </c>
      <c r="C84" s="11" t="inlineStr">
        <is>
          <t>UUID</t>
        </is>
      </c>
      <c r="D84" s="11" t="inlineStr">
        <is>
          <t>FK→Plan.id</t>
        </is>
      </c>
      <c r="E84" s="11" t="inlineStr">
        <is>
          <t>No</t>
        </is>
      </c>
      <c r="F84" s="11" t="inlineStr">
        <is>
          <t>No</t>
        </is>
      </c>
      <c r="G84" s="11" t="inlineStr">
        <is>
          <t>—</t>
        </is>
      </c>
      <c r="H84" s="11" t="inlineStr">
        <is>
          <t>—</t>
        </is>
      </c>
      <c r="I84" s="11" t="inlineStr">
        <is>
          <t>5 years after the subscription ends (SRS 4.3).</t>
        </is>
      </c>
      <c r="J84" s="11" t="inlineStr">
        <is>
          <t>access-service</t>
        </is>
      </c>
      <c r="K84" s="11" t="n"/>
    </row>
    <row r="85" ht="26.4" customHeight="1" s="31">
      <c r="A85" s="11" t="inlineStr">
        <is>
          <t>Subscription (subscriptions)</t>
        </is>
      </c>
      <c r="B85" s="11" t="inlineStr">
        <is>
          <t>status</t>
        </is>
      </c>
      <c r="C85" s="11" t="inlineStr">
        <is>
          <t>VARCHAR(50)</t>
        </is>
      </c>
      <c r="D85" s="11" t="inlineStr">
        <is>
          <t>—</t>
        </is>
      </c>
      <c r="E85" s="11" t="inlineStr">
        <is>
          <t>No</t>
        </is>
      </c>
      <c r="F85" s="11" t="inlineStr">
        <is>
          <t>No</t>
        </is>
      </c>
      <c r="G85" s="11" t="inlineStr">
        <is>
          <t>—</t>
        </is>
      </c>
      <c r="H85" s="11" t="inlineStr">
        <is>
          <t>CHECK (status IN ('ACTIVE', 'EXPIRED', 'CANCELLED'))</t>
        </is>
      </c>
      <c r="I85" s="11" t="inlineStr">
        <is>
          <t>5 years after the subscription ends (SRS 4.3).</t>
        </is>
      </c>
      <c r="J85" s="11" t="inlineStr">
        <is>
          <t>access-service</t>
        </is>
      </c>
      <c r="K85" s="11" t="n"/>
    </row>
    <row r="86" ht="26.4" customHeight="1" s="31">
      <c r="A86" s="11" t="inlineStr">
        <is>
          <t>Subscription (subscriptions)</t>
        </is>
      </c>
      <c r="B86" s="11" t="inlineStr">
        <is>
          <t>starts_at</t>
        </is>
      </c>
      <c r="C86" s="11" t="inlineStr">
        <is>
          <t>TIMESTAMPTZ</t>
        </is>
      </c>
      <c r="D86" s="11" t="inlineStr">
        <is>
          <t>—</t>
        </is>
      </c>
      <c r="E86" s="11" t="inlineStr">
        <is>
          <t>No</t>
        </is>
      </c>
      <c r="F86" s="11" t="inlineStr">
        <is>
          <t>No</t>
        </is>
      </c>
      <c r="G86" s="11" t="inlineStr">
        <is>
          <t>—</t>
        </is>
      </c>
      <c r="H86" s="11" t="inlineStr">
        <is>
          <t>—</t>
        </is>
      </c>
      <c r="I86" s="11" t="inlineStr">
        <is>
          <t>5 years after the subscription ends (SRS 4.3).</t>
        </is>
      </c>
      <c r="J86" s="11" t="inlineStr">
        <is>
          <t>access-service</t>
        </is>
      </c>
      <c r="K86" s="11" t="n"/>
    </row>
    <row r="87" ht="26.4" customHeight="1" s="31">
      <c r="A87" s="11" t="inlineStr">
        <is>
          <t>Subscription (subscriptions)</t>
        </is>
      </c>
      <c r="B87" s="11" t="inlineStr">
        <is>
          <t>ends_at</t>
        </is>
      </c>
      <c r="C87" s="11" t="inlineStr">
        <is>
          <t>TIMESTAMPTZ</t>
        </is>
      </c>
      <c r="D87" s="11" t="inlineStr">
        <is>
          <t>—</t>
        </is>
      </c>
      <c r="E87" s="11" t="inlineStr">
        <is>
          <t>Yes</t>
        </is>
      </c>
      <c r="F87" s="11" t="inlineStr">
        <is>
          <t>No</t>
        </is>
      </c>
      <c r="G87" s="11" t="inlineStr">
        <is>
          <t>NULL</t>
        </is>
      </c>
      <c r="H87" s="11" t="inlineStr">
        <is>
          <t>—</t>
        </is>
      </c>
      <c r="I87" s="11" t="inlineStr">
        <is>
          <t>5 years after the subscription ends (SRS 4.3).</t>
        </is>
      </c>
      <c r="J87" s="11" t="inlineStr">
        <is>
          <t>access-service</t>
        </is>
      </c>
      <c r="K87" s="11" t="n"/>
    </row>
    <row r="88" ht="39.6" customHeight="1" s="31">
      <c r="A88" s="11" t="inlineStr">
        <is>
          <t>Subscription (subscriptions)</t>
        </is>
      </c>
      <c r="B88" s="11" t="inlineStr">
        <is>
          <t>source_type</t>
        </is>
      </c>
      <c r="C88" s="11" t="inlineStr">
        <is>
          <t>VARCHAR(50)</t>
        </is>
      </c>
      <c r="D88" s="11" t="inlineStr">
        <is>
          <t>—</t>
        </is>
      </c>
      <c r="E88" s="11" t="inlineStr">
        <is>
          <t>No</t>
        </is>
      </c>
      <c r="F88" s="11" t="inlineStr">
        <is>
          <t>No</t>
        </is>
      </c>
      <c r="G88" s="11" t="inlineStr">
        <is>
          <t>—</t>
        </is>
      </c>
      <c r="H88" s="11" t="inlineStr">
        <is>
          <t>CHECK (source_type IN ('ACTIVATION_KEY', 'ADMIN'))</t>
        </is>
      </c>
      <c r="I88" s="11" t="inlineStr">
        <is>
          <t>5 years after the subscription ends (SRS 4.3).</t>
        </is>
      </c>
      <c r="J88" s="11" t="inlineStr">
        <is>
          <t>access-service</t>
        </is>
      </c>
      <c r="K88" s="11" t="n"/>
    </row>
    <row r="89" ht="26.4" customHeight="1" s="31">
      <c r="A89" s="11" t="inlineStr">
        <is>
          <t>Subscription (subscriptions)</t>
        </is>
      </c>
      <c r="B89" s="11" t="inlineStr">
        <is>
          <t>source_reference_id</t>
        </is>
      </c>
      <c r="C89" s="11" t="inlineStr">
        <is>
          <t>UUID</t>
        </is>
      </c>
      <c r="D89" s="11" t="inlineStr">
        <is>
          <t>—</t>
        </is>
      </c>
      <c r="E89" s="11" t="inlineStr">
        <is>
          <t>Yes</t>
        </is>
      </c>
      <c r="F89" s="11" t="inlineStr">
        <is>
          <t>No</t>
        </is>
      </c>
      <c r="G89" s="11" t="inlineStr">
        <is>
          <t>NULL</t>
        </is>
      </c>
      <c r="H89" s="11" t="inlineStr">
        <is>
          <t>—</t>
        </is>
      </c>
      <c r="I89" s="11" t="inlineStr">
        <is>
          <t>5 years after the subscription ends (SRS 4.3).</t>
        </is>
      </c>
      <c r="J89" s="11" t="inlineStr">
        <is>
          <t>access-service</t>
        </is>
      </c>
      <c r="K89" s="11" t="n"/>
    </row>
    <row r="90" ht="26.4" customHeight="1" s="31">
      <c r="A90" s="11" t="inlineStr">
        <is>
          <t>Subscription (subscriptions)</t>
        </is>
      </c>
      <c r="B90" s="11" t="inlineStr">
        <is>
          <t>human_grading_credits_total</t>
        </is>
      </c>
      <c r="C90" s="11" t="inlineStr">
        <is>
          <t>INT</t>
        </is>
      </c>
      <c r="D90" s="11" t="inlineStr">
        <is>
          <t>—</t>
        </is>
      </c>
      <c r="E90" s="11" t="inlineStr">
        <is>
          <t>No</t>
        </is>
      </c>
      <c r="F90" s="11" t="inlineStr">
        <is>
          <t>No</t>
        </is>
      </c>
      <c r="G90" s="11" t="inlineStr">
        <is>
          <t>0</t>
        </is>
      </c>
      <c r="H90" s="11" t="inlineStr">
        <is>
          <t>CHECK (human_grading_credits_total &gt;= 0)</t>
        </is>
      </c>
      <c r="I90" s="11" t="inlineStr">
        <is>
          <t>5 years after the subscription ends (SRS 4.3).</t>
        </is>
      </c>
      <c r="J90" s="11" t="inlineStr">
        <is>
          <t>access-service</t>
        </is>
      </c>
      <c r="K90" s="11" t="n"/>
    </row>
    <row r="91" ht="26.4" customHeight="1" s="31">
      <c r="A91" s="11" t="inlineStr">
        <is>
          <t>Subscription (subscriptions)</t>
        </is>
      </c>
      <c r="B91" s="11" t="inlineStr">
        <is>
          <t>human_grading_credits_used</t>
        </is>
      </c>
      <c r="C91" s="11" t="inlineStr">
        <is>
          <t>INT</t>
        </is>
      </c>
      <c r="D91" s="11" t="inlineStr">
        <is>
          <t>—</t>
        </is>
      </c>
      <c r="E91" s="11" t="inlineStr">
        <is>
          <t>No</t>
        </is>
      </c>
      <c r="F91" s="11" t="inlineStr">
        <is>
          <t>No</t>
        </is>
      </c>
      <c r="G91" s="11" t="inlineStr">
        <is>
          <t>0</t>
        </is>
      </c>
      <c r="H91" s="11" t="inlineStr">
        <is>
          <t>CHECK (human_grading_credits_used &gt;= 0)</t>
        </is>
      </c>
      <c r="I91" s="11" t="inlineStr">
        <is>
          <t>5 years after the subscription ends (SRS 4.3).</t>
        </is>
      </c>
      <c r="J91" s="11" t="inlineStr">
        <is>
          <t>access-service</t>
        </is>
      </c>
      <c r="K91" s="11" t="n"/>
    </row>
    <row r="92" ht="26.4" customHeight="1" s="31">
      <c r="A92" s="11" t="inlineStr">
        <is>
          <t>Subscription (subscriptions)</t>
        </is>
      </c>
      <c r="B92" s="11" t="inlineStr">
        <is>
          <t>cancelled_at</t>
        </is>
      </c>
      <c r="C92" s="11" t="inlineStr">
        <is>
          <t>TIMESTAMPTZ</t>
        </is>
      </c>
      <c r="D92" s="11" t="inlineStr">
        <is>
          <t>—</t>
        </is>
      </c>
      <c r="E92" s="11" t="inlineStr">
        <is>
          <t>Yes</t>
        </is>
      </c>
      <c r="F92" s="11" t="inlineStr">
        <is>
          <t>No</t>
        </is>
      </c>
      <c r="G92" s="11" t="inlineStr">
        <is>
          <t>NULL</t>
        </is>
      </c>
      <c r="H92" s="11" t="inlineStr">
        <is>
          <t>—</t>
        </is>
      </c>
      <c r="I92" s="11" t="inlineStr">
        <is>
          <t>5 years after the subscription ends (SRS 4.3).</t>
        </is>
      </c>
      <c r="J92" s="11" t="inlineStr">
        <is>
          <t>access-service</t>
        </is>
      </c>
      <c r="K92" s="11" t="n"/>
    </row>
    <row r="93" ht="26.4" customHeight="1" s="31">
      <c r="A93" s="11" t="inlineStr">
        <is>
          <t>Subscription (subscriptions)</t>
        </is>
      </c>
      <c r="B93" s="11" t="inlineStr">
        <is>
          <t>row_version</t>
        </is>
      </c>
      <c r="C93" s="11" t="inlineStr">
        <is>
          <t>BIGINT</t>
        </is>
      </c>
      <c r="D93" s="11" t="inlineStr">
        <is>
          <t>—</t>
        </is>
      </c>
      <c r="E93" s="11" t="inlineStr">
        <is>
          <t>No</t>
        </is>
      </c>
      <c r="F93" s="11" t="inlineStr">
        <is>
          <t>No</t>
        </is>
      </c>
      <c r="G93" s="11" t="inlineStr">
        <is>
          <t>0</t>
        </is>
      </c>
      <c r="H93" s="11" t="inlineStr">
        <is>
          <t>—</t>
        </is>
      </c>
      <c r="I93" s="11" t="inlineStr">
        <is>
          <t>5 years after the subscription ends (SRS 4.3).</t>
        </is>
      </c>
      <c r="J93" s="11" t="inlineStr">
        <is>
          <t>access-service</t>
        </is>
      </c>
      <c r="K93" s="11" t="n"/>
    </row>
    <row r="94" ht="26.4" customHeight="1" s="31">
      <c r="A94" s="11" t="inlineStr">
        <is>
          <t>Subscription (subscriptions)</t>
        </is>
      </c>
      <c r="B94" s="11" t="inlineStr">
        <is>
          <t>created_at</t>
        </is>
      </c>
      <c r="C94" s="11" t="inlineStr">
        <is>
          <t>TIMESTAMPTZ</t>
        </is>
      </c>
      <c r="D94" s="11" t="inlineStr">
        <is>
          <t>—</t>
        </is>
      </c>
      <c r="E94" s="11" t="inlineStr">
        <is>
          <t>No</t>
        </is>
      </c>
      <c r="F94" s="11" t="inlineStr">
        <is>
          <t>No</t>
        </is>
      </c>
      <c r="G94" s="11" t="inlineStr">
        <is>
          <t>CURRENT_TIMESTAMP</t>
        </is>
      </c>
      <c r="H94" s="11" t="inlineStr">
        <is>
          <t>—</t>
        </is>
      </c>
      <c r="I94" s="11" t="inlineStr">
        <is>
          <t>5 years after the subscription ends (SRS 4.3).</t>
        </is>
      </c>
      <c r="J94" s="11" t="inlineStr">
        <is>
          <t>access-service</t>
        </is>
      </c>
      <c r="K94" s="11" t="n"/>
    </row>
    <row r="95" ht="26.4" customHeight="1" s="31">
      <c r="A95" s="11" t="inlineStr">
        <is>
          <t>Subscription (subscriptions)</t>
        </is>
      </c>
      <c r="B95" s="11" t="inlineStr">
        <is>
          <t>updated_at</t>
        </is>
      </c>
      <c r="C95" s="11" t="inlineStr">
        <is>
          <t>TIMESTAMPTZ</t>
        </is>
      </c>
      <c r="D95" s="11" t="inlineStr">
        <is>
          <t>—</t>
        </is>
      </c>
      <c r="E95" s="11" t="inlineStr">
        <is>
          <t>No</t>
        </is>
      </c>
      <c r="F95" s="11" t="inlineStr">
        <is>
          <t>No</t>
        </is>
      </c>
      <c r="G95" s="11" t="inlineStr">
        <is>
          <t>CURRENT_TIMESTAMP</t>
        </is>
      </c>
      <c r="H95" s="11" t="inlineStr">
        <is>
          <t>—</t>
        </is>
      </c>
      <c r="I95" s="11" t="inlineStr">
        <is>
          <t>5 years after the subscription ends (SRS 4.3).</t>
        </is>
      </c>
      <c r="J95" s="11" t="inlineStr">
        <is>
          <t>access-service</t>
        </is>
      </c>
      <c r="K95" s="11" t="n"/>
    </row>
    <row r="96" ht="26.4" customHeight="1" s="31">
      <c r="A96" s="13" t="inlineStr">
        <is>
          <t>Key Product (key_products)</t>
        </is>
      </c>
      <c r="B96" s="12" t="inlineStr">
        <is>
          <t>id</t>
        </is>
      </c>
      <c r="C96" s="13" t="inlineStr">
        <is>
          <t>UUID</t>
        </is>
      </c>
      <c r="D96" s="13" t="inlineStr">
        <is>
          <t>PK</t>
        </is>
      </c>
      <c r="E96" s="13" t="inlineStr">
        <is>
          <t>No</t>
        </is>
      </c>
      <c r="F96" s="13" t="inlineStr">
        <is>
          <t>Yes</t>
        </is>
      </c>
      <c r="G96" s="13" t="inlineStr">
        <is>
          <t>gen_random_uuid()</t>
        </is>
      </c>
      <c r="H96" s="13" t="inlineStr">
        <is>
          <t>—</t>
        </is>
      </c>
      <c r="I96" s="13" t="inlineStr">
        <is>
          <t>For the life of the system; archived, not deleted (SRS 4.3).</t>
        </is>
      </c>
      <c r="J96" s="13" t="inlineStr">
        <is>
          <t>access-service</t>
        </is>
      </c>
      <c r="K96" s="13" t="inlineStr">
        <is>
          <t>Defines the points or plan benefits granted by an activation key. Table key_products; owner access-service; created in V1__create_access_tables.sql.</t>
        </is>
      </c>
    </row>
    <row r="97" ht="39.6" customHeight="1" s="31">
      <c r="A97" s="13" t="inlineStr">
        <is>
          <t>Key Product (key_products)</t>
        </is>
      </c>
      <c r="B97" s="13" t="inlineStr">
        <is>
          <t>code</t>
        </is>
      </c>
      <c r="C97" s="13" t="inlineStr">
        <is>
          <t>VARCHAR(100)</t>
        </is>
      </c>
      <c r="D97" s="13" t="inlineStr">
        <is>
          <t>—</t>
        </is>
      </c>
      <c r="E97" s="13" t="inlineStr">
        <is>
          <t>No</t>
        </is>
      </c>
      <c r="F97" s="13" t="inlineStr">
        <is>
          <t>Yes</t>
        </is>
      </c>
      <c r="G97" s="13" t="inlineStr">
        <is>
          <t>—</t>
        </is>
      </c>
      <c r="H97" s="13" t="inlineStr">
        <is>
          <t>—</t>
        </is>
      </c>
      <c r="I97" s="13" t="inlineStr">
        <is>
          <t>For the life of the system; archived, not deleted (SRS 4.3).</t>
        </is>
      </c>
      <c r="J97" s="13" t="inlineStr">
        <is>
          <t>access-service</t>
        </is>
      </c>
      <c r="K97" s="13" t="n"/>
    </row>
    <row r="98" ht="26.4" customHeight="1" s="31">
      <c r="A98" s="13" t="inlineStr">
        <is>
          <t>Key Product (key_products)</t>
        </is>
      </c>
      <c r="B98" s="13" t="inlineStr">
        <is>
          <t>name</t>
        </is>
      </c>
      <c r="C98" s="13" t="inlineStr">
        <is>
          <t>VARCHAR(150)</t>
        </is>
      </c>
      <c r="D98" s="13" t="inlineStr">
        <is>
          <t>—</t>
        </is>
      </c>
      <c r="E98" s="13" t="inlineStr">
        <is>
          <t>No</t>
        </is>
      </c>
      <c r="F98" s="13" t="inlineStr">
        <is>
          <t>No</t>
        </is>
      </c>
      <c r="G98" s="13" t="inlineStr">
        <is>
          <t>—</t>
        </is>
      </c>
      <c r="H98" s="13" t="inlineStr">
        <is>
          <t>—</t>
        </is>
      </c>
      <c r="I98" s="13" t="inlineStr">
        <is>
          <t>For the life of the system; archived, not deleted (SRS 4.3).</t>
        </is>
      </c>
      <c r="J98" s="13" t="inlineStr">
        <is>
          <t>access-service</t>
        </is>
      </c>
      <c r="K98" s="13" t="n"/>
    </row>
    <row r="99" ht="26.4" customHeight="1" s="31">
      <c r="A99" s="13" t="inlineStr">
        <is>
          <t>Key Product (key_products)</t>
        </is>
      </c>
      <c r="B99" s="13" t="inlineStr">
        <is>
          <t>key_type</t>
        </is>
      </c>
      <c r="C99" s="13" t="inlineStr">
        <is>
          <t>VARCHAR(50)</t>
        </is>
      </c>
      <c r="D99" s="13" t="inlineStr">
        <is>
          <t>—</t>
        </is>
      </c>
      <c r="E99" s="13" t="inlineStr">
        <is>
          <t>No</t>
        </is>
      </c>
      <c r="F99" s="13" t="inlineStr">
        <is>
          <t>No</t>
        </is>
      </c>
      <c r="G99" s="13" t="inlineStr">
        <is>
          <t>—</t>
        </is>
      </c>
      <c r="H99" s="13" t="inlineStr">
        <is>
          <t>CHECK (key_type IN ('POINTS', 'PREMIUM'))</t>
        </is>
      </c>
      <c r="I99" s="13" t="inlineStr">
        <is>
          <t>For the life of the system; archived, not deleted (SRS 4.3).</t>
        </is>
      </c>
      <c r="J99" s="13" t="inlineStr">
        <is>
          <t>access-service</t>
        </is>
      </c>
      <c r="K99" s="13" t="n"/>
    </row>
    <row r="100" ht="26.4" customHeight="1" s="31">
      <c r="A100" s="13" t="inlineStr">
        <is>
          <t>Key Product (key_products)</t>
        </is>
      </c>
      <c r="B100" s="13" t="inlineStr">
        <is>
          <t>points_amount</t>
        </is>
      </c>
      <c r="C100" s="13" t="inlineStr">
        <is>
          <t>INT</t>
        </is>
      </c>
      <c r="D100" s="13" t="inlineStr">
        <is>
          <t>—</t>
        </is>
      </c>
      <c r="E100" s="13" t="inlineStr">
        <is>
          <t>Yes</t>
        </is>
      </c>
      <c r="F100" s="13" t="inlineStr">
        <is>
          <t>No</t>
        </is>
      </c>
      <c r="G100" s="13" t="inlineStr">
        <is>
          <t>NULL</t>
        </is>
      </c>
      <c r="H100" s="13" t="inlineStr">
        <is>
          <t>—</t>
        </is>
      </c>
      <c r="I100" s="13" t="inlineStr">
        <is>
          <t>For the life of the system; archived, not deleted (SRS 4.3).</t>
        </is>
      </c>
      <c r="J100" s="13" t="inlineStr">
        <is>
          <t>access-service</t>
        </is>
      </c>
      <c r="K100" s="13" t="n"/>
    </row>
    <row r="101" ht="26.4" customHeight="1" s="31">
      <c r="A101" s="13" t="inlineStr">
        <is>
          <t>Key Product (key_products)</t>
        </is>
      </c>
      <c r="B101" s="13" t="inlineStr">
        <is>
          <t>plan_id</t>
        </is>
      </c>
      <c r="C101" s="13" t="inlineStr">
        <is>
          <t>UUID</t>
        </is>
      </c>
      <c r="D101" s="13" t="inlineStr">
        <is>
          <t>FK→Plan.id</t>
        </is>
      </c>
      <c r="E101" s="13" t="inlineStr">
        <is>
          <t>Yes</t>
        </is>
      </c>
      <c r="F101" s="13" t="inlineStr">
        <is>
          <t>No</t>
        </is>
      </c>
      <c r="G101" s="13" t="inlineStr">
        <is>
          <t>NULL</t>
        </is>
      </c>
      <c r="H101" s="13" t="inlineStr">
        <is>
          <t>—</t>
        </is>
      </c>
      <c r="I101" s="13" t="inlineStr">
        <is>
          <t>For the life of the system; archived, not deleted (SRS 4.3).</t>
        </is>
      </c>
      <c r="J101" s="13" t="inlineStr">
        <is>
          <t>access-service</t>
        </is>
      </c>
      <c r="K101" s="13" t="n"/>
    </row>
    <row r="102" ht="26.4" customHeight="1" s="31">
      <c r="A102" s="13" t="inlineStr">
        <is>
          <t>Key Product (key_products)</t>
        </is>
      </c>
      <c r="B102" s="13" t="inlineStr">
        <is>
          <t>premium_days</t>
        </is>
      </c>
      <c r="C102" s="13" t="inlineStr">
        <is>
          <t>INT</t>
        </is>
      </c>
      <c r="D102" s="13" t="inlineStr">
        <is>
          <t>—</t>
        </is>
      </c>
      <c r="E102" s="13" t="inlineStr">
        <is>
          <t>Yes</t>
        </is>
      </c>
      <c r="F102" s="13" t="inlineStr">
        <is>
          <t>No</t>
        </is>
      </c>
      <c r="G102" s="13" t="inlineStr">
        <is>
          <t>NULL</t>
        </is>
      </c>
      <c r="H102" s="13" t="inlineStr">
        <is>
          <t>—</t>
        </is>
      </c>
      <c r="I102" s="13" t="inlineStr">
        <is>
          <t>For the life of the system; archived, not deleted (SRS 4.3).</t>
        </is>
      </c>
      <c r="J102" s="13" t="inlineStr">
        <is>
          <t>access-service</t>
        </is>
      </c>
      <c r="K102" s="13" t="n"/>
    </row>
    <row r="103" ht="26.4" customHeight="1" s="31">
      <c r="A103" s="13" t="inlineStr">
        <is>
          <t>Key Product (key_products)</t>
        </is>
      </c>
      <c r="B103" s="13" t="inlineStr">
        <is>
          <t>human_grading_credits</t>
        </is>
      </c>
      <c r="C103" s="13" t="inlineStr">
        <is>
          <t>INT</t>
        </is>
      </c>
      <c r="D103" s="13" t="inlineStr">
        <is>
          <t>—</t>
        </is>
      </c>
      <c r="E103" s="13" t="inlineStr">
        <is>
          <t>Yes</t>
        </is>
      </c>
      <c r="F103" s="13" t="inlineStr">
        <is>
          <t>No</t>
        </is>
      </c>
      <c r="G103" s="13" t="inlineStr">
        <is>
          <t>NULL</t>
        </is>
      </c>
      <c r="H103" s="13" t="inlineStr">
        <is>
          <t>—</t>
        </is>
      </c>
      <c r="I103" s="13" t="inlineStr">
        <is>
          <t>For the life of the system; archived, not deleted (SRS 4.3).</t>
        </is>
      </c>
      <c r="J103" s="13" t="inlineStr">
        <is>
          <t>access-service</t>
        </is>
      </c>
      <c r="K103" s="13" t="n"/>
    </row>
    <row r="104" ht="26.4" customHeight="1" s="31">
      <c r="A104" s="13" t="inlineStr">
        <is>
          <t>Key Product (key_products)</t>
        </is>
      </c>
      <c r="B104" s="13" t="inlineStr">
        <is>
          <t>status</t>
        </is>
      </c>
      <c r="C104" s="13" t="inlineStr">
        <is>
          <t>VARCHAR(50)</t>
        </is>
      </c>
      <c r="D104" s="13" t="inlineStr">
        <is>
          <t>—</t>
        </is>
      </c>
      <c r="E104" s="13" t="inlineStr">
        <is>
          <t>No</t>
        </is>
      </c>
      <c r="F104" s="13" t="inlineStr">
        <is>
          <t>No</t>
        </is>
      </c>
      <c r="G104" s="13" t="inlineStr">
        <is>
          <t>'ACTIVE'</t>
        </is>
      </c>
      <c r="H104" s="13" t="inlineStr">
        <is>
          <t>CHECK (status IN ('ACTIVE', 'INACTIVE'))</t>
        </is>
      </c>
      <c r="I104" s="13" t="inlineStr">
        <is>
          <t>For the life of the system; archived, not deleted (SRS 4.3).</t>
        </is>
      </c>
      <c r="J104" s="13" t="inlineStr">
        <is>
          <t>access-service</t>
        </is>
      </c>
      <c r="K104" s="13" t="n"/>
    </row>
    <row r="105" ht="26.4" customHeight="1" s="31">
      <c r="A105" s="13" t="inlineStr">
        <is>
          <t>Key Product (key_products)</t>
        </is>
      </c>
      <c r="B105" s="13" t="inlineStr">
        <is>
          <t>created_at</t>
        </is>
      </c>
      <c r="C105" s="13" t="inlineStr">
        <is>
          <t>TIMESTAMPTZ</t>
        </is>
      </c>
      <c r="D105" s="13" t="inlineStr">
        <is>
          <t>—</t>
        </is>
      </c>
      <c r="E105" s="13" t="inlineStr">
        <is>
          <t>No</t>
        </is>
      </c>
      <c r="F105" s="13" t="inlineStr">
        <is>
          <t>No</t>
        </is>
      </c>
      <c r="G105" s="13" t="inlineStr">
        <is>
          <t>CURRENT_TIMESTAMP</t>
        </is>
      </c>
      <c r="H105" s="13" t="inlineStr">
        <is>
          <t>—</t>
        </is>
      </c>
      <c r="I105" s="13" t="inlineStr">
        <is>
          <t>For the life of the system; archived, not deleted (SRS 4.3).</t>
        </is>
      </c>
      <c r="J105" s="13" t="inlineStr">
        <is>
          <t>access-service</t>
        </is>
      </c>
      <c r="K105" s="13" t="n"/>
    </row>
    <row r="106" ht="52.8" customHeight="1" s="31">
      <c r="A106" s="13" t="inlineStr">
        <is>
          <t>Key Product (key_products)</t>
        </is>
      </c>
      <c r="B106" s="13" t="inlineStr">
        <is>
          <t>updated_at</t>
        </is>
      </c>
      <c r="C106" s="13" t="inlineStr">
        <is>
          <t>TIMESTAMPTZ</t>
        </is>
      </c>
      <c r="D106" s="13" t="inlineStr">
        <is>
          <t>—</t>
        </is>
      </c>
      <c r="E106" s="13" t="inlineStr">
        <is>
          <t>No</t>
        </is>
      </c>
      <c r="F106" s="13" t="inlineStr">
        <is>
          <t>No</t>
        </is>
      </c>
      <c r="G106" s="13" t="inlineStr">
        <is>
          <t>CURRENT_TIMESTAMP</t>
        </is>
      </c>
      <c r="H106" s="13" t="inlineStr">
        <is>
          <t>—</t>
        </is>
      </c>
      <c r="I106" s="13" t="inlineStr">
        <is>
          <t>For the life of the system; archived, not deleted (SRS 4.3).</t>
        </is>
      </c>
      <c r="J106" s="13" t="inlineStr">
        <is>
          <t>access-service</t>
        </is>
      </c>
      <c r="K106" s="13" t="n"/>
    </row>
    <row r="107" ht="26.4" customHeight="1" s="31">
      <c r="A107" s="11" t="inlineStr">
        <is>
          <t>Activation Key (activation_keys)</t>
        </is>
      </c>
      <c r="B107" s="10" t="inlineStr">
        <is>
          <t>id</t>
        </is>
      </c>
      <c r="C107" s="11" t="inlineStr">
        <is>
          <t>UUID</t>
        </is>
      </c>
      <c r="D107" s="11" t="inlineStr">
        <is>
          <t>PK</t>
        </is>
      </c>
      <c r="E107" s="11" t="inlineStr">
        <is>
          <t>No</t>
        </is>
      </c>
      <c r="F107" s="11" t="inlineStr">
        <is>
          <t>Yes</t>
        </is>
      </c>
      <c r="G107" s="11" t="inlineStr">
        <is>
          <t>gen_random_uuid()</t>
        </is>
      </c>
      <c r="H107" s="11" t="inlineStr">
        <is>
          <t>—</t>
        </is>
      </c>
      <c r="I107" s="11" t="inlineStr">
        <is>
          <t>5 years after the key is issued (SRS 4.3).</t>
        </is>
      </c>
      <c r="J107" s="11" t="inlineStr">
        <is>
          <t>access-service</t>
        </is>
      </c>
      <c r="K107" s="11" t="inlineStr">
        <is>
          <t>Represents a redeemable code issued for a key product. Table activation_keys; owner access-service; created in V1__create_access_tables.sql.</t>
        </is>
      </c>
    </row>
    <row r="108" ht="26.4" customHeight="1" s="31">
      <c r="A108" s="11" t="inlineStr">
        <is>
          <t>Activation Key (activation_keys)</t>
        </is>
      </c>
      <c r="B108" s="11" t="inlineStr">
        <is>
          <t>product_id</t>
        </is>
      </c>
      <c r="C108" s="11" t="inlineStr">
        <is>
          <t>UUID</t>
        </is>
      </c>
      <c r="D108" s="11" t="inlineStr">
        <is>
          <t>FK→Key Product.id</t>
        </is>
      </c>
      <c r="E108" s="11" t="inlineStr">
        <is>
          <t>No</t>
        </is>
      </c>
      <c r="F108" s="11" t="inlineStr">
        <is>
          <t>No</t>
        </is>
      </c>
      <c r="G108" s="11" t="inlineStr">
        <is>
          <t>—</t>
        </is>
      </c>
      <c r="H108" s="11" t="inlineStr">
        <is>
          <t>—</t>
        </is>
      </c>
      <c r="I108" s="11" t="inlineStr">
        <is>
          <t>5 years after the key is issued (SRS 4.3).</t>
        </is>
      </c>
      <c r="J108" s="11" t="inlineStr">
        <is>
          <t>access-service</t>
        </is>
      </c>
      <c r="K108" s="11" t="n"/>
    </row>
    <row r="109" ht="26.4" customHeight="1" s="31">
      <c r="A109" s="11" t="inlineStr">
        <is>
          <t>Activation Key (activation_keys)</t>
        </is>
      </c>
      <c r="B109" s="11" t="inlineStr">
        <is>
          <t>code_hash</t>
        </is>
      </c>
      <c r="C109" s="11" t="inlineStr">
        <is>
          <t>VARCHAR(128)</t>
        </is>
      </c>
      <c r="D109" s="11" t="inlineStr">
        <is>
          <t>—</t>
        </is>
      </c>
      <c r="E109" s="11" t="inlineStr">
        <is>
          <t>No</t>
        </is>
      </c>
      <c r="F109" s="11" t="inlineStr">
        <is>
          <t>Yes</t>
        </is>
      </c>
      <c r="G109" s="11" t="inlineStr">
        <is>
          <t>—</t>
        </is>
      </c>
      <c r="H109" s="11" t="inlineStr">
        <is>
          <t>—</t>
        </is>
      </c>
      <c r="I109" s="11" t="inlineStr">
        <is>
          <t>5 years after the key is issued (SRS 4.3).</t>
        </is>
      </c>
      <c r="J109" s="11" t="inlineStr">
        <is>
          <t>access-service</t>
        </is>
      </c>
      <c r="K109" s="11" t="n"/>
    </row>
    <row r="110" ht="26.4" customHeight="1" s="31">
      <c r="A110" s="11" t="inlineStr">
        <is>
          <t>Activation Key (activation_keys)</t>
        </is>
      </c>
      <c r="B110" s="11" t="inlineStr">
        <is>
          <t>code_hint</t>
        </is>
      </c>
      <c r="C110" s="11" t="inlineStr">
        <is>
          <t>VARCHAR(20)</t>
        </is>
      </c>
      <c r="D110" s="11" t="inlineStr">
        <is>
          <t>—</t>
        </is>
      </c>
      <c r="E110" s="11" t="inlineStr">
        <is>
          <t>Yes</t>
        </is>
      </c>
      <c r="F110" s="11" t="inlineStr">
        <is>
          <t>No</t>
        </is>
      </c>
      <c r="G110" s="11" t="inlineStr">
        <is>
          <t>NULL</t>
        </is>
      </c>
      <c r="H110" s="11" t="inlineStr">
        <is>
          <t>—</t>
        </is>
      </c>
      <c r="I110" s="11" t="inlineStr">
        <is>
          <t>5 years after the key is issued (SRS 4.3).</t>
        </is>
      </c>
      <c r="J110" s="11" t="inlineStr">
        <is>
          <t>access-service</t>
        </is>
      </c>
      <c r="K110" s="11" t="n"/>
    </row>
    <row r="111" ht="26.4" customHeight="1" s="31">
      <c r="A111" s="11" t="inlineStr">
        <is>
          <t>Activation Key (activation_keys)</t>
        </is>
      </c>
      <c r="B111" s="11" t="inlineStr">
        <is>
          <t>status</t>
        </is>
      </c>
      <c r="C111" s="11" t="inlineStr">
        <is>
          <t>VARCHAR(50)</t>
        </is>
      </c>
      <c r="D111" s="11" t="inlineStr">
        <is>
          <t>—</t>
        </is>
      </c>
      <c r="E111" s="11" t="inlineStr">
        <is>
          <t>No</t>
        </is>
      </c>
      <c r="F111" s="11" t="inlineStr">
        <is>
          <t>No</t>
        </is>
      </c>
      <c r="G111" s="11" t="inlineStr">
        <is>
          <t>'ACTIVE'</t>
        </is>
      </c>
      <c r="H111" s="11" t="inlineStr">
        <is>
          <t>CHECK (status IN ('ACTIVE', 'REDEEMED', 'REVOKED', 'EXPIRED'))</t>
        </is>
      </c>
      <c r="I111" s="11" t="inlineStr">
        <is>
          <t>5 years after the key is issued (SRS 4.3).</t>
        </is>
      </c>
      <c r="J111" s="11" t="inlineStr">
        <is>
          <t>access-service</t>
        </is>
      </c>
      <c r="K111" s="11" t="n"/>
    </row>
    <row r="112" ht="39.6" customHeight="1" s="31">
      <c r="A112" s="11" t="inlineStr">
        <is>
          <t>Activation Key (activation_keys)</t>
        </is>
      </c>
      <c r="B112" s="11" t="inlineStr">
        <is>
          <t>expires_at</t>
        </is>
      </c>
      <c r="C112" s="11" t="inlineStr">
        <is>
          <t>TIMESTAMPTZ</t>
        </is>
      </c>
      <c r="D112" s="11" t="inlineStr">
        <is>
          <t>—</t>
        </is>
      </c>
      <c r="E112" s="11" t="inlineStr">
        <is>
          <t>Yes</t>
        </is>
      </c>
      <c r="F112" s="11" t="inlineStr">
        <is>
          <t>No</t>
        </is>
      </c>
      <c r="G112" s="11" t="inlineStr">
        <is>
          <t>NULL</t>
        </is>
      </c>
      <c r="H112" s="11" t="inlineStr">
        <is>
          <t>—</t>
        </is>
      </c>
      <c r="I112" s="11" t="inlineStr">
        <is>
          <t>5 years after the key is issued (SRS 4.3).</t>
        </is>
      </c>
      <c r="J112" s="11" t="inlineStr">
        <is>
          <t>access-service</t>
        </is>
      </c>
      <c r="K112" s="11" t="n"/>
    </row>
    <row r="113" ht="26.4" customHeight="1" s="31">
      <c r="A113" s="11" t="inlineStr">
        <is>
          <t>Activation Key (activation_keys)</t>
        </is>
      </c>
      <c r="B113" s="11" t="inlineStr">
        <is>
          <t>created_by</t>
        </is>
      </c>
      <c r="C113" s="11" t="inlineStr">
        <is>
          <t>UUID</t>
        </is>
      </c>
      <c r="D113" s="11" t="inlineStr">
        <is>
          <t>—</t>
        </is>
      </c>
      <c r="E113" s="11" t="inlineStr">
        <is>
          <t>Yes</t>
        </is>
      </c>
      <c r="F113" s="11" t="inlineStr">
        <is>
          <t>No</t>
        </is>
      </c>
      <c r="G113" s="11" t="inlineStr">
        <is>
          <t>NULL</t>
        </is>
      </c>
      <c r="H113" s="11" t="inlineStr">
        <is>
          <t>—</t>
        </is>
      </c>
      <c r="I113" s="11" t="inlineStr">
        <is>
          <t>5 years after the key is issued (SRS 4.3).</t>
        </is>
      </c>
      <c r="J113" s="11" t="inlineStr">
        <is>
          <t>access-service</t>
        </is>
      </c>
      <c r="K113" s="11" t="n"/>
    </row>
    <row r="114" ht="26.4" customHeight="1" s="31">
      <c r="A114" s="11" t="inlineStr">
        <is>
          <t>Activation Key (activation_keys)</t>
        </is>
      </c>
      <c r="B114" s="11" t="inlineStr">
        <is>
          <t>created_at</t>
        </is>
      </c>
      <c r="C114" s="11" t="inlineStr">
        <is>
          <t>TIMESTAMPTZ</t>
        </is>
      </c>
      <c r="D114" s="11" t="inlineStr">
        <is>
          <t>—</t>
        </is>
      </c>
      <c r="E114" s="11" t="inlineStr">
        <is>
          <t>No</t>
        </is>
      </c>
      <c r="F114" s="11" t="inlineStr">
        <is>
          <t>No</t>
        </is>
      </c>
      <c r="G114" s="11" t="inlineStr">
        <is>
          <t>CURRENT_TIMESTAMP</t>
        </is>
      </c>
      <c r="H114" s="11" t="inlineStr">
        <is>
          <t>—</t>
        </is>
      </c>
      <c r="I114" s="11" t="inlineStr">
        <is>
          <t>5 years after the key is issued (SRS 4.3).</t>
        </is>
      </c>
      <c r="J114" s="11" t="inlineStr">
        <is>
          <t>access-service</t>
        </is>
      </c>
      <c r="K114" s="11" t="n"/>
    </row>
    <row r="115" ht="26.4" customHeight="1" s="31">
      <c r="A115" s="11" t="inlineStr">
        <is>
          <t>Activation Key (activation_keys)</t>
        </is>
      </c>
      <c r="B115" s="11" t="inlineStr">
        <is>
          <t>redeemed_at</t>
        </is>
      </c>
      <c r="C115" s="11" t="inlineStr">
        <is>
          <t>TIMESTAMPTZ</t>
        </is>
      </c>
      <c r="D115" s="11" t="inlineStr">
        <is>
          <t>—</t>
        </is>
      </c>
      <c r="E115" s="11" t="inlineStr">
        <is>
          <t>Yes</t>
        </is>
      </c>
      <c r="F115" s="11" t="inlineStr">
        <is>
          <t>No</t>
        </is>
      </c>
      <c r="G115" s="11" t="inlineStr">
        <is>
          <t>NULL</t>
        </is>
      </c>
      <c r="H115" s="11" t="inlineStr">
        <is>
          <t>—</t>
        </is>
      </c>
      <c r="I115" s="11" t="inlineStr">
        <is>
          <t>5 years after the key is issued (SRS 4.3).</t>
        </is>
      </c>
      <c r="J115" s="11" t="inlineStr">
        <is>
          <t>access-service</t>
        </is>
      </c>
      <c r="K115" s="11" t="n"/>
    </row>
    <row r="116" ht="39.6" customHeight="1" s="31">
      <c r="A116" s="13" t="inlineStr">
        <is>
          <t>Key Activation (key_activations)</t>
        </is>
      </c>
      <c r="B116" s="12" t="inlineStr">
        <is>
          <t>id</t>
        </is>
      </c>
      <c r="C116" s="13" t="inlineStr">
        <is>
          <t>UUID</t>
        </is>
      </c>
      <c r="D116" s="13" t="inlineStr">
        <is>
          <t>PK</t>
        </is>
      </c>
      <c r="E116" s="13" t="inlineStr">
        <is>
          <t>No</t>
        </is>
      </c>
      <c r="F116" s="13" t="inlineStr">
        <is>
          <t>Yes</t>
        </is>
      </c>
      <c r="G116" s="13" t="inlineStr">
        <is>
          <t>gen_random_uuid()</t>
        </is>
      </c>
      <c r="H116" s="13" t="inlineStr">
        <is>
          <t>—</t>
        </is>
      </c>
      <c r="I116" s="13" t="inlineStr">
        <is>
          <t>5 years from the date each record is written; never edited (SRS 4.3).</t>
        </is>
      </c>
      <c r="J116" s="13" t="inlineStr">
        <is>
          <t>access-service</t>
        </is>
      </c>
      <c r="K116" s="13" t="inlineStr">
        <is>
          <t>Records the user and benefits of a key redemption. Table key_activations; owner access-service; created in V1__create_access_tables.sql.</t>
        </is>
      </c>
    </row>
    <row r="117" ht="26.4" customHeight="1" s="31">
      <c r="A117" s="13" t="inlineStr">
        <is>
          <t>Key Activation (key_activations)</t>
        </is>
      </c>
      <c r="B117" s="13" t="inlineStr">
        <is>
          <t>key_id</t>
        </is>
      </c>
      <c r="C117" s="13" t="inlineStr">
        <is>
          <t>UUID</t>
        </is>
      </c>
      <c r="D117" s="13" t="inlineStr">
        <is>
          <t>FK→Activation Key.id</t>
        </is>
      </c>
      <c r="E117" s="13" t="inlineStr">
        <is>
          <t>No</t>
        </is>
      </c>
      <c r="F117" s="13" t="inlineStr">
        <is>
          <t>Yes</t>
        </is>
      </c>
      <c r="G117" s="13" t="inlineStr">
        <is>
          <t>—</t>
        </is>
      </c>
      <c r="H117" s="13" t="inlineStr">
        <is>
          <t>—</t>
        </is>
      </c>
      <c r="I117" s="13" t="inlineStr">
        <is>
          <t>5 years from the date each record is written; never edited (SRS 4.3).</t>
        </is>
      </c>
      <c r="J117" s="13" t="inlineStr">
        <is>
          <t>access-service</t>
        </is>
      </c>
      <c r="K117" s="13" t="n"/>
    </row>
    <row r="118" ht="26.4" customHeight="1" s="31">
      <c r="A118" s="13" t="inlineStr">
        <is>
          <t>Key Activation (key_activations)</t>
        </is>
      </c>
      <c r="B118" s="13" t="inlineStr">
        <is>
          <t>user_id</t>
        </is>
      </c>
      <c r="C118" s="13" t="inlineStr">
        <is>
          <t>UUID</t>
        </is>
      </c>
      <c r="D118" s="13" t="inlineStr">
        <is>
          <t>Ref→User (no FK)</t>
        </is>
      </c>
      <c r="E118" s="13" t="inlineStr">
        <is>
          <t>No</t>
        </is>
      </c>
      <c r="F118" s="13" t="inlineStr">
        <is>
          <t>No</t>
        </is>
      </c>
      <c r="G118" s="13" t="inlineStr">
        <is>
          <t>—</t>
        </is>
      </c>
      <c r="H118" s="13" t="inlineStr">
        <is>
          <t>—</t>
        </is>
      </c>
      <c r="I118" s="13" t="inlineStr">
        <is>
          <t>5 years from the date each record is written; never edited (SRS 4.3).</t>
        </is>
      </c>
      <c r="J118" s="13" t="inlineStr">
        <is>
          <t>access-service</t>
        </is>
      </c>
      <c r="K118" s="13" t="inlineStr">
        <is>
          <t>Stored id only; no SQL foreign key (cross-service or polymorphic).</t>
        </is>
      </c>
    </row>
    <row r="119" ht="26.4" customHeight="1" s="31">
      <c r="A119" s="13" t="inlineStr">
        <is>
          <t>Key Activation (key_activations)</t>
        </is>
      </c>
      <c r="B119" s="13" t="inlineStr">
        <is>
          <t>product_type</t>
        </is>
      </c>
      <c r="C119" s="13" t="inlineStr">
        <is>
          <t>VARCHAR(50)</t>
        </is>
      </c>
      <c r="D119" s="13" t="inlineStr">
        <is>
          <t>—</t>
        </is>
      </c>
      <c r="E119" s="13" t="inlineStr">
        <is>
          <t>No</t>
        </is>
      </c>
      <c r="F119" s="13" t="inlineStr">
        <is>
          <t>No</t>
        </is>
      </c>
      <c r="G119" s="13" t="inlineStr">
        <is>
          <t>—</t>
        </is>
      </c>
      <c r="H119" s="13" t="inlineStr">
        <is>
          <t>CHECK (product_type IN ('POINTS', 'PREMIUM'))</t>
        </is>
      </c>
      <c r="I119" s="13" t="inlineStr">
        <is>
          <t>5 years from the date each record is written; never edited (SRS 4.3).</t>
        </is>
      </c>
      <c r="J119" s="13" t="inlineStr">
        <is>
          <t>access-service</t>
        </is>
      </c>
      <c r="K119" s="13" t="n"/>
    </row>
    <row r="120" ht="26.4" customHeight="1" s="31">
      <c r="A120" s="13" t="inlineStr">
        <is>
          <t>Key Activation (key_activations)</t>
        </is>
      </c>
      <c r="B120" s="13" t="inlineStr">
        <is>
          <t>points_granted</t>
        </is>
      </c>
      <c r="C120" s="13" t="inlineStr">
        <is>
          <t>INT</t>
        </is>
      </c>
      <c r="D120" s="13" t="inlineStr">
        <is>
          <t>—</t>
        </is>
      </c>
      <c r="E120" s="13" t="inlineStr">
        <is>
          <t>No</t>
        </is>
      </c>
      <c r="F120" s="13" t="inlineStr">
        <is>
          <t>No</t>
        </is>
      </c>
      <c r="G120" s="13" t="inlineStr">
        <is>
          <t>0</t>
        </is>
      </c>
      <c r="H120" s="13" t="inlineStr">
        <is>
          <t>—</t>
        </is>
      </c>
      <c r="I120" s="13" t="inlineStr">
        <is>
          <t>5 years from the date each record is written; never edited (SRS 4.3).</t>
        </is>
      </c>
      <c r="J120" s="13" t="inlineStr">
        <is>
          <t>access-service</t>
        </is>
      </c>
      <c r="K120" s="13" t="n"/>
    </row>
    <row r="121" ht="26.4" customHeight="1" s="31">
      <c r="A121" s="13" t="inlineStr">
        <is>
          <t>Key Activation (key_activations)</t>
        </is>
      </c>
      <c r="B121" s="13" t="inlineStr">
        <is>
          <t>premium_days_granted</t>
        </is>
      </c>
      <c r="C121" s="13" t="inlineStr">
        <is>
          <t>INT</t>
        </is>
      </c>
      <c r="D121" s="13" t="inlineStr">
        <is>
          <t>—</t>
        </is>
      </c>
      <c r="E121" s="13" t="inlineStr">
        <is>
          <t>No</t>
        </is>
      </c>
      <c r="F121" s="13" t="inlineStr">
        <is>
          <t>No</t>
        </is>
      </c>
      <c r="G121" s="13" t="inlineStr">
        <is>
          <t>0</t>
        </is>
      </c>
      <c r="H121" s="13" t="inlineStr">
        <is>
          <t>—</t>
        </is>
      </c>
      <c r="I121" s="13" t="inlineStr">
        <is>
          <t>5 years from the date each record is written; never edited (SRS 4.3).</t>
        </is>
      </c>
      <c r="J121" s="13" t="inlineStr">
        <is>
          <t>access-service</t>
        </is>
      </c>
      <c r="K121" s="13" t="n"/>
    </row>
    <row r="122" ht="39.6" customHeight="1" s="31">
      <c r="A122" s="13" t="inlineStr">
        <is>
          <t>Key Activation (key_activations)</t>
        </is>
      </c>
      <c r="B122" s="13" t="inlineStr">
        <is>
          <t>human_grading_credits_granted</t>
        </is>
      </c>
      <c r="C122" s="13" t="inlineStr">
        <is>
          <t>INT</t>
        </is>
      </c>
      <c r="D122" s="13" t="inlineStr">
        <is>
          <t>—</t>
        </is>
      </c>
      <c r="E122" s="13" t="inlineStr">
        <is>
          <t>No</t>
        </is>
      </c>
      <c r="F122" s="13" t="inlineStr">
        <is>
          <t>No</t>
        </is>
      </c>
      <c r="G122" s="13" t="inlineStr">
        <is>
          <t>0</t>
        </is>
      </c>
      <c r="H122" s="13" t="inlineStr">
        <is>
          <t>—</t>
        </is>
      </c>
      <c r="I122" s="13" t="inlineStr">
        <is>
          <t>5 years from the date each record is written; never edited (SRS 4.3).</t>
        </is>
      </c>
      <c r="J122" s="13" t="inlineStr">
        <is>
          <t>access-service</t>
        </is>
      </c>
      <c r="K122" s="13" t="n"/>
    </row>
    <row r="123" ht="26.4" customHeight="1" s="31">
      <c r="A123" s="13" t="inlineStr">
        <is>
          <t>Key Activation (key_activations)</t>
        </is>
      </c>
      <c r="B123" s="13" t="inlineStr">
        <is>
          <t>activated_at</t>
        </is>
      </c>
      <c r="C123" s="13" t="inlineStr">
        <is>
          <t>TIMESTAMPTZ</t>
        </is>
      </c>
      <c r="D123" s="13" t="inlineStr">
        <is>
          <t>—</t>
        </is>
      </c>
      <c r="E123" s="13" t="inlineStr">
        <is>
          <t>No</t>
        </is>
      </c>
      <c r="F123" s="13" t="inlineStr">
        <is>
          <t>No</t>
        </is>
      </c>
      <c r="G123" s="13" t="inlineStr">
        <is>
          <t>CURRENT_TIMESTAMP</t>
        </is>
      </c>
      <c r="H123" s="13" t="inlineStr">
        <is>
          <t>—</t>
        </is>
      </c>
      <c r="I123" s="13" t="inlineStr">
        <is>
          <t>5 years from the date each record is written; never edited (SRS 4.3).</t>
        </is>
      </c>
      <c r="J123" s="13" t="inlineStr">
        <is>
          <t>access-service</t>
        </is>
      </c>
      <c r="K123" s="13" t="n"/>
    </row>
    <row r="124" ht="26.4" customHeight="1" s="31">
      <c r="A124" s="13" t="inlineStr">
        <is>
          <t>Key Activation (key_activations)</t>
        </is>
      </c>
      <c r="B124" s="13" t="inlineStr">
        <is>
          <t>idempotency_key</t>
        </is>
      </c>
      <c r="C124" s="13" t="inlineStr">
        <is>
          <t>VARCHAR(255)</t>
        </is>
      </c>
      <c r="D124" s="13" t="inlineStr">
        <is>
          <t>—</t>
        </is>
      </c>
      <c r="E124" s="13" t="inlineStr">
        <is>
          <t>No</t>
        </is>
      </c>
      <c r="F124" s="13" t="inlineStr">
        <is>
          <t>Yes</t>
        </is>
      </c>
      <c r="G124" s="13" t="inlineStr">
        <is>
          <t>—</t>
        </is>
      </c>
      <c r="H124" s="13" t="inlineStr">
        <is>
          <t>—</t>
        </is>
      </c>
      <c r="I124" s="13" t="inlineStr">
        <is>
          <t>5 years from the date each record is written; never edited (SRS 4.3).</t>
        </is>
      </c>
      <c r="J124" s="13" t="inlineStr">
        <is>
          <t>access-service</t>
        </is>
      </c>
      <c r="K124" s="13" t="n"/>
    </row>
    <row r="125" ht="26.4" customHeight="1" s="31">
      <c r="A125" s="11" t="inlineStr">
        <is>
          <t>Point Wallet (point_wallets)</t>
        </is>
      </c>
      <c r="B125" s="10" t="inlineStr">
        <is>
          <t>user_id</t>
        </is>
      </c>
      <c r="C125" s="11" t="inlineStr">
        <is>
          <t>UUID</t>
        </is>
      </c>
      <c r="D125" s="11" t="inlineStr">
        <is>
          <t>PK, Ref→User (no FK)</t>
        </is>
      </c>
      <c r="E125" s="11" t="inlineStr">
        <is>
          <t>No</t>
        </is>
      </c>
      <c r="F125" s="11" t="inlineStr">
        <is>
          <t>Yes</t>
        </is>
      </c>
      <c r="G125" s="11" t="inlineStr">
        <is>
          <t>—</t>
        </is>
      </c>
      <c r="H125" s="11" t="inlineStr">
        <is>
          <t>—</t>
        </is>
      </c>
      <c r="I125" s="11" t="inlineStr">
        <is>
          <t>5 years from the date each record is written; never edited (SRS 4.3).</t>
        </is>
      </c>
      <c r="J125" s="11" t="inlineStr">
        <is>
          <t>access-service</t>
        </is>
      </c>
      <c r="K125" s="11" t="inlineStr">
        <is>
          <t>Stores a user's point balance and credited/debited totals. Table point_wallets; owner access-service; created in V1__create_access_tables.sql. Stored id only; no SQL foreign key (cross-service or polymorphic).</t>
        </is>
      </c>
    </row>
    <row r="126" ht="26.4" customHeight="1" s="31">
      <c r="A126" s="11" t="inlineStr">
        <is>
          <t>Point Wallet (point_wallets)</t>
        </is>
      </c>
      <c r="B126" s="11" t="inlineStr">
        <is>
          <t>balance</t>
        </is>
      </c>
      <c r="C126" s="11" t="inlineStr">
        <is>
          <t>BIGINT</t>
        </is>
      </c>
      <c r="D126" s="11" t="inlineStr">
        <is>
          <t>—</t>
        </is>
      </c>
      <c r="E126" s="11" t="inlineStr">
        <is>
          <t>No</t>
        </is>
      </c>
      <c r="F126" s="11" t="inlineStr">
        <is>
          <t>No</t>
        </is>
      </c>
      <c r="G126" s="11" t="inlineStr">
        <is>
          <t>0</t>
        </is>
      </c>
      <c r="H126" s="11" t="inlineStr">
        <is>
          <t>CHECK (balance &gt;= 0)</t>
        </is>
      </c>
      <c r="I126" s="11" t="inlineStr">
        <is>
          <t>5 years from the date each record is written; never edited (SRS 4.3).</t>
        </is>
      </c>
      <c r="J126" s="11" t="inlineStr">
        <is>
          <t>access-service</t>
        </is>
      </c>
      <c r="K126" s="11" t="n"/>
    </row>
    <row r="127" ht="26.4" customHeight="1" s="31">
      <c r="A127" s="11" t="inlineStr">
        <is>
          <t>Point Wallet (point_wallets)</t>
        </is>
      </c>
      <c r="B127" s="11" t="inlineStr">
        <is>
          <t>total_credited</t>
        </is>
      </c>
      <c r="C127" s="11" t="inlineStr">
        <is>
          <t>BIGINT</t>
        </is>
      </c>
      <c r="D127" s="11" t="inlineStr">
        <is>
          <t>—</t>
        </is>
      </c>
      <c r="E127" s="11" t="inlineStr">
        <is>
          <t>No</t>
        </is>
      </c>
      <c r="F127" s="11" t="inlineStr">
        <is>
          <t>No</t>
        </is>
      </c>
      <c r="G127" s="11" t="inlineStr">
        <is>
          <t>0</t>
        </is>
      </c>
      <c r="H127" s="11" t="inlineStr">
        <is>
          <t>—</t>
        </is>
      </c>
      <c r="I127" s="11" t="inlineStr">
        <is>
          <t>5 years from the date each record is written; never edited (SRS 4.3).</t>
        </is>
      </c>
      <c r="J127" s="11" t="inlineStr">
        <is>
          <t>access-service</t>
        </is>
      </c>
      <c r="K127" s="11" t="n"/>
    </row>
    <row r="128" ht="26.4" customHeight="1" s="31">
      <c r="A128" s="11" t="inlineStr">
        <is>
          <t>Point Wallet (point_wallets)</t>
        </is>
      </c>
      <c r="B128" s="11" t="inlineStr">
        <is>
          <t>total_debited</t>
        </is>
      </c>
      <c r="C128" s="11" t="inlineStr">
        <is>
          <t>BIGINT</t>
        </is>
      </c>
      <c r="D128" s="11" t="inlineStr">
        <is>
          <t>—</t>
        </is>
      </c>
      <c r="E128" s="11" t="inlineStr">
        <is>
          <t>No</t>
        </is>
      </c>
      <c r="F128" s="11" t="inlineStr">
        <is>
          <t>No</t>
        </is>
      </c>
      <c r="G128" s="11" t="inlineStr">
        <is>
          <t>0</t>
        </is>
      </c>
      <c r="H128" s="11" t="inlineStr">
        <is>
          <t>—</t>
        </is>
      </c>
      <c r="I128" s="11" t="inlineStr">
        <is>
          <t>5 years from the date each record is written; never edited (SRS 4.3).</t>
        </is>
      </c>
      <c r="J128" s="11" t="inlineStr">
        <is>
          <t>access-service</t>
        </is>
      </c>
      <c r="K128" s="11" t="n"/>
    </row>
    <row r="129" ht="26.4" customHeight="1" s="31">
      <c r="A129" s="11" t="inlineStr">
        <is>
          <t>Point Wallet (point_wallets)</t>
        </is>
      </c>
      <c r="B129" s="11" t="inlineStr">
        <is>
          <t>row_version</t>
        </is>
      </c>
      <c r="C129" s="11" t="inlineStr">
        <is>
          <t>BIGINT</t>
        </is>
      </c>
      <c r="D129" s="11" t="inlineStr">
        <is>
          <t>—</t>
        </is>
      </c>
      <c r="E129" s="11" t="inlineStr">
        <is>
          <t>No</t>
        </is>
      </c>
      <c r="F129" s="11" t="inlineStr">
        <is>
          <t>No</t>
        </is>
      </c>
      <c r="G129" s="11" t="inlineStr">
        <is>
          <t>0</t>
        </is>
      </c>
      <c r="H129" s="11" t="inlineStr">
        <is>
          <t>—</t>
        </is>
      </c>
      <c r="I129" s="11" t="inlineStr">
        <is>
          <t>5 years from the date each record is written; never edited (SRS 4.3).</t>
        </is>
      </c>
      <c r="J129" s="11" t="inlineStr">
        <is>
          <t>access-service</t>
        </is>
      </c>
      <c r="K129" s="11" t="n"/>
    </row>
    <row r="130" ht="52.8" customHeight="1" s="31">
      <c r="A130" s="11" t="inlineStr">
        <is>
          <t>Point Wallet (point_wallets)</t>
        </is>
      </c>
      <c r="B130" s="11" t="inlineStr">
        <is>
          <t>updated_at</t>
        </is>
      </c>
      <c r="C130" s="11" t="inlineStr">
        <is>
          <t>TIMESTAMPTZ</t>
        </is>
      </c>
      <c r="D130" s="11" t="inlineStr">
        <is>
          <t>—</t>
        </is>
      </c>
      <c r="E130" s="11" t="inlineStr">
        <is>
          <t>No</t>
        </is>
      </c>
      <c r="F130" s="11" t="inlineStr">
        <is>
          <t>No</t>
        </is>
      </c>
      <c r="G130" s="11" t="inlineStr">
        <is>
          <t>CURRENT_TIMESTAMP</t>
        </is>
      </c>
      <c r="H130" s="11" t="inlineStr">
        <is>
          <t>—</t>
        </is>
      </c>
      <c r="I130" s="11" t="inlineStr">
        <is>
          <t>5 years from the date each record is written; never edited (SRS 4.3).</t>
        </is>
      </c>
      <c r="J130" s="11" t="inlineStr">
        <is>
          <t>access-service</t>
        </is>
      </c>
      <c r="K130" s="11" t="n"/>
    </row>
    <row r="131" ht="52.8" customHeight="1" s="31">
      <c r="A131" s="13" t="inlineStr">
        <is>
          <t>Point Ledger Entry (point_ledger_entries)</t>
        </is>
      </c>
      <c r="B131" s="12" t="inlineStr">
        <is>
          <t>id</t>
        </is>
      </c>
      <c r="C131" s="13" t="inlineStr">
        <is>
          <t>UUID</t>
        </is>
      </c>
      <c r="D131" s="13" t="inlineStr">
        <is>
          <t>PK</t>
        </is>
      </c>
      <c r="E131" s="13" t="inlineStr">
        <is>
          <t>No</t>
        </is>
      </c>
      <c r="F131" s="13" t="inlineStr">
        <is>
          <t>Yes</t>
        </is>
      </c>
      <c r="G131" s="13" t="inlineStr">
        <is>
          <t>gen_random_uuid()</t>
        </is>
      </c>
      <c r="H131" s="13" t="inlineStr">
        <is>
          <t>—</t>
        </is>
      </c>
      <c r="I131" s="13" t="inlineStr">
        <is>
          <t>5 years from the date each record is written; never edited (SRS 4.3).</t>
        </is>
      </c>
      <c r="J131" s="13" t="inlineStr">
        <is>
          <t>access-service</t>
        </is>
      </c>
      <c r="K131" s="13" t="inlineStr">
        <is>
          <t>Records an individual point balance change and its source. Table point_ledger_entries; owner access-service; created in V1__create_access_tables.sql.</t>
        </is>
      </c>
    </row>
    <row r="132" ht="26.4" customHeight="1" s="31">
      <c r="A132" s="13" t="inlineStr">
        <is>
          <t>Point Ledger Entry (point_ledger_entries)</t>
        </is>
      </c>
      <c r="B132" s="13" t="inlineStr">
        <is>
          <t>user_id</t>
        </is>
      </c>
      <c r="C132" s="13" t="inlineStr">
        <is>
          <t>UUID</t>
        </is>
      </c>
      <c r="D132" s="13" t="inlineStr">
        <is>
          <t>Ref→User (no FK)</t>
        </is>
      </c>
      <c r="E132" s="13" t="inlineStr">
        <is>
          <t>No</t>
        </is>
      </c>
      <c r="F132" s="13" t="inlineStr">
        <is>
          <t>No</t>
        </is>
      </c>
      <c r="G132" s="13" t="inlineStr">
        <is>
          <t>—</t>
        </is>
      </c>
      <c r="H132" s="13" t="inlineStr">
        <is>
          <t>—</t>
        </is>
      </c>
      <c r="I132" s="13" t="inlineStr">
        <is>
          <t>5 years from the date each record is written; never edited (SRS 4.3).</t>
        </is>
      </c>
      <c r="J132" s="13" t="inlineStr">
        <is>
          <t>access-service</t>
        </is>
      </c>
      <c r="K132" s="13" t="inlineStr">
        <is>
          <t>Stored id only; no SQL foreign key (cross-service or polymorphic).</t>
        </is>
      </c>
    </row>
    <row r="133" ht="26.4" customHeight="1" s="31">
      <c r="A133" s="13" t="inlineStr">
        <is>
          <t>Point Ledger Entry (point_ledger_entries)</t>
        </is>
      </c>
      <c r="B133" s="13" t="inlineStr">
        <is>
          <t>delta</t>
        </is>
      </c>
      <c r="C133" s="13" t="inlineStr">
        <is>
          <t>BIGINT</t>
        </is>
      </c>
      <c r="D133" s="13" t="inlineStr">
        <is>
          <t>—</t>
        </is>
      </c>
      <c r="E133" s="13" t="inlineStr">
        <is>
          <t>No</t>
        </is>
      </c>
      <c r="F133" s="13" t="inlineStr">
        <is>
          <t>No</t>
        </is>
      </c>
      <c r="G133" s="13" t="inlineStr">
        <is>
          <t>—</t>
        </is>
      </c>
      <c r="H133" s="13" t="inlineStr">
        <is>
          <t>—</t>
        </is>
      </c>
      <c r="I133" s="13" t="inlineStr">
        <is>
          <t>5 years from the date each record is written; never edited (SRS 4.3).</t>
        </is>
      </c>
      <c r="J133" s="13" t="inlineStr">
        <is>
          <t>access-service</t>
        </is>
      </c>
      <c r="K133" s="13" t="n"/>
    </row>
    <row r="134" ht="39.6" customHeight="1" s="31">
      <c r="A134" s="13" t="inlineStr">
        <is>
          <t>Point Ledger Entry (point_ledger_entries)</t>
        </is>
      </c>
      <c r="B134" s="13" t="inlineStr">
        <is>
          <t>balance_after</t>
        </is>
      </c>
      <c r="C134" s="13" t="inlineStr">
        <is>
          <t>BIGINT</t>
        </is>
      </c>
      <c r="D134" s="13" t="inlineStr">
        <is>
          <t>—</t>
        </is>
      </c>
      <c r="E134" s="13" t="inlineStr">
        <is>
          <t>No</t>
        </is>
      </c>
      <c r="F134" s="13" t="inlineStr">
        <is>
          <t>No</t>
        </is>
      </c>
      <c r="G134" s="13" t="inlineStr">
        <is>
          <t>—</t>
        </is>
      </c>
      <c r="H134" s="13" t="inlineStr">
        <is>
          <t>—</t>
        </is>
      </c>
      <c r="I134" s="13" t="inlineStr">
        <is>
          <t>5 years from the date each record is written; never edited (SRS 4.3).</t>
        </is>
      </c>
      <c r="J134" s="13" t="inlineStr">
        <is>
          <t>access-service</t>
        </is>
      </c>
      <c r="K134" s="13" t="n"/>
    </row>
    <row r="135" ht="26.4" customHeight="1" s="31">
      <c r="A135" s="13" t="inlineStr">
        <is>
          <t>Point Ledger Entry (point_ledger_entries)</t>
        </is>
      </c>
      <c r="B135" s="13" t="inlineStr">
        <is>
          <t>transaction_type</t>
        </is>
      </c>
      <c r="C135" s="13" t="inlineStr">
        <is>
          <t>VARCHAR(50)</t>
        </is>
      </c>
      <c r="D135" s="13" t="inlineStr">
        <is>
          <t>—</t>
        </is>
      </c>
      <c r="E135" s="13" t="inlineStr">
        <is>
          <t>No</t>
        </is>
      </c>
      <c r="F135" s="13" t="inlineStr">
        <is>
          <t>No</t>
        </is>
      </c>
      <c r="G135" s="13" t="inlineStr">
        <is>
          <t>—</t>
        </is>
      </c>
      <c r="H135" s="13" t="inlineStr">
        <is>
          <t>CHECK (transaction_type IN ('KEY_CREDIT', 'AI_GRADING_DEBIT', 'AI_GRADING_REFUND', 'ADMIN_ADJUSTMENT'))</t>
        </is>
      </c>
      <c r="I135" s="13" t="inlineStr">
        <is>
          <t>5 years from the date each record is written; never edited (SRS 4.3).</t>
        </is>
      </c>
      <c r="J135" s="13" t="inlineStr">
        <is>
          <t>access-service</t>
        </is>
      </c>
      <c r="K135" s="13" t="n"/>
    </row>
    <row r="136" ht="26.4" customHeight="1" s="31">
      <c r="A136" s="13" t="inlineStr">
        <is>
          <t>Point Ledger Entry (point_ledger_entries)</t>
        </is>
      </c>
      <c r="B136" s="13" t="inlineStr">
        <is>
          <t>reference_type</t>
        </is>
      </c>
      <c r="C136" s="13" t="inlineStr">
        <is>
          <t>VARCHAR(50)</t>
        </is>
      </c>
      <c r="D136" s="13" t="inlineStr">
        <is>
          <t>—</t>
        </is>
      </c>
      <c r="E136" s="13" t="inlineStr">
        <is>
          <t>No</t>
        </is>
      </c>
      <c r="F136" s="13" t="inlineStr">
        <is>
          <t>No</t>
        </is>
      </c>
      <c r="G136" s="13" t="inlineStr">
        <is>
          <t>—</t>
        </is>
      </c>
      <c r="H136" s="13" t="inlineStr">
        <is>
          <t>—</t>
        </is>
      </c>
      <c r="I136" s="13" t="inlineStr">
        <is>
          <t>5 years from the date each record is written; never edited (SRS 4.3).</t>
        </is>
      </c>
      <c r="J136" s="13" t="inlineStr">
        <is>
          <t>access-service</t>
        </is>
      </c>
      <c r="K136" s="13" t="n"/>
    </row>
    <row r="137" ht="26.4" customHeight="1" s="31">
      <c r="A137" s="13" t="inlineStr">
        <is>
          <t>Point Ledger Entry (point_ledger_entries)</t>
        </is>
      </c>
      <c r="B137" s="13" t="inlineStr">
        <is>
          <t>reference_id</t>
        </is>
      </c>
      <c r="C137" s="13" t="inlineStr">
        <is>
          <t>UUID</t>
        </is>
      </c>
      <c r="D137" s="13" t="inlineStr">
        <is>
          <t>—</t>
        </is>
      </c>
      <c r="E137" s="13" t="inlineStr">
        <is>
          <t>No</t>
        </is>
      </c>
      <c r="F137" s="13" t="inlineStr">
        <is>
          <t>No</t>
        </is>
      </c>
      <c r="G137" s="13" t="inlineStr">
        <is>
          <t>—</t>
        </is>
      </c>
      <c r="H137" s="13" t="inlineStr">
        <is>
          <t>—</t>
        </is>
      </c>
      <c r="I137" s="13" t="inlineStr">
        <is>
          <t>5 years from the date each record is written; never edited (SRS 4.3).</t>
        </is>
      </c>
      <c r="J137" s="13" t="inlineStr">
        <is>
          <t>access-service</t>
        </is>
      </c>
      <c r="K137" s="13" t="n"/>
    </row>
    <row r="138" ht="26.4" customHeight="1" s="31">
      <c r="A138" s="13" t="inlineStr">
        <is>
          <t>Point Ledger Entry (point_ledger_entries)</t>
        </is>
      </c>
      <c r="B138" s="13" t="inlineStr">
        <is>
          <t>idempotency_key</t>
        </is>
      </c>
      <c r="C138" s="13" t="inlineStr">
        <is>
          <t>VARCHAR(255)</t>
        </is>
      </c>
      <c r="D138" s="13" t="inlineStr">
        <is>
          <t>—</t>
        </is>
      </c>
      <c r="E138" s="13" t="inlineStr">
        <is>
          <t>No</t>
        </is>
      </c>
      <c r="F138" s="13" t="inlineStr">
        <is>
          <t>Yes</t>
        </is>
      </c>
      <c r="G138" s="13" t="inlineStr">
        <is>
          <t>—</t>
        </is>
      </c>
      <c r="H138" s="13" t="inlineStr">
        <is>
          <t>—</t>
        </is>
      </c>
      <c r="I138" s="13" t="inlineStr">
        <is>
          <t>5 years from the date each record is written; never edited (SRS 4.3).</t>
        </is>
      </c>
      <c r="J138" s="13" t="inlineStr">
        <is>
          <t>access-service</t>
        </is>
      </c>
      <c r="K138" s="13" t="n"/>
    </row>
    <row r="139" ht="26.4" customHeight="1" s="31">
      <c r="A139" s="13" t="inlineStr">
        <is>
          <t>Point Ledger Entry (point_ledger_entries)</t>
        </is>
      </c>
      <c r="B139" s="13" t="inlineStr">
        <is>
          <t>description</t>
        </is>
      </c>
      <c r="C139" s="13" t="inlineStr">
        <is>
          <t>TEXT</t>
        </is>
      </c>
      <c r="D139" s="13" t="inlineStr">
        <is>
          <t>—</t>
        </is>
      </c>
      <c r="E139" s="13" t="inlineStr">
        <is>
          <t>Yes</t>
        </is>
      </c>
      <c r="F139" s="13" t="inlineStr">
        <is>
          <t>No</t>
        </is>
      </c>
      <c r="G139" s="13" t="inlineStr">
        <is>
          <t>NULL</t>
        </is>
      </c>
      <c r="H139" s="13" t="inlineStr">
        <is>
          <t>—</t>
        </is>
      </c>
      <c r="I139" s="13" t="inlineStr">
        <is>
          <t>5 years from the date each record is written; never edited (SRS 4.3).</t>
        </is>
      </c>
      <c r="J139" s="13" t="inlineStr">
        <is>
          <t>access-service</t>
        </is>
      </c>
      <c r="K139" s="13" t="n"/>
    </row>
    <row r="140" ht="26.4" customHeight="1" s="31">
      <c r="A140" s="13" t="inlineStr">
        <is>
          <t>Point Ledger Entry (point_ledger_entries)</t>
        </is>
      </c>
      <c r="B140" s="13" t="inlineStr">
        <is>
          <t>created_at</t>
        </is>
      </c>
      <c r="C140" s="13" t="inlineStr">
        <is>
          <t>TIMESTAMPTZ</t>
        </is>
      </c>
      <c r="D140" s="13" t="inlineStr">
        <is>
          <t>—</t>
        </is>
      </c>
      <c r="E140" s="13" t="inlineStr">
        <is>
          <t>No</t>
        </is>
      </c>
      <c r="F140" s="13" t="inlineStr">
        <is>
          <t>No</t>
        </is>
      </c>
      <c r="G140" s="13" t="inlineStr">
        <is>
          <t>CURRENT_TIMESTAMP</t>
        </is>
      </c>
      <c r="H140" s="13" t="inlineStr">
        <is>
          <t>—</t>
        </is>
      </c>
      <c r="I140" s="13" t="inlineStr">
        <is>
          <t>5 years from the date each record is written; never edited (SRS 4.3).</t>
        </is>
      </c>
      <c r="J140" s="13" t="inlineStr">
        <is>
          <t>access-service</t>
        </is>
      </c>
      <c r="K140" s="13" t="n"/>
    </row>
    <row r="141" ht="26.4" customHeight="1" s="31">
      <c r="A141" s="11" t="inlineStr">
        <is>
          <t>Course (courses)</t>
        </is>
      </c>
      <c r="B141" s="11" t="inlineStr">
        <is>
          <t>id</t>
        </is>
      </c>
      <c r="C141" s="11" t="inlineStr">
        <is>
          <t>UUID</t>
        </is>
      </c>
      <c r="D141" s="11" t="inlineStr">
        <is>
          <t>PK</t>
        </is>
      </c>
      <c r="E141" s="11" t="inlineStr">
        <is>
          <t>No</t>
        </is>
      </c>
      <c r="F141" s="11" t="inlineStr">
        <is>
          <t>Yes</t>
        </is>
      </c>
      <c r="G141" s="11" t="inlineStr">
        <is>
          <t>gen_random_uuid()</t>
        </is>
      </c>
      <c r="H141" s="11" t="inlineStr">
        <is>
          <t>—</t>
        </is>
      </c>
      <c r="I141" s="11" t="inlineStr">
        <is>
          <t>For the life of the system; archived, not deleted (SRS 4.3).</t>
        </is>
      </c>
      <c r="J141" s="11" t="inlineStr">
        <is>
          <t>content-service</t>
        </is>
      </c>
      <c r="K141" s="11" t="inlineStr">
        <is>
          <t>A band level, such as IELTS 5.5, that groups topics of all skills into one learning sequence. Table courses; owner content-service; created in V19__courses.sql.</t>
        </is>
      </c>
    </row>
    <row r="142" ht="26.4" customHeight="1" s="31">
      <c r="A142" s="11" t="inlineStr">
        <is>
          <t>Course (courses)</t>
        </is>
      </c>
      <c r="B142" s="11" t="inlineStr">
        <is>
          <t>code</t>
        </is>
      </c>
      <c r="C142" s="11" t="inlineStr">
        <is>
          <t>VARCHAR(100)</t>
        </is>
      </c>
      <c r="D142" s="11" t="inlineStr">
        <is>
          <t>—</t>
        </is>
      </c>
      <c r="E142" s="11" t="inlineStr">
        <is>
          <t>No</t>
        </is>
      </c>
      <c r="F142" s="11" t="inlineStr">
        <is>
          <t>Yes</t>
        </is>
      </c>
      <c r="G142" s="11" t="inlineStr">
        <is>
          <t>—</t>
        </is>
      </c>
      <c r="H142" s="11" t="inlineStr">
        <is>
          <t>—</t>
        </is>
      </c>
      <c r="I142" s="11" t="inlineStr">
        <is>
          <t>For the life of the system; archived, not deleted (SRS 4.3).</t>
        </is>
      </c>
      <c r="J142" s="11" t="inlineStr">
        <is>
          <t>content-service</t>
        </is>
      </c>
      <c r="K142" s="11" t="n"/>
    </row>
    <row r="143" ht="26.4" customHeight="1" s="31">
      <c r="A143" s="11" t="inlineStr">
        <is>
          <t>Course (courses)</t>
        </is>
      </c>
      <c r="B143" s="11" t="inlineStr">
        <is>
          <t>name</t>
        </is>
      </c>
      <c r="C143" s="11" t="inlineStr">
        <is>
          <t>VARCHAR(255)</t>
        </is>
      </c>
      <c r="D143" s="11" t="inlineStr">
        <is>
          <t>—</t>
        </is>
      </c>
      <c r="E143" s="11" t="inlineStr">
        <is>
          <t>No</t>
        </is>
      </c>
      <c r="F143" s="11" t="inlineStr">
        <is>
          <t>No</t>
        </is>
      </c>
      <c r="G143" s="11" t="inlineStr">
        <is>
          <t>—</t>
        </is>
      </c>
      <c r="H143" s="11" t="inlineStr">
        <is>
          <t>—</t>
        </is>
      </c>
      <c r="I143" s="11" t="inlineStr">
        <is>
          <t>For the life of the system; archived, not deleted (SRS 4.3).</t>
        </is>
      </c>
      <c r="J143" s="11" t="inlineStr">
        <is>
          <t>content-service</t>
        </is>
      </c>
      <c r="K143" s="11" t="n"/>
    </row>
    <row r="144" ht="52.8" customHeight="1" s="31">
      <c r="A144" s="11" t="inlineStr">
        <is>
          <t>Course (courses)</t>
        </is>
      </c>
      <c r="B144" s="11" t="inlineStr">
        <is>
          <t>band_level</t>
        </is>
      </c>
      <c r="C144" s="11" t="inlineStr">
        <is>
          <t>NUMERIC(2,1)</t>
        </is>
      </c>
      <c r="D144" s="11" t="inlineStr">
        <is>
          <t>—</t>
        </is>
      </c>
      <c r="E144" s="11" t="inlineStr">
        <is>
          <t>No</t>
        </is>
      </c>
      <c r="F144" s="11" t="inlineStr">
        <is>
          <t>Yes</t>
        </is>
      </c>
      <c r="G144" s="11" t="inlineStr">
        <is>
          <t>—</t>
        </is>
      </c>
      <c r="H144" s="11" t="inlineStr">
        <is>
          <t>CHECK (band_level BETWEEN 0 AND 9 AND band_level * 2 = trunc(band_level * 2))</t>
        </is>
      </c>
      <c r="I144" s="11" t="inlineStr">
        <is>
          <t>For the life of the system; archived, not deleted (SRS 4.3).</t>
        </is>
      </c>
      <c r="J144" s="11" t="inlineStr">
        <is>
          <t>content-service</t>
        </is>
      </c>
      <c r="K144" s="11" t="inlineStr">
        <is>
          <t>One course per band level (BR-35).</t>
        </is>
      </c>
    </row>
    <row r="145" ht="39.6" customHeight="1" s="31">
      <c r="A145" s="11" t="inlineStr">
        <is>
          <t>Course (courses)</t>
        </is>
      </c>
      <c r="B145" s="11" t="inlineStr">
        <is>
          <t>status</t>
        </is>
      </c>
      <c r="C145" s="11" t="inlineStr">
        <is>
          <t>VARCHAR(20)</t>
        </is>
      </c>
      <c r="D145" s="11" t="inlineStr">
        <is>
          <t>—</t>
        </is>
      </c>
      <c r="E145" s="11" t="inlineStr">
        <is>
          <t>No</t>
        </is>
      </c>
      <c r="F145" s="11" t="inlineStr">
        <is>
          <t>No</t>
        </is>
      </c>
      <c r="G145" s="11" t="inlineStr">
        <is>
          <t>'ACTIVE'</t>
        </is>
      </c>
      <c r="H145" s="11" t="inlineStr">
        <is>
          <t>CHECK (status IN ('ACTIVE', 'INACTIVE'))</t>
        </is>
      </c>
      <c r="I145" s="11" t="inlineStr">
        <is>
          <t>For the life of the system; archived, not deleted (SRS 4.3).</t>
        </is>
      </c>
      <c r="J145" s="11" t="inlineStr">
        <is>
          <t>content-service</t>
        </is>
      </c>
      <c r="K145" s="11" t="n"/>
    </row>
    <row r="146" ht="26.4" customHeight="1" s="31">
      <c r="A146" s="11" t="inlineStr">
        <is>
          <t>Course (courses)</t>
        </is>
      </c>
      <c r="B146" s="11" t="inlineStr">
        <is>
          <t>created_at</t>
        </is>
      </c>
      <c r="C146" s="11" t="inlineStr">
        <is>
          <t>TIMESTAMPTZ</t>
        </is>
      </c>
      <c r="D146" s="11" t="inlineStr">
        <is>
          <t>—</t>
        </is>
      </c>
      <c r="E146" s="11" t="inlineStr">
        <is>
          <t>No</t>
        </is>
      </c>
      <c r="F146" s="11" t="inlineStr">
        <is>
          <t>No</t>
        </is>
      </c>
      <c r="G146" s="11" t="inlineStr">
        <is>
          <t>CURRENT_TIMESTAMP</t>
        </is>
      </c>
      <c r="H146" s="11" t="inlineStr">
        <is>
          <t>—</t>
        </is>
      </c>
      <c r="I146" s="11" t="inlineStr">
        <is>
          <t>For the life of the system; archived, not deleted (SRS 4.3).</t>
        </is>
      </c>
      <c r="J146" s="11" t="inlineStr">
        <is>
          <t>content-service</t>
        </is>
      </c>
      <c r="K146" s="11" t="n"/>
    </row>
    <row r="147" ht="26.4" customHeight="1" s="31">
      <c r="A147" s="11" t="inlineStr">
        <is>
          <t>Course (courses)</t>
        </is>
      </c>
      <c r="B147" s="11" t="inlineStr">
        <is>
          <t>updated_at</t>
        </is>
      </c>
      <c r="C147" s="11" t="inlineStr">
        <is>
          <t>TIMESTAMPTZ</t>
        </is>
      </c>
      <c r="D147" s="11" t="inlineStr">
        <is>
          <t>—</t>
        </is>
      </c>
      <c r="E147" s="11" t="inlineStr">
        <is>
          <t>No</t>
        </is>
      </c>
      <c r="F147" s="11" t="inlineStr">
        <is>
          <t>No</t>
        </is>
      </c>
      <c r="G147" s="11" t="inlineStr">
        <is>
          <t>CURRENT_TIMESTAMP</t>
        </is>
      </c>
      <c r="H147" s="11" t="inlineStr">
        <is>
          <t>—</t>
        </is>
      </c>
      <c r="I147" s="11" t="inlineStr">
        <is>
          <t>For the life of the system; archived, not deleted (SRS 4.3).</t>
        </is>
      </c>
      <c r="J147" s="11" t="inlineStr">
        <is>
          <t>content-service</t>
        </is>
      </c>
      <c r="K147" s="11" t="n"/>
    </row>
    <row r="148" ht="26.4" customHeight="1" s="31">
      <c r="A148" s="11" t="inlineStr">
        <is>
          <t>Topic (topics)</t>
        </is>
      </c>
      <c r="B148" s="10" t="inlineStr">
        <is>
          <t>id</t>
        </is>
      </c>
      <c r="C148" s="11" t="inlineStr">
        <is>
          <t>UUID</t>
        </is>
      </c>
      <c r="D148" s="11" t="inlineStr">
        <is>
          <t>PK</t>
        </is>
      </c>
      <c r="E148" s="11" t="inlineStr">
        <is>
          <t>No</t>
        </is>
      </c>
      <c r="F148" s="11" t="inlineStr">
        <is>
          <t>Yes</t>
        </is>
      </c>
      <c r="G148" s="11" t="inlineStr">
        <is>
          <t>gen_random_uuid()</t>
        </is>
      </c>
      <c r="H148" s="11" t="inlineStr">
        <is>
          <t>—</t>
        </is>
      </c>
      <c r="I148" s="11" t="inlineStr">
        <is>
          <t>For the life of the system; archived, not deleted (SRS 4.3).</t>
        </is>
      </c>
      <c r="J148" s="11" t="inlineStr">
        <is>
          <t>content-service</t>
        </is>
      </c>
      <c r="K148" s="11" t="inlineStr">
        <is>
          <t>Organizes curriculum content and ordered lessons, with an optional parent topic. Table topics; owner content-service; created in V1__create_content_tables.sql.</t>
        </is>
      </c>
    </row>
    <row r="149" ht="26.4" customHeight="1" s="31">
      <c r="A149" s="11" t="inlineStr">
        <is>
          <t>Topic (topics)</t>
        </is>
      </c>
      <c r="B149" s="11" t="inlineStr">
        <is>
          <t>parent_topic_id</t>
        </is>
      </c>
      <c r="C149" s="11" t="inlineStr">
        <is>
          <t>UUID</t>
        </is>
      </c>
      <c r="D149" s="11" t="inlineStr">
        <is>
          <t>FK→Topic.id</t>
        </is>
      </c>
      <c r="E149" s="11" t="inlineStr">
        <is>
          <t>Yes</t>
        </is>
      </c>
      <c r="F149" s="11" t="inlineStr">
        <is>
          <t>No</t>
        </is>
      </c>
      <c r="G149" s="11" t="inlineStr">
        <is>
          <t>NULL</t>
        </is>
      </c>
      <c r="H149" s="11" t="inlineStr">
        <is>
          <t>—</t>
        </is>
      </c>
      <c r="I149" s="11" t="inlineStr">
        <is>
          <t>For the life of the system; archived, not deleted (SRS 4.3).</t>
        </is>
      </c>
      <c r="J149" s="11" t="inlineStr">
        <is>
          <t>content-service</t>
        </is>
      </c>
      <c r="K149" s="11" t="n"/>
    </row>
    <row r="150" ht="26.4" customHeight="1" s="31">
      <c r="A150" s="11" t="inlineStr">
        <is>
          <t>Topic (topics)</t>
        </is>
      </c>
      <c r="B150" s="11" t="inlineStr">
        <is>
          <t>code</t>
        </is>
      </c>
      <c r="C150" s="11" t="inlineStr">
        <is>
          <t>VARCHAR(100)</t>
        </is>
      </c>
      <c r="D150" s="11" t="inlineStr">
        <is>
          <t>—</t>
        </is>
      </c>
      <c r="E150" s="11" t="inlineStr">
        <is>
          <t>No</t>
        </is>
      </c>
      <c r="F150" s="11" t="inlineStr">
        <is>
          <t>Yes</t>
        </is>
      </c>
      <c r="G150" s="11" t="inlineStr">
        <is>
          <t>—</t>
        </is>
      </c>
      <c r="H150" s="11" t="inlineStr">
        <is>
          <t>—</t>
        </is>
      </c>
      <c r="I150" s="11" t="inlineStr">
        <is>
          <t>For the life of the system; archived, not deleted (SRS 4.3).</t>
        </is>
      </c>
      <c r="J150" s="11" t="inlineStr">
        <is>
          <t>content-service</t>
        </is>
      </c>
      <c r="K150" s="11" t="n"/>
    </row>
    <row r="151" ht="26.4" customHeight="1" s="31">
      <c r="A151" s="11" t="inlineStr">
        <is>
          <t>Topic (topics)</t>
        </is>
      </c>
      <c r="B151" s="11" t="inlineStr">
        <is>
          <t>name</t>
        </is>
      </c>
      <c r="C151" s="11" t="inlineStr">
        <is>
          <t>VARCHAR(255)</t>
        </is>
      </c>
      <c r="D151" s="11" t="inlineStr">
        <is>
          <t>—</t>
        </is>
      </c>
      <c r="E151" s="11" t="inlineStr">
        <is>
          <t>No</t>
        </is>
      </c>
      <c r="F151" s="11" t="inlineStr">
        <is>
          <t>No</t>
        </is>
      </c>
      <c r="G151" s="11" t="inlineStr">
        <is>
          <t>—</t>
        </is>
      </c>
      <c r="H151" s="11" t="inlineStr">
        <is>
          <t>—</t>
        </is>
      </c>
      <c r="I151" s="11" t="inlineStr">
        <is>
          <t>For the life of the system; archived, not deleted (SRS 4.3).</t>
        </is>
      </c>
      <c r="J151" s="11" t="inlineStr">
        <is>
          <t>content-service</t>
        </is>
      </c>
      <c r="K151" s="11" t="n"/>
    </row>
    <row r="152" ht="26.4" customHeight="1" s="31">
      <c r="A152" s="11" t="inlineStr">
        <is>
          <t>Topic (topics)</t>
        </is>
      </c>
      <c r="B152" s="11" t="inlineStr">
        <is>
          <t>sort_order</t>
        </is>
      </c>
      <c r="C152" s="11" t="inlineStr">
        <is>
          <t>INT</t>
        </is>
      </c>
      <c r="D152" s="11" t="inlineStr">
        <is>
          <t>—</t>
        </is>
      </c>
      <c r="E152" s="11" t="inlineStr">
        <is>
          <t>No</t>
        </is>
      </c>
      <c r="F152" s="11" t="inlineStr">
        <is>
          <t>No</t>
        </is>
      </c>
      <c r="G152" s="11" t="inlineStr">
        <is>
          <t>0</t>
        </is>
      </c>
      <c r="H152" s="11" t="inlineStr">
        <is>
          <t>—</t>
        </is>
      </c>
      <c r="I152" s="11" t="inlineStr">
        <is>
          <t>For the life of the system; archived, not deleted (SRS 4.3).</t>
        </is>
      </c>
      <c r="J152" s="11" t="inlineStr">
        <is>
          <t>content-service</t>
        </is>
      </c>
      <c r="K152" s="11" t="n"/>
    </row>
    <row r="153" ht="26.4" customHeight="1" s="31">
      <c r="A153" s="11" t="inlineStr">
        <is>
          <t>Topic (topics)</t>
        </is>
      </c>
      <c r="B153" s="11" t="inlineStr">
        <is>
          <t>status</t>
        </is>
      </c>
      <c r="C153" s="11" t="inlineStr">
        <is>
          <t>VARCHAR(50)</t>
        </is>
      </c>
      <c r="D153" s="11" t="inlineStr">
        <is>
          <t>—</t>
        </is>
      </c>
      <c r="E153" s="11" t="inlineStr">
        <is>
          <t>No</t>
        </is>
      </c>
      <c r="F153" s="11" t="inlineStr">
        <is>
          <t>No</t>
        </is>
      </c>
      <c r="G153" s="11" t="inlineStr">
        <is>
          <t>'ACTIVE'</t>
        </is>
      </c>
      <c r="H153" s="11" t="inlineStr">
        <is>
          <t>CHECK (status IN ('ACTIVE', 'INACTIVE'))</t>
        </is>
      </c>
      <c r="I153" s="11" t="inlineStr">
        <is>
          <t>For the life of the system; archived, not deleted (SRS 4.3).</t>
        </is>
      </c>
      <c r="J153" s="11" t="inlineStr">
        <is>
          <t>content-service</t>
        </is>
      </c>
      <c r="K153" s="11" t="n"/>
    </row>
    <row r="154" ht="39.6" customHeight="1" s="31">
      <c r="A154" s="11" t="inlineStr">
        <is>
          <t>Topic (topics)</t>
        </is>
      </c>
      <c r="B154" s="11" t="inlineStr">
        <is>
          <t>created_at</t>
        </is>
      </c>
      <c r="C154" s="11" t="inlineStr">
        <is>
          <t>TIMESTAMPTZ</t>
        </is>
      </c>
      <c r="D154" s="11" t="inlineStr">
        <is>
          <t>—</t>
        </is>
      </c>
      <c r="E154" s="11" t="inlineStr">
        <is>
          <t>No</t>
        </is>
      </c>
      <c r="F154" s="11" t="inlineStr">
        <is>
          <t>No</t>
        </is>
      </c>
      <c r="G154" s="11" t="inlineStr">
        <is>
          <t>CURRENT_TIMESTAMP</t>
        </is>
      </c>
      <c r="H154" s="11" t="inlineStr">
        <is>
          <t>—</t>
        </is>
      </c>
      <c r="I154" s="11" t="inlineStr">
        <is>
          <t>For the life of the system; archived, not deleted (SRS 4.3).</t>
        </is>
      </c>
      <c r="J154" s="11" t="inlineStr">
        <is>
          <t>content-service</t>
        </is>
      </c>
      <c r="K154" s="11" t="n"/>
    </row>
    <row r="155" ht="26.4" customHeight="1" s="31">
      <c r="A155" s="11" t="inlineStr">
        <is>
          <t>Topic (topics)</t>
        </is>
      </c>
      <c r="B155" s="11" t="inlineStr">
        <is>
          <t>updated_at</t>
        </is>
      </c>
      <c r="C155" s="11" t="inlineStr">
        <is>
          <t>TIMESTAMPTZ</t>
        </is>
      </c>
      <c r="D155" s="11" t="inlineStr">
        <is>
          <t>—</t>
        </is>
      </c>
      <c r="E155" s="11" t="inlineStr">
        <is>
          <t>No</t>
        </is>
      </c>
      <c r="F155" s="11" t="inlineStr">
        <is>
          <t>No</t>
        </is>
      </c>
      <c r="G155" s="11" t="inlineStr">
        <is>
          <t>CURRENT_TIMESTAMP</t>
        </is>
      </c>
      <c r="H155" s="11" t="inlineStr">
        <is>
          <t>—</t>
        </is>
      </c>
      <c r="I155" s="11" t="inlineStr">
        <is>
          <t>For the life of the system; archived, not deleted (SRS 4.3).</t>
        </is>
      </c>
      <c r="J155" s="11" t="inlineStr">
        <is>
          <t>content-service</t>
        </is>
      </c>
      <c r="K155" s="11" t="n"/>
    </row>
    <row r="156" ht="26.4" customHeight="1" s="31">
      <c r="A156" s="11" t="inlineStr">
        <is>
          <t>Topic (topics)</t>
        </is>
      </c>
      <c r="B156" s="11" t="inlineStr">
        <is>
          <t>band_min</t>
        </is>
      </c>
      <c r="C156" s="11" t="inlineStr">
        <is>
          <t>NUMERIC(2,1)</t>
        </is>
      </c>
      <c r="D156" s="11" t="inlineStr">
        <is>
          <t>—</t>
        </is>
      </c>
      <c r="E156" s="11" t="inlineStr">
        <is>
          <t>Yes</t>
        </is>
      </c>
      <c r="F156" s="11" t="inlineStr">
        <is>
          <t>No</t>
        </is>
      </c>
      <c r="G156" s="11" t="inlineStr">
        <is>
          <t>NULL</t>
        </is>
      </c>
      <c r="H156" s="11" t="inlineStr">
        <is>
          <t>CHECK (band_min IS NULL OR (band_min BETWEEN 0 AND 9 AND band_min * 2 = trunc(band_min * 2))); CHECK (band_min IS NULL OR band_max IS NULL OR band_min &lt;= band_max)</t>
        </is>
      </c>
      <c r="I156" s="11" t="inlineStr">
        <is>
          <t>For the life of the system; archived, not deleted (SRS 4.3).</t>
        </is>
      </c>
      <c r="J156" s="11" t="inlineStr">
        <is>
          <t>content-service</t>
        </is>
      </c>
      <c r="K156" s="11" t="n"/>
    </row>
    <row r="157" ht="92.40000000000001" customHeight="1" s="31">
      <c r="A157" s="11" t="inlineStr">
        <is>
          <t>Topic (topics)</t>
        </is>
      </c>
      <c r="B157" s="11" t="inlineStr">
        <is>
          <t>band_max</t>
        </is>
      </c>
      <c r="C157" s="11" t="inlineStr">
        <is>
          <t>NUMERIC(2,1)</t>
        </is>
      </c>
      <c r="D157" s="11" t="inlineStr">
        <is>
          <t>—</t>
        </is>
      </c>
      <c r="E157" s="11" t="inlineStr">
        <is>
          <t>Yes</t>
        </is>
      </c>
      <c r="F157" s="11" t="inlineStr">
        <is>
          <t>No</t>
        </is>
      </c>
      <c r="G157" s="11" t="inlineStr">
        <is>
          <t>NULL</t>
        </is>
      </c>
      <c r="H157" s="11" t="inlineStr">
        <is>
          <t>CHECK (band_max IS NULL OR (band_max BETWEEN 0 AND 9 AND band_max * 2 = trunc(band_max * 2))); CHECK (band_min IS NULL OR band_max IS NULL OR band_min &lt;= band_max)</t>
        </is>
      </c>
      <c r="I157" s="11" t="inlineStr">
        <is>
          <t>For the life of the system; archived, not deleted (SRS 4.3).</t>
        </is>
      </c>
      <c r="J157" s="11" t="inlineStr">
        <is>
          <t>content-service</t>
        </is>
      </c>
      <c r="K157" s="11" t="n"/>
    </row>
    <row r="158" ht="66" customHeight="1" s="31">
      <c r="A158" s="11" t="inlineStr">
        <is>
          <t>Topic (topics)</t>
        </is>
      </c>
      <c r="B158" s="11" t="inlineStr">
        <is>
          <t>required_feature_key</t>
        </is>
      </c>
      <c r="C158" s="11" t="inlineStr">
        <is>
          <t>VARCHAR(100)</t>
        </is>
      </c>
      <c r="D158" s="11" t="inlineStr">
        <is>
          <t>—</t>
        </is>
      </c>
      <c r="E158" s="11" t="inlineStr">
        <is>
          <t>Yes</t>
        </is>
      </c>
      <c r="F158" s="11" t="inlineStr">
        <is>
          <t>No</t>
        </is>
      </c>
      <c r="G158" s="11" t="inlineStr">
        <is>
          <t>NULL</t>
        </is>
      </c>
      <c r="H158" s="11" t="inlineStr">
        <is>
          <t>—</t>
        </is>
      </c>
      <c r="I158" s="11" t="inlineStr">
        <is>
          <t>For the life of the system; archived, not deleted (SRS 4.3).</t>
        </is>
      </c>
      <c r="J158" s="11" t="inlineStr">
        <is>
          <t>content-service</t>
        </is>
      </c>
      <c r="K158" s="11" t="n"/>
    </row>
    <row r="159" ht="66" customHeight="1" s="31">
      <c r="A159" s="11" t="inlineStr">
        <is>
          <t>Topic (topics)</t>
        </is>
      </c>
      <c r="B159" s="11" t="inlineStr">
        <is>
          <t>skill</t>
        </is>
      </c>
      <c r="C159" s="11" t="inlineStr">
        <is>
          <t>VARCHAR(20)</t>
        </is>
      </c>
      <c r="D159" s="11" t="inlineStr">
        <is>
          <t>—</t>
        </is>
      </c>
      <c r="E159" s="11" t="inlineStr">
        <is>
          <t>Yes</t>
        </is>
      </c>
      <c r="F159" s="11" t="inlineStr">
        <is>
          <t>No</t>
        </is>
      </c>
      <c r="G159" s="11" t="inlineStr">
        <is>
          <t>NULL</t>
        </is>
      </c>
      <c r="H159" s="11" t="inlineStr">
        <is>
          <t>CHECK (skill IN ('LISTENING', 'READING', 'WRITING', 'SPEAKING'))</t>
        </is>
      </c>
      <c r="I159" s="11" t="inlineStr">
        <is>
          <t>For the life of the system; archived, not deleted (SRS 4.3).</t>
        </is>
      </c>
      <c r="J159" s="11" t="inlineStr">
        <is>
          <t>content-service</t>
        </is>
      </c>
      <c r="K159" s="11" t="n"/>
    </row>
    <row r="160" ht="26.4" customHeight="1" s="31">
      <c r="A160" s="11" t="inlineStr">
        <is>
          <t>Topic (topics)</t>
        </is>
      </c>
      <c r="B160" s="11" t="inlineStr">
        <is>
          <t>course_id</t>
        </is>
      </c>
      <c r="C160" s="11" t="inlineStr">
        <is>
          <t>UUID</t>
        </is>
      </c>
      <c r="D160" s="11" t="inlineStr">
        <is>
          <t>FK→Course.id</t>
        </is>
      </c>
      <c r="E160" s="11" t="inlineStr">
        <is>
          <t>Yes</t>
        </is>
      </c>
      <c r="F160" s="11" t="inlineStr">
        <is>
          <t>No</t>
        </is>
      </c>
      <c r="G160" s="11" t="inlineStr">
        <is>
          <t>NULL</t>
        </is>
      </c>
      <c r="H160" s="11" t="inlineStr">
        <is>
          <t>—</t>
        </is>
      </c>
      <c r="I160" s="11" t="inlineStr">
        <is>
          <t>For the life of the system; archived, not deleted (SRS 4.3).</t>
        </is>
      </c>
      <c r="J160" s="11" t="inlineStr">
        <is>
          <t>content-service</t>
        </is>
      </c>
      <c r="K160" s="11" t="inlineStr">
        <is>
          <t>Course the topic belongs to; added in V19__courses.sql.</t>
        </is>
      </c>
    </row>
    <row r="161" ht="26.4" customHeight="1" s="31">
      <c r="A161" s="13" t="inlineStr">
        <is>
          <t>Knowledge Point (knowledge_points)</t>
        </is>
      </c>
      <c r="B161" s="12" t="inlineStr">
        <is>
          <t>id</t>
        </is>
      </c>
      <c r="C161" s="13" t="inlineStr">
        <is>
          <t>UUID</t>
        </is>
      </c>
      <c r="D161" s="13" t="inlineStr">
        <is>
          <t>PK</t>
        </is>
      </c>
      <c r="E161" s="13" t="inlineStr">
        <is>
          <t>No</t>
        </is>
      </c>
      <c r="F161" s="13" t="inlineStr">
        <is>
          <t>Yes</t>
        </is>
      </c>
      <c r="G161" s="13" t="inlineStr">
        <is>
          <t>gen_random_uuid()</t>
        </is>
      </c>
      <c r="H161" s="13" t="inlineStr">
        <is>
          <t>—</t>
        </is>
      </c>
      <c r="I161" s="13" t="inlineStr">
        <is>
          <t>For the life of the system; archived, not deleted (SRS 4.3).</t>
        </is>
      </c>
      <c r="J161" s="13" t="inlineStr">
        <is>
          <t>content-service</t>
        </is>
      </c>
      <c r="K161" s="13" t="inlineStr">
        <is>
          <t>Defines a unit of knowledge associated with a topic. Table knowledge_points; owner content-service; created in V1__create_content_tables.sql.</t>
        </is>
      </c>
    </row>
    <row r="162" ht="39.6" customHeight="1" s="31">
      <c r="A162" s="13" t="inlineStr">
        <is>
          <t>Knowledge Point (knowledge_points)</t>
        </is>
      </c>
      <c r="B162" s="13" t="inlineStr">
        <is>
          <t>topic_id</t>
        </is>
      </c>
      <c r="C162" s="13" t="inlineStr">
        <is>
          <t>UUID</t>
        </is>
      </c>
      <c r="D162" s="13" t="inlineStr">
        <is>
          <t>FK→Topic.id</t>
        </is>
      </c>
      <c r="E162" s="13" t="inlineStr">
        <is>
          <t>No</t>
        </is>
      </c>
      <c r="F162" s="13" t="inlineStr">
        <is>
          <t>No</t>
        </is>
      </c>
      <c r="G162" s="13" t="inlineStr">
        <is>
          <t>—</t>
        </is>
      </c>
      <c r="H162" s="13" t="inlineStr">
        <is>
          <t>—</t>
        </is>
      </c>
      <c r="I162" s="13" t="inlineStr">
        <is>
          <t>For the life of the system; archived, not deleted (SRS 4.3).</t>
        </is>
      </c>
      <c r="J162" s="13" t="inlineStr">
        <is>
          <t>content-service</t>
        </is>
      </c>
      <c r="K162" s="13" t="n"/>
    </row>
    <row r="163" ht="26.4" customHeight="1" s="31">
      <c r="A163" s="13" t="inlineStr">
        <is>
          <t>Knowledge Point (knowledge_points)</t>
        </is>
      </c>
      <c r="B163" s="13" t="inlineStr">
        <is>
          <t>code</t>
        </is>
      </c>
      <c r="C163" s="13" t="inlineStr">
        <is>
          <t>VARCHAR(100)</t>
        </is>
      </c>
      <c r="D163" s="13" t="inlineStr">
        <is>
          <t>—</t>
        </is>
      </c>
      <c r="E163" s="13" t="inlineStr">
        <is>
          <t>No</t>
        </is>
      </c>
      <c r="F163" s="13" t="inlineStr">
        <is>
          <t>Yes</t>
        </is>
      </c>
      <c r="G163" s="13" t="inlineStr">
        <is>
          <t>—</t>
        </is>
      </c>
      <c r="H163" s="13" t="inlineStr">
        <is>
          <t>—</t>
        </is>
      </c>
      <c r="I163" s="13" t="inlineStr">
        <is>
          <t>For the life of the system; archived, not deleted (SRS 4.3).</t>
        </is>
      </c>
      <c r="J163" s="13" t="inlineStr">
        <is>
          <t>content-service</t>
        </is>
      </c>
      <c r="K163" s="13" t="n"/>
    </row>
    <row r="164" ht="26.4" customHeight="1" s="31">
      <c r="A164" s="13" t="inlineStr">
        <is>
          <t>Knowledge Point (knowledge_points)</t>
        </is>
      </c>
      <c r="B164" s="13" t="inlineStr">
        <is>
          <t>name</t>
        </is>
      </c>
      <c r="C164" s="13" t="inlineStr">
        <is>
          <t>VARCHAR(255)</t>
        </is>
      </c>
      <c r="D164" s="13" t="inlineStr">
        <is>
          <t>—</t>
        </is>
      </c>
      <c r="E164" s="13" t="inlineStr">
        <is>
          <t>No</t>
        </is>
      </c>
      <c r="F164" s="13" t="inlineStr">
        <is>
          <t>No</t>
        </is>
      </c>
      <c r="G164" s="13" t="inlineStr">
        <is>
          <t>—</t>
        </is>
      </c>
      <c r="H164" s="13" t="inlineStr">
        <is>
          <t>—</t>
        </is>
      </c>
      <c r="I164" s="13" t="inlineStr">
        <is>
          <t>For the life of the system; archived, not deleted (SRS 4.3).</t>
        </is>
      </c>
      <c r="J164" s="13" t="inlineStr">
        <is>
          <t>content-service</t>
        </is>
      </c>
      <c r="K164" s="13" t="n"/>
    </row>
    <row r="165" ht="26.4" customHeight="1" s="31">
      <c r="A165" s="13" t="inlineStr">
        <is>
          <t>Knowledge Point (knowledge_points)</t>
        </is>
      </c>
      <c r="B165" s="13" t="inlineStr">
        <is>
          <t>kind</t>
        </is>
      </c>
      <c r="C165" s="13" t="inlineStr">
        <is>
          <t>VARCHAR(50)</t>
        </is>
      </c>
      <c r="D165" s="13" t="inlineStr">
        <is>
          <t>—</t>
        </is>
      </c>
      <c r="E165" s="13" t="inlineStr">
        <is>
          <t>No</t>
        </is>
      </c>
      <c r="F165" s="13" t="inlineStr">
        <is>
          <t>No</t>
        </is>
      </c>
      <c r="G165" s="13" t="inlineStr">
        <is>
          <t>—</t>
        </is>
      </c>
      <c r="H165" s="13" t="inlineStr">
        <is>
          <t>CHECK (kind IN ('GRAMMAR', 'VOCABULARY', 'STRATEGY', 'PRONUNCIATION'))</t>
        </is>
      </c>
      <c r="I165" s="13" t="inlineStr">
        <is>
          <t>For the life of the system; archived, not deleted (SRS 4.3).</t>
        </is>
      </c>
      <c r="J165" s="13" t="inlineStr">
        <is>
          <t>content-service</t>
        </is>
      </c>
      <c r="K165" s="13" t="n"/>
    </row>
    <row r="166" ht="26.4" customHeight="1" s="31">
      <c r="A166" s="13" t="inlineStr">
        <is>
          <t>Knowledge Point (knowledge_points)</t>
        </is>
      </c>
      <c r="B166" s="13" t="inlineStr">
        <is>
          <t>skill</t>
        </is>
      </c>
      <c r="C166" s="13" t="inlineStr">
        <is>
          <t>VARCHAR(50)</t>
        </is>
      </c>
      <c r="D166" s="13" t="inlineStr">
        <is>
          <t>—</t>
        </is>
      </c>
      <c r="E166" s="13" t="inlineStr">
        <is>
          <t>Yes</t>
        </is>
      </c>
      <c r="F166" s="13" t="inlineStr">
        <is>
          <t>No</t>
        </is>
      </c>
      <c r="G166" s="13" t="inlineStr">
        <is>
          <t>NULL</t>
        </is>
      </c>
      <c r="H166" s="13" t="inlineStr">
        <is>
          <t>CHECK (skill IN ('LISTENING', 'READING', 'WRITING', 'SPEAKING', 'ALL'))</t>
        </is>
      </c>
      <c r="I166" s="13" t="inlineStr">
        <is>
          <t>For the life of the system; archived, not deleted (SRS 4.3).</t>
        </is>
      </c>
      <c r="J166" s="13" t="inlineStr">
        <is>
          <t>content-service</t>
        </is>
      </c>
      <c r="K166" s="13" t="n"/>
    </row>
    <row r="167" ht="26.4" customHeight="1" s="31">
      <c r="A167" s="13" t="inlineStr">
        <is>
          <t>Knowledge Point (knowledge_points)</t>
        </is>
      </c>
      <c r="B167" s="13" t="inlineStr">
        <is>
          <t>description</t>
        </is>
      </c>
      <c r="C167" s="13" t="inlineStr">
        <is>
          <t>TEXT</t>
        </is>
      </c>
      <c r="D167" s="13" t="inlineStr">
        <is>
          <t>—</t>
        </is>
      </c>
      <c r="E167" s="13" t="inlineStr">
        <is>
          <t>Yes</t>
        </is>
      </c>
      <c r="F167" s="13" t="inlineStr">
        <is>
          <t>No</t>
        </is>
      </c>
      <c r="G167" s="13" t="inlineStr">
        <is>
          <t>NULL</t>
        </is>
      </c>
      <c r="H167" s="13" t="inlineStr">
        <is>
          <t>—</t>
        </is>
      </c>
      <c r="I167" s="13" t="inlineStr">
        <is>
          <t>For the life of the system; archived, not deleted (SRS 4.3).</t>
        </is>
      </c>
      <c r="J167" s="13" t="inlineStr">
        <is>
          <t>content-service</t>
        </is>
      </c>
      <c r="K167" s="13" t="n"/>
    </row>
    <row r="168" ht="26.4" customHeight="1" s="31">
      <c r="A168" s="13" t="inlineStr">
        <is>
          <t>Knowledge Point (knowledge_points)</t>
        </is>
      </c>
      <c r="B168" s="13" t="inlineStr">
        <is>
          <t>status</t>
        </is>
      </c>
      <c r="C168" s="13" t="inlineStr">
        <is>
          <t>VARCHAR(50)</t>
        </is>
      </c>
      <c r="D168" s="13" t="inlineStr">
        <is>
          <t>—</t>
        </is>
      </c>
      <c r="E168" s="13" t="inlineStr">
        <is>
          <t>No</t>
        </is>
      </c>
      <c r="F168" s="13" t="inlineStr">
        <is>
          <t>No</t>
        </is>
      </c>
      <c r="G168" s="13" t="inlineStr">
        <is>
          <t>'ACTIVE'</t>
        </is>
      </c>
      <c r="H168" s="13" t="inlineStr">
        <is>
          <t>CHECK (status IN ('ACTIVE', 'INACTIVE')); CHECK (status &lt;&gt; 'ACTIVE' OR learning_type IS NOT NULL)</t>
        </is>
      </c>
      <c r="I168" s="13" t="inlineStr">
        <is>
          <t>For the life of the system; archived, not deleted (SRS 4.3).</t>
        </is>
      </c>
      <c r="J168" s="13" t="inlineStr">
        <is>
          <t>content-service</t>
        </is>
      </c>
      <c r="K168" s="13" t="n"/>
    </row>
    <row r="169" ht="26.4" customHeight="1" s="31">
      <c r="A169" s="13" t="inlineStr">
        <is>
          <t>Knowledge Point (knowledge_points)</t>
        </is>
      </c>
      <c r="B169" s="13" t="inlineStr">
        <is>
          <t>created_at</t>
        </is>
      </c>
      <c r="C169" s="13" t="inlineStr">
        <is>
          <t>TIMESTAMPTZ</t>
        </is>
      </c>
      <c r="D169" s="13" t="inlineStr">
        <is>
          <t>—</t>
        </is>
      </c>
      <c r="E169" s="13" t="inlineStr">
        <is>
          <t>No</t>
        </is>
      </c>
      <c r="F169" s="13" t="inlineStr">
        <is>
          <t>No</t>
        </is>
      </c>
      <c r="G169" s="13" t="inlineStr">
        <is>
          <t>CURRENT_TIMESTAMP</t>
        </is>
      </c>
      <c r="H169" s="13" t="inlineStr">
        <is>
          <t>—</t>
        </is>
      </c>
      <c r="I169" s="13" t="inlineStr">
        <is>
          <t>For the life of the system; archived, not deleted (SRS 4.3).</t>
        </is>
      </c>
      <c r="J169" s="13" t="inlineStr">
        <is>
          <t>content-service</t>
        </is>
      </c>
      <c r="K169" s="13" t="n"/>
    </row>
    <row r="170" ht="39.6" customHeight="1" s="31">
      <c r="A170" s="13" t="inlineStr">
        <is>
          <t>Knowledge Point (knowledge_points)</t>
        </is>
      </c>
      <c r="B170" s="13" t="inlineStr">
        <is>
          <t>updated_at</t>
        </is>
      </c>
      <c r="C170" s="13" t="inlineStr">
        <is>
          <t>TIMESTAMPTZ</t>
        </is>
      </c>
      <c r="D170" s="13" t="inlineStr">
        <is>
          <t>—</t>
        </is>
      </c>
      <c r="E170" s="13" t="inlineStr">
        <is>
          <t>No</t>
        </is>
      </c>
      <c r="F170" s="13" t="inlineStr">
        <is>
          <t>No</t>
        </is>
      </c>
      <c r="G170" s="13" t="inlineStr">
        <is>
          <t>CURRENT_TIMESTAMP</t>
        </is>
      </c>
      <c r="H170" s="13" t="inlineStr">
        <is>
          <t>—</t>
        </is>
      </c>
      <c r="I170" s="13" t="inlineStr">
        <is>
          <t>For the life of the system; archived, not deleted (SRS 4.3).</t>
        </is>
      </c>
      <c r="J170" s="13" t="inlineStr">
        <is>
          <t>content-service</t>
        </is>
      </c>
      <c r="K170" s="13" t="n"/>
    </row>
    <row r="171" ht="26.4" customHeight="1" s="31">
      <c r="A171" s="13" t="inlineStr">
        <is>
          <t>Knowledge Point (knowledge_points)</t>
        </is>
      </c>
      <c r="B171" s="13" t="inlineStr">
        <is>
          <t>learning_type</t>
        </is>
      </c>
      <c r="C171" s="13" t="inlineStr">
        <is>
          <t>VARCHAR(20)</t>
        </is>
      </c>
      <c r="D171" s="13" t="inlineStr">
        <is>
          <t>—</t>
        </is>
      </c>
      <c r="E171" s="13" t="inlineStr">
        <is>
          <t>Yes</t>
        </is>
      </c>
      <c r="F171" s="13" t="inlineStr">
        <is>
          <t>No</t>
        </is>
      </c>
      <c r="G171" s="13" t="inlineStr">
        <is>
          <t>NULL</t>
        </is>
      </c>
      <c r="H171" s="13" t="inlineStr">
        <is>
          <t>CHECK (learning_type IS NULL OR learning_type IN ('MEMORY', 'CONCEPT', 'PROCEDURE', 'DESIGN')); CHECK (status &lt;&gt; 'ACTIVE' OR learning_type IS NOT NULL)</t>
        </is>
      </c>
      <c r="I171" s="13" t="inlineStr">
        <is>
          <t>For the life of the system; archived, not deleted (SRS 4.3).</t>
        </is>
      </c>
      <c r="J171" s="13" t="inlineStr">
        <is>
          <t>content-service</t>
        </is>
      </c>
      <c r="K171" s="13" t="n"/>
    </row>
    <row r="172" ht="26.4" customHeight="1" s="31">
      <c r="A172" s="11" t="inlineStr">
        <is>
          <t>Lesson (lessons)</t>
        </is>
      </c>
      <c r="B172" s="10" t="inlineStr">
        <is>
          <t>id</t>
        </is>
      </c>
      <c r="C172" s="11" t="inlineStr">
        <is>
          <t>UUID</t>
        </is>
      </c>
      <c r="D172" s="11" t="inlineStr">
        <is>
          <t>PK</t>
        </is>
      </c>
      <c r="E172" s="11" t="inlineStr">
        <is>
          <t>No</t>
        </is>
      </c>
      <c r="F172" s="11" t="inlineStr">
        <is>
          <t>Yes</t>
        </is>
      </c>
      <c r="G172" s="11" t="inlineStr">
        <is>
          <t>gen_random_uuid()</t>
        </is>
      </c>
      <c r="H172" s="11" t="inlineStr">
        <is>
          <t>—</t>
        </is>
      </c>
      <c r="I172" s="11" t="inlineStr">
        <is>
          <t>For the life of the system; archived, not deleted (SRS 4.3).</t>
        </is>
      </c>
      <c r="J172" s="11" t="inlineStr">
        <is>
          <t>content-service</t>
        </is>
      </c>
      <c r="K172" s="11" t="inlineStr">
        <is>
          <t>Defines an ordered learning unit inside a topic. Table lessons; owner content-service; created in V8__lessons_and_topic_tests.sql.</t>
        </is>
      </c>
    </row>
    <row r="173" ht="79.2" customHeight="1" s="31">
      <c r="A173" s="11" t="inlineStr">
        <is>
          <t>Lesson (lessons)</t>
        </is>
      </c>
      <c r="B173" s="11" t="inlineStr">
        <is>
          <t>topic_id</t>
        </is>
      </c>
      <c r="C173" s="11" t="inlineStr">
        <is>
          <t>UUID</t>
        </is>
      </c>
      <c r="D173" s="11" t="inlineStr">
        <is>
          <t>FK→Topic.id</t>
        </is>
      </c>
      <c r="E173" s="11" t="inlineStr">
        <is>
          <t>No</t>
        </is>
      </c>
      <c r="F173" s="11" t="inlineStr">
        <is>
          <t>Composite (topic_id, sort_order)</t>
        </is>
      </c>
      <c r="G173" s="11" t="inlineStr">
        <is>
          <t>—</t>
        </is>
      </c>
      <c r="H173" s="11" t="inlineStr">
        <is>
          <t>—</t>
        </is>
      </c>
      <c r="I173" s="11" t="inlineStr">
        <is>
          <t>For the life of the system; archived, not deleted (SRS 4.3).</t>
        </is>
      </c>
      <c r="J173" s="11" t="inlineStr">
        <is>
          <t>content-service</t>
        </is>
      </c>
      <c r="K173" s="11" t="n"/>
    </row>
    <row r="174" ht="26.4" customHeight="1" s="31">
      <c r="A174" s="11" t="inlineStr">
        <is>
          <t>Lesson (lessons)</t>
        </is>
      </c>
      <c r="B174" s="11" t="inlineStr">
        <is>
          <t>code</t>
        </is>
      </c>
      <c r="C174" s="11" t="inlineStr">
        <is>
          <t>VARCHAR(100)</t>
        </is>
      </c>
      <c r="D174" s="11" t="inlineStr">
        <is>
          <t>—</t>
        </is>
      </c>
      <c r="E174" s="11" t="inlineStr">
        <is>
          <t>No</t>
        </is>
      </c>
      <c r="F174" s="11" t="inlineStr">
        <is>
          <t>Yes</t>
        </is>
      </c>
      <c r="G174" s="11" t="inlineStr">
        <is>
          <t>—</t>
        </is>
      </c>
      <c r="H174" s="11" t="inlineStr">
        <is>
          <t>—</t>
        </is>
      </c>
      <c r="I174" s="11" t="inlineStr">
        <is>
          <t>For the life of the system; archived, not deleted (SRS 4.3).</t>
        </is>
      </c>
      <c r="J174" s="11" t="inlineStr">
        <is>
          <t>content-service</t>
        </is>
      </c>
      <c r="K174" s="11" t="n"/>
    </row>
    <row r="175" ht="26.4" customHeight="1" s="31">
      <c r="A175" s="11" t="inlineStr">
        <is>
          <t>Lesson (lessons)</t>
        </is>
      </c>
      <c r="B175" s="11" t="inlineStr">
        <is>
          <t>title</t>
        </is>
      </c>
      <c r="C175" s="11" t="inlineStr">
        <is>
          <t>VARCHAR(255)</t>
        </is>
      </c>
      <c r="D175" s="11" t="inlineStr">
        <is>
          <t>—</t>
        </is>
      </c>
      <c r="E175" s="11" t="inlineStr">
        <is>
          <t>No</t>
        </is>
      </c>
      <c r="F175" s="11" t="inlineStr">
        <is>
          <t>No</t>
        </is>
      </c>
      <c r="G175" s="11" t="inlineStr">
        <is>
          <t>—</t>
        </is>
      </c>
      <c r="H175" s="11" t="inlineStr">
        <is>
          <t>—</t>
        </is>
      </c>
      <c r="I175" s="11" t="inlineStr">
        <is>
          <t>For the life of the system; archived, not deleted (SRS 4.3).</t>
        </is>
      </c>
      <c r="J175" s="11" t="inlineStr">
        <is>
          <t>content-service</t>
        </is>
      </c>
      <c r="K175" s="11" t="n"/>
    </row>
    <row r="176" ht="26.4" customHeight="1" s="31">
      <c r="A176" s="11" t="inlineStr">
        <is>
          <t>Lesson (lessons)</t>
        </is>
      </c>
      <c r="B176" s="11" t="inlineStr">
        <is>
          <t>summary</t>
        </is>
      </c>
      <c r="C176" s="11" t="inlineStr">
        <is>
          <t>TEXT</t>
        </is>
      </c>
      <c r="D176" s="11" t="inlineStr">
        <is>
          <t>—</t>
        </is>
      </c>
      <c r="E176" s="11" t="inlineStr">
        <is>
          <t>Yes</t>
        </is>
      </c>
      <c r="F176" s="11" t="inlineStr">
        <is>
          <t>No</t>
        </is>
      </c>
      <c r="G176" s="11" t="inlineStr">
        <is>
          <t>NULL</t>
        </is>
      </c>
      <c r="H176" s="11" t="inlineStr">
        <is>
          <t>—</t>
        </is>
      </c>
      <c r="I176" s="11" t="inlineStr">
        <is>
          <t>For the life of the system; archived, not deleted (SRS 4.3).</t>
        </is>
      </c>
      <c r="J176" s="11" t="inlineStr">
        <is>
          <t>content-service</t>
        </is>
      </c>
      <c r="K176" s="11" t="n"/>
    </row>
    <row r="177" ht="26.4" customHeight="1" s="31">
      <c r="A177" s="11" t="inlineStr">
        <is>
          <t>Lesson (lessons)</t>
        </is>
      </c>
      <c r="B177" s="11" t="inlineStr">
        <is>
          <t>sort_order</t>
        </is>
      </c>
      <c r="C177" s="11" t="inlineStr">
        <is>
          <t>INT</t>
        </is>
      </c>
      <c r="D177" s="11" t="inlineStr">
        <is>
          <t>—</t>
        </is>
      </c>
      <c r="E177" s="11" t="inlineStr">
        <is>
          <t>No</t>
        </is>
      </c>
      <c r="F177" s="11" t="inlineStr">
        <is>
          <t>Composite (topic_id, sort_order)</t>
        </is>
      </c>
      <c r="G177" s="11" t="inlineStr">
        <is>
          <t>—</t>
        </is>
      </c>
      <c r="H177" s="11" t="inlineStr">
        <is>
          <t>—</t>
        </is>
      </c>
      <c r="I177" s="11" t="inlineStr">
        <is>
          <t>For the life of the system; archived, not deleted (SRS 4.3).</t>
        </is>
      </c>
      <c r="J177" s="11" t="inlineStr">
        <is>
          <t>content-service</t>
        </is>
      </c>
      <c r="K177" s="11" t="n"/>
    </row>
    <row r="178" ht="26.4" customHeight="1" s="31">
      <c r="A178" s="11" t="inlineStr">
        <is>
          <t>Lesson (lessons)</t>
        </is>
      </c>
      <c r="B178" s="11" t="inlineStr">
        <is>
          <t>status</t>
        </is>
      </c>
      <c r="C178" s="11" t="inlineStr">
        <is>
          <t>VARCHAR(50)</t>
        </is>
      </c>
      <c r="D178" s="11" t="inlineStr">
        <is>
          <t>—</t>
        </is>
      </c>
      <c r="E178" s="11" t="inlineStr">
        <is>
          <t>No</t>
        </is>
      </c>
      <c r="F178" s="11" t="inlineStr">
        <is>
          <t>No</t>
        </is>
      </c>
      <c r="G178" s="11" t="inlineStr">
        <is>
          <t>'DRAFT'</t>
        </is>
      </c>
      <c r="H178" s="11" t="inlineStr">
        <is>
          <t>CHECK (status IN ('DRAFT', 'PUBLISHED', 'ARCHIVED'))</t>
        </is>
      </c>
      <c r="I178" s="11" t="inlineStr">
        <is>
          <t>For the life of the system; archived, not deleted (SRS 4.3).</t>
        </is>
      </c>
      <c r="J178" s="11" t="inlineStr">
        <is>
          <t>content-service</t>
        </is>
      </c>
      <c r="K178" s="11" t="n"/>
    </row>
    <row r="179" ht="26.4" customHeight="1" s="31">
      <c r="A179" s="11" t="inlineStr">
        <is>
          <t>Lesson (lessons)</t>
        </is>
      </c>
      <c r="B179" s="11" t="inlineStr">
        <is>
          <t>created_at</t>
        </is>
      </c>
      <c r="C179" s="11" t="inlineStr">
        <is>
          <t>TIMESTAMPTZ</t>
        </is>
      </c>
      <c r="D179" s="11" t="inlineStr">
        <is>
          <t>—</t>
        </is>
      </c>
      <c r="E179" s="11" t="inlineStr">
        <is>
          <t>No</t>
        </is>
      </c>
      <c r="F179" s="11" t="inlineStr">
        <is>
          <t>No</t>
        </is>
      </c>
      <c r="G179" s="11" t="inlineStr">
        <is>
          <t>CURRENT_TIMESTAMP</t>
        </is>
      </c>
      <c r="H179" s="11" t="inlineStr">
        <is>
          <t>—</t>
        </is>
      </c>
      <c r="I179" s="11" t="inlineStr">
        <is>
          <t>For the life of the system; archived, not deleted (SRS 4.3).</t>
        </is>
      </c>
      <c r="J179" s="11" t="inlineStr">
        <is>
          <t>content-service</t>
        </is>
      </c>
      <c r="K179" s="11" t="n"/>
    </row>
    <row r="180" ht="26.4" customHeight="1" s="31">
      <c r="A180" s="11" t="inlineStr">
        <is>
          <t>Lesson (lessons)</t>
        </is>
      </c>
      <c r="B180" s="11" t="inlineStr">
        <is>
          <t>updated_at</t>
        </is>
      </c>
      <c r="C180" s="11" t="inlineStr">
        <is>
          <t>TIMESTAMPTZ</t>
        </is>
      </c>
      <c r="D180" s="11" t="inlineStr">
        <is>
          <t>—</t>
        </is>
      </c>
      <c r="E180" s="11" t="inlineStr">
        <is>
          <t>No</t>
        </is>
      </c>
      <c r="F180" s="11" t="inlineStr">
        <is>
          <t>No</t>
        </is>
      </c>
      <c r="G180" s="11" t="inlineStr">
        <is>
          <t>CURRENT_TIMESTAMP</t>
        </is>
      </c>
      <c r="H180" s="11" t="inlineStr">
        <is>
          <t>—</t>
        </is>
      </c>
      <c r="I180" s="11" t="inlineStr">
        <is>
          <t>For the life of the system; archived, not deleted (SRS 4.3).</t>
        </is>
      </c>
      <c r="J180" s="11" t="inlineStr">
        <is>
          <t>content-service</t>
        </is>
      </c>
      <c r="K180" s="11" t="n"/>
    </row>
    <row r="181" ht="39.6" customHeight="1" s="31">
      <c r="A181" s="13" t="inlineStr">
        <is>
          <t>Lesson Block (lesson_blocks)</t>
        </is>
      </c>
      <c r="B181" s="12" t="inlineStr">
        <is>
          <t>id</t>
        </is>
      </c>
      <c r="C181" s="13" t="inlineStr">
        <is>
          <t>UUID</t>
        </is>
      </c>
      <c r="D181" s="13" t="inlineStr">
        <is>
          <t>PK</t>
        </is>
      </c>
      <c r="E181" s="13" t="inlineStr">
        <is>
          <t>No</t>
        </is>
      </c>
      <c r="F181" s="13" t="inlineStr">
        <is>
          <t>Yes</t>
        </is>
      </c>
      <c r="G181" s="13" t="inlineStr">
        <is>
          <t>gen_random_uuid()</t>
        </is>
      </c>
      <c r="H181" s="13" t="inlineStr">
        <is>
          <t>—</t>
        </is>
      </c>
      <c r="I181" s="13" t="inlineStr">
        <is>
          <t>For the life of the system; archived, not deleted (SRS 4.3).</t>
        </is>
      </c>
      <c r="J181" s="13" t="inlineStr">
        <is>
          <t>content-service</t>
        </is>
      </c>
      <c r="K181" s="13" t="inlineStr">
        <is>
          <t>Defines an ordered text, asset, vocabulary or exercise block of a lesson. Table lesson_blocks; owner content-service; created in V8__lessons_and_topic_tests.sql.</t>
        </is>
      </c>
    </row>
    <row r="182" ht="26.4" customHeight="1" s="31">
      <c r="A182" s="13" t="inlineStr">
        <is>
          <t>Lesson Block (lesson_blocks)</t>
        </is>
      </c>
      <c r="B182" s="13" t="inlineStr">
        <is>
          <t>lesson_id</t>
        </is>
      </c>
      <c r="C182" s="13" t="inlineStr">
        <is>
          <t>UUID</t>
        </is>
      </c>
      <c r="D182" s="13" t="inlineStr">
        <is>
          <t>FK→Lesson.id</t>
        </is>
      </c>
      <c r="E182" s="13" t="inlineStr">
        <is>
          <t>No</t>
        </is>
      </c>
      <c r="F182" s="13" t="inlineStr">
        <is>
          <t>Composite (lesson_id, sort_order)</t>
        </is>
      </c>
      <c r="G182" s="13" t="inlineStr">
        <is>
          <t>—</t>
        </is>
      </c>
      <c r="H182" s="13" t="inlineStr">
        <is>
          <t>—</t>
        </is>
      </c>
      <c r="I182" s="13" t="inlineStr">
        <is>
          <t>For the life of the system; archived, not deleted (SRS 4.3).</t>
        </is>
      </c>
      <c r="J182" s="13" t="inlineStr">
        <is>
          <t>content-service</t>
        </is>
      </c>
      <c r="K182" s="13" t="n"/>
    </row>
    <row r="183" ht="26.4" customHeight="1" s="31">
      <c r="A183" s="13" t="inlineStr">
        <is>
          <t>Lesson Block (lesson_blocks)</t>
        </is>
      </c>
      <c r="B183" s="13" t="inlineStr">
        <is>
          <t>sort_order</t>
        </is>
      </c>
      <c r="C183" s="13" t="inlineStr">
        <is>
          <t>INT</t>
        </is>
      </c>
      <c r="D183" s="13" t="inlineStr">
        <is>
          <t>—</t>
        </is>
      </c>
      <c r="E183" s="13" t="inlineStr">
        <is>
          <t>No</t>
        </is>
      </c>
      <c r="F183" s="13" t="inlineStr">
        <is>
          <t>Composite (lesson_id, sort_order)</t>
        </is>
      </c>
      <c r="G183" s="13" t="inlineStr">
        <is>
          <t>—</t>
        </is>
      </c>
      <c r="H183" s="13" t="inlineStr">
        <is>
          <t>—</t>
        </is>
      </c>
      <c r="I183" s="13" t="inlineStr">
        <is>
          <t>For the life of the system; archived, not deleted (SRS 4.3).</t>
        </is>
      </c>
      <c r="J183" s="13" t="inlineStr">
        <is>
          <t>content-service</t>
        </is>
      </c>
      <c r="K183" s="13" t="n"/>
    </row>
    <row r="184" ht="26.4" customHeight="1" s="31">
      <c r="A184" s="13" t="inlineStr">
        <is>
          <t>Lesson Block (lesson_blocks)</t>
        </is>
      </c>
      <c r="B184" s="13" t="inlineStr">
        <is>
          <t>block_type</t>
        </is>
      </c>
      <c r="C184" s="13" t="inlineStr">
        <is>
          <t>VARCHAR(20)</t>
        </is>
      </c>
      <c r="D184" s="13" t="inlineStr">
        <is>
          <t>—</t>
        </is>
      </c>
      <c r="E184" s="13" t="inlineStr">
        <is>
          <t>No</t>
        </is>
      </c>
      <c r="F184" s="13" t="inlineStr">
        <is>
          <t>No</t>
        </is>
      </c>
      <c r="G184" s="13" t="inlineStr">
        <is>
          <t>—</t>
        </is>
      </c>
      <c r="H184" s="13" t="inlineStr">
        <is>
          <t>CHECK (block_type IN ('TEXT', 'ASSET', 'VOCABULARY', 'EXERCISE')); CHECK ((block_type = 'TEXT' AND text_content IS NOT NULL AND asset_id IS NULL) OR (block_type = 'ASSET' AND asset_id IS NOT NULL AND text_content IS NULL) OR (block_type IN ('VOCABULARY', 'EXERCISE') AND text_content IS NULL AND asset_id IS NULL))</t>
        </is>
      </c>
      <c r="I184" s="13" t="inlineStr">
        <is>
          <t>For the life of the system; archived, not deleted (SRS 4.3).</t>
        </is>
      </c>
      <c r="J184" s="13" t="inlineStr">
        <is>
          <t>content-service</t>
        </is>
      </c>
      <c r="K184" s="13" t="n"/>
    </row>
    <row r="185" ht="26.4" customHeight="1" s="31">
      <c r="A185" s="13" t="inlineStr">
        <is>
          <t>Lesson Block (lesson_blocks)</t>
        </is>
      </c>
      <c r="B185" s="13" t="inlineStr">
        <is>
          <t>text_content</t>
        </is>
      </c>
      <c r="C185" s="13" t="inlineStr">
        <is>
          <t>TEXT</t>
        </is>
      </c>
      <c r="D185" s="13" t="inlineStr">
        <is>
          <t>—</t>
        </is>
      </c>
      <c r="E185" s="13" t="inlineStr">
        <is>
          <t>Yes</t>
        </is>
      </c>
      <c r="F185" s="13" t="inlineStr">
        <is>
          <t>No</t>
        </is>
      </c>
      <c r="G185" s="13" t="inlineStr">
        <is>
          <t>NULL</t>
        </is>
      </c>
      <c r="H185" s="13" t="inlineStr">
        <is>
          <t>CHECK ((block_type = 'TEXT' AND text_content IS NOT NULL AND asset_id IS NULL) OR (block_type = 'ASSET' AND asset_id IS NOT NULL AND text_content IS NULL) OR (block_type IN ('VOCABULARY', 'EXERCISE') AND text_content IS NULL AND asset_id IS NULL))</t>
        </is>
      </c>
      <c r="I185" s="13" t="inlineStr">
        <is>
          <t>For the life of the system; archived, not deleted (SRS 4.3).</t>
        </is>
      </c>
      <c r="J185" s="13" t="inlineStr">
        <is>
          <t>content-service</t>
        </is>
      </c>
      <c r="K185" s="13" t="n"/>
    </row>
    <row r="186" ht="26.4" customHeight="1" s="31">
      <c r="A186" s="13" t="inlineStr">
        <is>
          <t>Lesson Block (lesson_blocks)</t>
        </is>
      </c>
      <c r="B186" s="13" t="inlineStr">
        <is>
          <t>asset_id</t>
        </is>
      </c>
      <c r="C186" s="13" t="inlineStr">
        <is>
          <t>UUID</t>
        </is>
      </c>
      <c r="D186" s="13" t="inlineStr">
        <is>
          <t>FK→Content Asset.id</t>
        </is>
      </c>
      <c r="E186" s="13" t="inlineStr">
        <is>
          <t>Yes</t>
        </is>
      </c>
      <c r="F186" s="13" t="inlineStr">
        <is>
          <t>No</t>
        </is>
      </c>
      <c r="G186" s="13" t="inlineStr">
        <is>
          <t>NULL</t>
        </is>
      </c>
      <c r="H186" s="13" t="inlineStr">
        <is>
          <t>CHECK ((block_type = 'TEXT' AND text_content IS NOT NULL AND asset_id IS NULL) OR (block_type = 'ASSET' AND asset_id IS NOT NULL AND text_content IS NULL) OR (block_type IN ('VOCABULARY', 'EXERCISE') AND text_content IS NULL AND asset_id IS NULL))</t>
        </is>
      </c>
      <c r="I186" s="13" t="inlineStr">
        <is>
          <t>For the life of the system; archived, not deleted (SRS 4.3).</t>
        </is>
      </c>
      <c r="J186" s="13" t="inlineStr">
        <is>
          <t>content-service</t>
        </is>
      </c>
      <c r="K186" s="13" t="n"/>
    </row>
    <row r="187" ht="26.4" customHeight="1" s="31">
      <c r="A187" s="13" t="inlineStr">
        <is>
          <t>Lesson Block (lesson_blocks)</t>
        </is>
      </c>
      <c r="B187" s="13" t="inlineStr">
        <is>
          <t>created_at</t>
        </is>
      </c>
      <c r="C187" s="13" t="inlineStr">
        <is>
          <t>TIMESTAMPTZ</t>
        </is>
      </c>
      <c r="D187" s="13" t="inlineStr">
        <is>
          <t>—</t>
        </is>
      </c>
      <c r="E187" s="13" t="inlineStr">
        <is>
          <t>No</t>
        </is>
      </c>
      <c r="F187" s="13" t="inlineStr">
        <is>
          <t>No</t>
        </is>
      </c>
      <c r="G187" s="13" t="inlineStr">
        <is>
          <t>CURRENT_TIMESTAMP</t>
        </is>
      </c>
      <c r="H187" s="13" t="inlineStr">
        <is>
          <t>—</t>
        </is>
      </c>
      <c r="I187" s="13" t="inlineStr">
        <is>
          <t>For the life of the system; archived, not deleted (SRS 4.3).</t>
        </is>
      </c>
      <c r="J187" s="13" t="inlineStr">
        <is>
          <t>content-service</t>
        </is>
      </c>
      <c r="K187" s="13" t="n"/>
    </row>
    <row r="188" ht="26.4" customHeight="1" s="31">
      <c r="A188" s="13" t="inlineStr">
        <is>
          <t>Lesson Block (lesson_blocks)</t>
        </is>
      </c>
      <c r="B188" s="13" t="inlineStr">
        <is>
          <t>updated_at</t>
        </is>
      </c>
      <c r="C188" s="13" t="inlineStr">
        <is>
          <t>TIMESTAMPTZ</t>
        </is>
      </c>
      <c r="D188" s="13" t="inlineStr">
        <is>
          <t>—</t>
        </is>
      </c>
      <c r="E188" s="13" t="inlineStr">
        <is>
          <t>No</t>
        </is>
      </c>
      <c r="F188" s="13" t="inlineStr">
        <is>
          <t>No</t>
        </is>
      </c>
      <c r="G188" s="13" t="inlineStr">
        <is>
          <t>CURRENT_TIMESTAMP</t>
        </is>
      </c>
      <c r="H188" s="13" t="inlineStr">
        <is>
          <t>—</t>
        </is>
      </c>
      <c r="I188" s="13" t="inlineStr">
        <is>
          <t>For the life of the system; archived, not deleted (SRS 4.3).</t>
        </is>
      </c>
      <c r="J188" s="13" t="inlineStr">
        <is>
          <t>content-service</t>
        </is>
      </c>
      <c r="K188" s="13" t="n"/>
    </row>
    <row r="189" ht="26.4" customHeight="1" s="31">
      <c r="A189" s="11" t="inlineStr">
        <is>
          <t>Content Asset (content_assets)</t>
        </is>
      </c>
      <c r="B189" s="10" t="inlineStr">
        <is>
          <t>id</t>
        </is>
      </c>
      <c r="C189" s="11" t="inlineStr">
        <is>
          <t>UUID</t>
        </is>
      </c>
      <c r="D189" s="11" t="inlineStr">
        <is>
          <t>PK</t>
        </is>
      </c>
      <c r="E189" s="11" t="inlineStr">
        <is>
          <t>No</t>
        </is>
      </c>
      <c r="F189" s="11" t="inlineStr">
        <is>
          <t>Yes</t>
        </is>
      </c>
      <c r="G189" s="11" t="inlineStr">
        <is>
          <t>gen_random_uuid()</t>
        </is>
      </c>
      <c r="H189" s="11" t="inlineStr">
        <is>
          <t>—</t>
        </is>
      </c>
      <c r="I189" s="11" t="inlineStr">
        <is>
          <t>For the life of the system; archived, not deleted (SRS 4.3).</t>
        </is>
      </c>
      <c r="J189" s="11" t="inlineStr">
        <is>
          <t>content-service</t>
        </is>
      </c>
      <c r="K189" s="11" t="inlineStr">
        <is>
          <t>Stores text or a media reference used by learning content. Table content_assets; owner content-service; created in V1__create_content_tables.sql.</t>
        </is>
      </c>
    </row>
    <row r="190" ht="26.4" customHeight="1" s="31">
      <c r="A190" s="11" t="inlineStr">
        <is>
          <t>Content Asset (content_assets)</t>
        </is>
      </c>
      <c r="B190" s="11" t="inlineStr">
        <is>
          <t>asset_type</t>
        </is>
      </c>
      <c r="C190" s="11" t="inlineStr">
        <is>
          <t>VARCHAR(50)</t>
        </is>
      </c>
      <c r="D190" s="11" t="inlineStr">
        <is>
          <t>—</t>
        </is>
      </c>
      <c r="E190" s="11" t="inlineStr">
        <is>
          <t>No</t>
        </is>
      </c>
      <c r="F190" s="11" t="inlineStr">
        <is>
          <t>No</t>
        </is>
      </c>
      <c r="G190" s="11" t="inlineStr">
        <is>
          <t>—</t>
        </is>
      </c>
      <c r="H190" s="11" t="inlineStr">
        <is>
          <t>CHECK (asset_type IN ('PASSAGE', 'AUDIO', 'IMAGE', 'VIDEO'))</t>
        </is>
      </c>
      <c r="I190" s="11" t="inlineStr">
        <is>
          <t>For the life of the system; archived, not deleted (SRS 4.3).</t>
        </is>
      </c>
      <c r="J190" s="11" t="inlineStr">
        <is>
          <t>content-service</t>
        </is>
      </c>
      <c r="K190" s="11" t="n"/>
    </row>
    <row r="191" ht="39.6" customHeight="1" s="31">
      <c r="A191" s="11" t="inlineStr">
        <is>
          <t>Content Asset (content_assets)</t>
        </is>
      </c>
      <c r="B191" s="11" t="inlineStr">
        <is>
          <t>text_content</t>
        </is>
      </c>
      <c r="C191" s="11" t="inlineStr">
        <is>
          <t>TEXT</t>
        </is>
      </c>
      <c r="D191" s="11" t="inlineStr">
        <is>
          <t>—</t>
        </is>
      </c>
      <c r="E191" s="11" t="inlineStr">
        <is>
          <t>Yes</t>
        </is>
      </c>
      <c r="F191" s="11" t="inlineStr">
        <is>
          <t>No</t>
        </is>
      </c>
      <c r="G191" s="11" t="inlineStr">
        <is>
          <t>NULL</t>
        </is>
      </c>
      <c r="H191" s="11" t="inlineStr">
        <is>
          <t>—</t>
        </is>
      </c>
      <c r="I191" s="11" t="inlineStr">
        <is>
          <t>For the life of the system; archived, not deleted (SRS 4.3).</t>
        </is>
      </c>
      <c r="J191" s="11" t="inlineStr">
        <is>
          <t>content-service</t>
        </is>
      </c>
      <c r="K191" s="11" t="n"/>
    </row>
    <row r="192" ht="39.6" customHeight="1" s="31">
      <c r="A192" s="11" t="inlineStr">
        <is>
          <t>Content Asset (content_assets)</t>
        </is>
      </c>
      <c r="B192" s="11" t="inlineStr">
        <is>
          <t>media_reference</t>
        </is>
      </c>
      <c r="C192" s="11" t="inlineStr">
        <is>
          <t>TEXT</t>
        </is>
      </c>
      <c r="D192" s="11" t="inlineStr">
        <is>
          <t>—</t>
        </is>
      </c>
      <c r="E192" s="11" t="inlineStr">
        <is>
          <t>Yes</t>
        </is>
      </c>
      <c r="F192" s="11" t="inlineStr">
        <is>
          <t>No</t>
        </is>
      </c>
      <c r="G192" s="11" t="inlineStr">
        <is>
          <t>NULL</t>
        </is>
      </c>
      <c r="H192" s="11" t="inlineStr">
        <is>
          <t>—</t>
        </is>
      </c>
      <c r="I192" s="11" t="inlineStr">
        <is>
          <t>For the life of the system; archived, not deleted (SRS 4.3).</t>
        </is>
      </c>
      <c r="J192" s="11" t="inlineStr">
        <is>
          <t>content-service</t>
        </is>
      </c>
      <c r="K192" s="11" t="n"/>
    </row>
    <row r="193" ht="26.4" customHeight="1" s="31">
      <c r="A193" s="11" t="inlineStr">
        <is>
          <t>Content Asset (content_assets)</t>
        </is>
      </c>
      <c r="B193" s="11" t="inlineStr">
        <is>
          <t>duration_seconds</t>
        </is>
      </c>
      <c r="C193" s="11" t="inlineStr">
        <is>
          <t>INT</t>
        </is>
      </c>
      <c r="D193" s="11" t="inlineStr">
        <is>
          <t>—</t>
        </is>
      </c>
      <c r="E193" s="11" t="inlineStr">
        <is>
          <t>Yes</t>
        </is>
      </c>
      <c r="F193" s="11" t="inlineStr">
        <is>
          <t>No</t>
        </is>
      </c>
      <c r="G193" s="11" t="inlineStr">
        <is>
          <t>NULL</t>
        </is>
      </c>
      <c r="H193" s="11" t="inlineStr">
        <is>
          <t>—</t>
        </is>
      </c>
      <c r="I193" s="11" t="inlineStr">
        <is>
          <t>For the life of the system; archived, not deleted (SRS 4.3).</t>
        </is>
      </c>
      <c r="J193" s="11" t="inlineStr">
        <is>
          <t>content-service</t>
        </is>
      </c>
      <c r="K193" s="11" t="n"/>
    </row>
    <row r="194" ht="26.4" customHeight="1" s="31">
      <c r="A194" s="11" t="inlineStr">
        <is>
          <t>Content Asset (content_assets)</t>
        </is>
      </c>
      <c r="B194" s="11" t="inlineStr">
        <is>
          <t>checksum</t>
        </is>
      </c>
      <c r="C194" s="11" t="inlineStr">
        <is>
          <t>VARCHAR(128)</t>
        </is>
      </c>
      <c r="D194" s="11" t="inlineStr">
        <is>
          <t>—</t>
        </is>
      </c>
      <c r="E194" s="11" t="inlineStr">
        <is>
          <t>Yes</t>
        </is>
      </c>
      <c r="F194" s="11" t="inlineStr">
        <is>
          <t>No</t>
        </is>
      </c>
      <c r="G194" s="11" t="inlineStr">
        <is>
          <t>NULL</t>
        </is>
      </c>
      <c r="H194" s="11" t="inlineStr">
        <is>
          <t>—</t>
        </is>
      </c>
      <c r="I194" s="11" t="inlineStr">
        <is>
          <t>For the life of the system; archived, not deleted (SRS 4.3).</t>
        </is>
      </c>
      <c r="J194" s="11" t="inlineStr">
        <is>
          <t>content-service</t>
        </is>
      </c>
      <c r="K194" s="11" t="n"/>
    </row>
    <row r="195" ht="39.6" customHeight="1" s="31">
      <c r="A195" s="11" t="inlineStr">
        <is>
          <t>Content Asset (content_assets)</t>
        </is>
      </c>
      <c r="B195" s="11" t="inlineStr">
        <is>
          <t>validation_status</t>
        </is>
      </c>
      <c r="C195" s="11" t="inlineStr">
        <is>
          <t>VARCHAR(50)</t>
        </is>
      </c>
      <c r="D195" s="11" t="inlineStr">
        <is>
          <t>—</t>
        </is>
      </c>
      <c r="E195" s="11" t="inlineStr">
        <is>
          <t>No</t>
        </is>
      </c>
      <c r="F195" s="11" t="inlineStr">
        <is>
          <t>No</t>
        </is>
      </c>
      <c r="G195" s="11" t="inlineStr">
        <is>
          <t>'VALID'</t>
        </is>
      </c>
      <c r="H195" s="11" t="inlineStr">
        <is>
          <t>CHECK (validation_status IN ('PENDING', 'VALID', 'INVALID'))</t>
        </is>
      </c>
      <c r="I195" s="11" t="inlineStr">
        <is>
          <t>For the life of the system; archived, not deleted (SRS 4.3).</t>
        </is>
      </c>
      <c r="J195" s="11" t="inlineStr">
        <is>
          <t>content-service</t>
        </is>
      </c>
      <c r="K195" s="11" t="n"/>
    </row>
    <row r="196" ht="26.4" customHeight="1" s="31">
      <c r="A196" s="11" t="inlineStr">
        <is>
          <t>Content Asset (content_assets)</t>
        </is>
      </c>
      <c r="B196" s="11" t="inlineStr">
        <is>
          <t>created_at</t>
        </is>
      </c>
      <c r="C196" s="11" t="inlineStr">
        <is>
          <t>TIMESTAMPTZ</t>
        </is>
      </c>
      <c r="D196" s="11" t="inlineStr">
        <is>
          <t>—</t>
        </is>
      </c>
      <c r="E196" s="11" t="inlineStr">
        <is>
          <t>No</t>
        </is>
      </c>
      <c r="F196" s="11" t="inlineStr">
        <is>
          <t>No</t>
        </is>
      </c>
      <c r="G196" s="11" t="inlineStr">
        <is>
          <t>CURRENT_TIMESTAMP</t>
        </is>
      </c>
      <c r="H196" s="11" t="inlineStr">
        <is>
          <t>—</t>
        </is>
      </c>
      <c r="I196" s="11" t="inlineStr">
        <is>
          <t>For the life of the system; archived, not deleted (SRS 4.3).</t>
        </is>
      </c>
      <c r="J196" s="11" t="inlineStr">
        <is>
          <t>content-service</t>
        </is>
      </c>
      <c r="K196" s="11" t="n"/>
    </row>
    <row r="197" ht="26.4" customHeight="1" s="31">
      <c r="A197" s="13" t="inlineStr">
        <is>
          <t>Content Package (content_packages)</t>
        </is>
      </c>
      <c r="B197" s="12" t="inlineStr">
        <is>
          <t>id</t>
        </is>
      </c>
      <c r="C197" s="13" t="inlineStr">
        <is>
          <t>UUID</t>
        </is>
      </c>
      <c r="D197" s="13" t="inlineStr">
        <is>
          <t>PK</t>
        </is>
      </c>
      <c r="E197" s="13" t="inlineStr">
        <is>
          <t>No</t>
        </is>
      </c>
      <c r="F197" s="13" t="inlineStr">
        <is>
          <t>Yes</t>
        </is>
      </c>
      <c r="G197" s="13" t="inlineStr">
        <is>
          <t>gen_random_uuid()</t>
        </is>
      </c>
      <c r="H197" s="13" t="inlineStr">
        <is>
          <t>—</t>
        </is>
      </c>
      <c r="I197" s="13" t="inlineStr">
        <is>
          <t>For the life of the system; archived, not deleted (SRS 4.3).</t>
        </is>
      </c>
      <c r="J197" s="13" t="inlineStr">
        <is>
          <t>content-service</t>
        </is>
      </c>
      <c r="K197" s="13" t="inlineStr">
        <is>
          <t>Groups versioned content for practice, tests, quizzes or legacy lesson packages. Table content_packages; owner content-service; created in V1__create_content_tables.sql.</t>
        </is>
      </c>
    </row>
    <row r="198" ht="26.4" customHeight="1" s="31">
      <c r="A198" s="13" t="inlineStr">
        <is>
          <t>Content Package (content_packages)</t>
        </is>
      </c>
      <c r="B198" s="13" t="inlineStr">
        <is>
          <t>code</t>
        </is>
      </c>
      <c r="C198" s="13" t="inlineStr">
        <is>
          <t>VARCHAR(100)</t>
        </is>
      </c>
      <c r="D198" s="13" t="inlineStr">
        <is>
          <t>—</t>
        </is>
      </c>
      <c r="E198" s="13" t="inlineStr">
        <is>
          <t>No</t>
        </is>
      </c>
      <c r="F198" s="13" t="inlineStr">
        <is>
          <t>Yes</t>
        </is>
      </c>
      <c r="G198" s="13" t="inlineStr">
        <is>
          <t>—</t>
        </is>
      </c>
      <c r="H198" s="13" t="inlineStr">
        <is>
          <t>—</t>
        </is>
      </c>
      <c r="I198" s="13" t="inlineStr">
        <is>
          <t>For the life of the system; archived, not deleted (SRS 4.3).</t>
        </is>
      </c>
      <c r="J198" s="13" t="inlineStr">
        <is>
          <t>content-service</t>
        </is>
      </c>
      <c r="K198" s="13" t="n"/>
    </row>
    <row r="199" ht="26.4" customHeight="1" s="31">
      <c r="A199" s="13" t="inlineStr">
        <is>
          <t>Content Package (content_packages)</t>
        </is>
      </c>
      <c r="B199" s="13" t="inlineStr">
        <is>
          <t>title</t>
        </is>
      </c>
      <c r="C199" s="13" t="inlineStr">
        <is>
          <t>VARCHAR(255)</t>
        </is>
      </c>
      <c r="D199" s="13" t="inlineStr">
        <is>
          <t>—</t>
        </is>
      </c>
      <c r="E199" s="13" t="inlineStr">
        <is>
          <t>No</t>
        </is>
      </c>
      <c r="F199" s="13" t="inlineStr">
        <is>
          <t>No</t>
        </is>
      </c>
      <c r="G199" s="13" t="inlineStr">
        <is>
          <t>—</t>
        </is>
      </c>
      <c r="H199" s="13" t="inlineStr">
        <is>
          <t>—</t>
        </is>
      </c>
      <c r="I199" s="13" t="inlineStr">
        <is>
          <t>For the life of the system; archived, not deleted (SRS 4.3).</t>
        </is>
      </c>
      <c r="J199" s="13" t="inlineStr">
        <is>
          <t>content-service</t>
        </is>
      </c>
      <c r="K199" s="13" t="n"/>
    </row>
    <row r="200" ht="39.6" customHeight="1" s="31">
      <c r="A200" s="13" t="inlineStr">
        <is>
          <t>Content Package (content_packages)</t>
        </is>
      </c>
      <c r="B200" s="13" t="inlineStr">
        <is>
          <t>package_type</t>
        </is>
      </c>
      <c r="C200" s="13" t="inlineStr">
        <is>
          <t>VARCHAR(50)</t>
        </is>
      </c>
      <c r="D200" s="13" t="inlineStr">
        <is>
          <t>—</t>
        </is>
      </c>
      <c r="E200" s="13" t="inlineStr">
        <is>
          <t>No</t>
        </is>
      </c>
      <c r="F200" s="13" t="inlineStr">
        <is>
          <t>No</t>
        </is>
      </c>
      <c r="G200" s="13" t="inlineStr">
        <is>
          <t>—</t>
        </is>
      </c>
      <c r="H200" s="13" t="inlineStr">
        <is>
          <t>CHECK (package_type IN ('MOCK_TEST', 'PLACEMENT_TEST', 'PRACTICE_SET', 'QUIZ', 'LESSON', 'TOPIC_TEST')); CHECK (package_type &lt;&gt; 'TOPIC_TEST' OR topic_id IS NOT NULL); CHECK (lesson_id IS NULL OR package_type = 'PRACTICE_SET')</t>
        </is>
      </c>
      <c r="I200" s="13" t="inlineStr">
        <is>
          <t>For the life of the system; archived, not deleted (SRS 4.3).</t>
        </is>
      </c>
      <c r="J200" s="13" t="inlineStr">
        <is>
          <t>content-service</t>
        </is>
      </c>
      <c r="K200" s="13" t="n"/>
    </row>
    <row r="201" ht="52.8" customHeight="1" s="31">
      <c r="A201" s="13" t="inlineStr">
        <is>
          <t>Content Package (content_packages)</t>
        </is>
      </c>
      <c r="B201" s="13" t="inlineStr">
        <is>
          <t>status</t>
        </is>
      </c>
      <c r="C201" s="13" t="inlineStr">
        <is>
          <t>VARCHAR(50)</t>
        </is>
      </c>
      <c r="D201" s="13" t="inlineStr">
        <is>
          <t>—</t>
        </is>
      </c>
      <c r="E201" s="13" t="inlineStr">
        <is>
          <t>No</t>
        </is>
      </c>
      <c r="F201" s="13" t="inlineStr">
        <is>
          <t>No</t>
        </is>
      </c>
      <c r="G201" s="13" t="inlineStr">
        <is>
          <t>'DRAFT'</t>
        </is>
      </c>
      <c r="H201" s="13" t="inlineStr">
        <is>
          <t>CHECK (status IN ('DRAFT', 'PUBLISHED', 'ARCHIVED'))</t>
        </is>
      </c>
      <c r="I201" s="13" t="inlineStr">
        <is>
          <t>For the life of the system; archived, not deleted (SRS 4.3).</t>
        </is>
      </c>
      <c r="J201" s="13" t="inlineStr">
        <is>
          <t>content-service</t>
        </is>
      </c>
      <c r="K201" s="13" t="n"/>
    </row>
    <row r="202" ht="26.4" customHeight="1" s="31">
      <c r="A202" s="13" t="inlineStr">
        <is>
          <t>Content Package (content_packages)</t>
        </is>
      </c>
      <c r="B202" s="13" t="inlineStr">
        <is>
          <t>current_published_version_id</t>
        </is>
      </c>
      <c r="C202" s="13" t="inlineStr">
        <is>
          <t>UUID</t>
        </is>
      </c>
      <c r="D202" s="13" t="inlineStr">
        <is>
          <t>FK→Package Version.id</t>
        </is>
      </c>
      <c r="E202" s="13" t="inlineStr">
        <is>
          <t>Yes</t>
        </is>
      </c>
      <c r="F202" s="13" t="inlineStr">
        <is>
          <t>No</t>
        </is>
      </c>
      <c r="G202" s="13" t="inlineStr">
        <is>
          <t>NULL</t>
        </is>
      </c>
      <c r="H202" s="13" t="inlineStr">
        <is>
          <t>—</t>
        </is>
      </c>
      <c r="I202" s="13" t="inlineStr">
        <is>
          <t>For the life of the system; archived, not deleted (SRS 4.3).</t>
        </is>
      </c>
      <c r="J202" s="13" t="inlineStr">
        <is>
          <t>content-service</t>
        </is>
      </c>
      <c r="K202" s="13" t="n"/>
    </row>
    <row r="203" ht="26.4" customHeight="1" s="31">
      <c r="A203" s="13" t="inlineStr">
        <is>
          <t>Content Package (content_packages)</t>
        </is>
      </c>
      <c r="B203" s="13" t="inlineStr">
        <is>
          <t>created_at</t>
        </is>
      </c>
      <c r="C203" s="13" t="inlineStr">
        <is>
          <t>TIMESTAMPTZ</t>
        </is>
      </c>
      <c r="D203" s="13" t="inlineStr">
        <is>
          <t>—</t>
        </is>
      </c>
      <c r="E203" s="13" t="inlineStr">
        <is>
          <t>No</t>
        </is>
      </c>
      <c r="F203" s="13" t="inlineStr">
        <is>
          <t>No</t>
        </is>
      </c>
      <c r="G203" s="13" t="inlineStr">
        <is>
          <t>CURRENT_TIMESTAMP</t>
        </is>
      </c>
      <c r="H203" s="13" t="inlineStr">
        <is>
          <t>—</t>
        </is>
      </c>
      <c r="I203" s="13" t="inlineStr">
        <is>
          <t>For the life of the system; archived, not deleted (SRS 4.3).</t>
        </is>
      </c>
      <c r="J203" s="13" t="inlineStr">
        <is>
          <t>content-service</t>
        </is>
      </c>
      <c r="K203" s="13" t="n"/>
    </row>
    <row r="204" ht="26.4" customHeight="1" s="31">
      <c r="A204" s="13" t="inlineStr">
        <is>
          <t>Content Package (content_packages)</t>
        </is>
      </c>
      <c r="B204" s="13" t="inlineStr">
        <is>
          <t>updated_at</t>
        </is>
      </c>
      <c r="C204" s="13" t="inlineStr">
        <is>
          <t>TIMESTAMPTZ</t>
        </is>
      </c>
      <c r="D204" s="13" t="inlineStr">
        <is>
          <t>—</t>
        </is>
      </c>
      <c r="E204" s="13" t="inlineStr">
        <is>
          <t>No</t>
        </is>
      </c>
      <c r="F204" s="13" t="inlineStr">
        <is>
          <t>No</t>
        </is>
      </c>
      <c r="G204" s="13" t="inlineStr">
        <is>
          <t>CURRENT_TIMESTAMP</t>
        </is>
      </c>
      <c r="H204" s="13" t="inlineStr">
        <is>
          <t>—</t>
        </is>
      </c>
      <c r="I204" s="13" t="inlineStr">
        <is>
          <t>For the life of the system; archived, not deleted (SRS 4.3).</t>
        </is>
      </c>
      <c r="J204" s="13" t="inlineStr">
        <is>
          <t>content-service</t>
        </is>
      </c>
      <c r="K204" s="13" t="n"/>
    </row>
    <row r="205" ht="26.4" customHeight="1" s="31">
      <c r="A205" s="13" t="inlineStr">
        <is>
          <t>Content Package (content_packages)</t>
        </is>
      </c>
      <c r="B205" s="13" t="inlineStr">
        <is>
          <t>required_feature_key</t>
        </is>
      </c>
      <c r="C205" s="13" t="inlineStr">
        <is>
          <t>VARCHAR(100)</t>
        </is>
      </c>
      <c r="D205" s="13" t="inlineStr">
        <is>
          <t>—</t>
        </is>
      </c>
      <c r="E205" s="13" t="inlineStr">
        <is>
          <t>Yes</t>
        </is>
      </c>
      <c r="F205" s="13" t="inlineStr">
        <is>
          <t>No</t>
        </is>
      </c>
      <c r="G205" s="13" t="inlineStr">
        <is>
          <t>NULL</t>
        </is>
      </c>
      <c r="H205" s="13" t="inlineStr">
        <is>
          <t>—</t>
        </is>
      </c>
      <c r="I205" s="13" t="inlineStr">
        <is>
          <t>For the life of the system; archived, not deleted (SRS 4.3).</t>
        </is>
      </c>
      <c r="J205" s="13" t="inlineStr">
        <is>
          <t>content-service</t>
        </is>
      </c>
      <c r="K205" s="13" t="n"/>
    </row>
    <row r="206" ht="26.4" customHeight="1" s="31">
      <c r="A206" s="13" t="inlineStr">
        <is>
          <t>Content Package (content_packages)</t>
        </is>
      </c>
      <c r="B206" s="13" t="inlineStr">
        <is>
          <t>topic_id</t>
        </is>
      </c>
      <c r="C206" s="13" t="inlineStr">
        <is>
          <t>UUID</t>
        </is>
      </c>
      <c r="D206" s="13" t="inlineStr">
        <is>
          <t>FK→Topic.id</t>
        </is>
      </c>
      <c r="E206" s="13" t="inlineStr">
        <is>
          <t>Yes</t>
        </is>
      </c>
      <c r="F206" s="13" t="inlineStr">
        <is>
          <t>No</t>
        </is>
      </c>
      <c r="G206" s="13" t="inlineStr">
        <is>
          <t>NULL</t>
        </is>
      </c>
      <c r="H206" s="13" t="inlineStr">
        <is>
          <t>CHECK (package_type &lt;&gt; 'TOPIC_TEST' OR topic_id IS NOT NULL)</t>
        </is>
      </c>
      <c r="I206" s="13" t="inlineStr">
        <is>
          <t>For the life of the system; archived, not deleted (SRS 4.3).</t>
        </is>
      </c>
      <c r="J206" s="13" t="inlineStr">
        <is>
          <t>content-service</t>
        </is>
      </c>
      <c r="K206" s="13" t="n"/>
    </row>
    <row r="207" ht="26.4" customHeight="1" s="31">
      <c r="A207" s="13" t="inlineStr">
        <is>
          <t>Content Package (content_packages)</t>
        </is>
      </c>
      <c r="B207" s="13" t="inlineStr">
        <is>
          <t>lesson_id</t>
        </is>
      </c>
      <c r="C207" s="13" t="inlineStr">
        <is>
          <t>UUID</t>
        </is>
      </c>
      <c r="D207" s="13" t="inlineStr">
        <is>
          <t>FK→Lesson.id</t>
        </is>
      </c>
      <c r="E207" s="13" t="inlineStr">
        <is>
          <t>Yes</t>
        </is>
      </c>
      <c r="F207" s="13" t="inlineStr">
        <is>
          <t>No</t>
        </is>
      </c>
      <c r="G207" s="13" t="inlineStr">
        <is>
          <t>NULL</t>
        </is>
      </c>
      <c r="H207" s="13" t="inlineStr">
        <is>
          <t>CHECK (lesson_id IS NULL OR package_type = 'PRACTICE_SET')</t>
        </is>
      </c>
      <c r="I207" s="13" t="inlineStr">
        <is>
          <t>For the life of the system; archived, not deleted (SRS 4.3).</t>
        </is>
      </c>
      <c r="J207" s="13" t="inlineStr">
        <is>
          <t>content-service</t>
        </is>
      </c>
      <c r="K207" s="13" t="n"/>
    </row>
    <row r="208" ht="26.4" customHeight="1" s="31">
      <c r="A208" s="11" t="inlineStr">
        <is>
          <t>Content Package (content_packages)</t>
        </is>
      </c>
      <c r="B208" s="11" t="inlineStr">
        <is>
          <t>course_id</t>
        </is>
      </c>
      <c r="C208" s="11" t="inlineStr">
        <is>
          <t>UUID</t>
        </is>
      </c>
      <c r="D208" s="11" t="inlineStr">
        <is>
          <t>FK→Course.id</t>
        </is>
      </c>
      <c r="E208" s="11" t="inlineStr">
        <is>
          <t>Yes</t>
        </is>
      </c>
      <c r="F208" s="11" t="inlineStr">
        <is>
          <t>No</t>
        </is>
      </c>
      <c r="G208" s="11" t="inlineStr">
        <is>
          <t>NULL</t>
        </is>
      </c>
      <c r="H208" s="11" t="inlineStr">
        <is>
          <t>CHECK (package_type &lt;&gt; 'COURSE_TEST' OR course_id IS NOT NULL)</t>
        </is>
      </c>
      <c r="I208" s="11" t="inlineStr">
        <is>
          <t>For the life of the system; archived, not deleted (SRS 4.3).</t>
        </is>
      </c>
      <c r="J208" s="11" t="inlineStr">
        <is>
          <t>content-service</t>
        </is>
      </c>
      <c r="K208" s="11" t="inlineStr">
        <is>
          <t>Course of a COURSE_TEST package; added in V20__course_test_packages.sql.</t>
        </is>
      </c>
    </row>
    <row r="209" ht="39.6" customHeight="1" s="31">
      <c r="A209" s="11" t="inlineStr">
        <is>
          <t>Package Version (content_package_versions)</t>
        </is>
      </c>
      <c r="B209" s="10" t="inlineStr">
        <is>
          <t>id</t>
        </is>
      </c>
      <c r="C209" s="11" t="inlineStr">
        <is>
          <t>UUID</t>
        </is>
      </c>
      <c r="D209" s="11" t="inlineStr">
        <is>
          <t>PK</t>
        </is>
      </c>
      <c r="E209" s="11" t="inlineStr">
        <is>
          <t>No</t>
        </is>
      </c>
      <c r="F209" s="11" t="inlineStr">
        <is>
          <t>Yes</t>
        </is>
      </c>
      <c r="G209" s="11" t="inlineStr">
        <is>
          <t>gen_random_uuid()</t>
        </is>
      </c>
      <c r="H209" s="11" t="inlineStr">
        <is>
          <t>—</t>
        </is>
      </c>
      <c r="I209" s="11" t="inlineStr">
        <is>
          <t>For the life of the system; archived, not deleted (SRS 4.3).</t>
        </is>
      </c>
      <c r="J209" s="11" t="inlineStr">
        <is>
          <t>content-service</t>
        </is>
      </c>
      <c r="K209" s="11" t="inlineStr">
        <is>
          <t>Preserves one numbered version of a content package. Table content_package_versions; owner content-service; created in V1__create_content_tables.sql.</t>
        </is>
      </c>
    </row>
    <row r="210" ht="26.4" customHeight="1" s="31">
      <c r="A210" s="11" t="inlineStr">
        <is>
          <t>Package Version (content_package_versions)</t>
        </is>
      </c>
      <c r="B210" s="11" t="inlineStr">
        <is>
          <t>package_id</t>
        </is>
      </c>
      <c r="C210" s="11" t="inlineStr">
        <is>
          <t>UUID</t>
        </is>
      </c>
      <c r="D210" s="11" t="inlineStr">
        <is>
          <t>FK→Content Package.id</t>
        </is>
      </c>
      <c r="E210" s="11" t="inlineStr">
        <is>
          <t>No</t>
        </is>
      </c>
      <c r="F210" s="11" t="inlineStr">
        <is>
          <t>Composite (package_id, version_number)</t>
        </is>
      </c>
      <c r="G210" s="11" t="inlineStr">
        <is>
          <t>—</t>
        </is>
      </c>
      <c r="H210" s="11" t="inlineStr">
        <is>
          <t>—</t>
        </is>
      </c>
      <c r="I210" s="11" t="inlineStr">
        <is>
          <t>For the life of the system; archived, not deleted (SRS 4.3).</t>
        </is>
      </c>
      <c r="J210" s="11" t="inlineStr">
        <is>
          <t>content-service</t>
        </is>
      </c>
      <c r="K210" s="11" t="n"/>
    </row>
    <row r="211" ht="26.4" customHeight="1" s="31">
      <c r="A211" s="11" t="inlineStr">
        <is>
          <t>Package Version (content_package_versions)</t>
        </is>
      </c>
      <c r="B211" s="11" t="inlineStr">
        <is>
          <t>version_number</t>
        </is>
      </c>
      <c r="C211" s="11" t="inlineStr">
        <is>
          <t>INT</t>
        </is>
      </c>
      <c r="D211" s="11" t="inlineStr">
        <is>
          <t>—</t>
        </is>
      </c>
      <c r="E211" s="11" t="inlineStr">
        <is>
          <t>No</t>
        </is>
      </c>
      <c r="F211" s="11" t="inlineStr">
        <is>
          <t>Composite (package_id, version_number)</t>
        </is>
      </c>
      <c r="G211" s="11" t="inlineStr">
        <is>
          <t>—</t>
        </is>
      </c>
      <c r="H211" s="11" t="inlineStr">
        <is>
          <t>—</t>
        </is>
      </c>
      <c r="I211" s="11" t="inlineStr">
        <is>
          <t>For the life of the system; archived, not deleted (SRS 4.3).</t>
        </is>
      </c>
      <c r="J211" s="11" t="inlineStr">
        <is>
          <t>content-service</t>
        </is>
      </c>
      <c r="K211" s="11" t="n"/>
    </row>
    <row r="212" ht="26.4" customHeight="1" s="31">
      <c r="A212" s="11" t="inlineStr">
        <is>
          <t>Package Version (content_package_versions)</t>
        </is>
      </c>
      <c r="B212" s="11" t="inlineStr">
        <is>
          <t>status</t>
        </is>
      </c>
      <c r="C212" s="11" t="inlineStr">
        <is>
          <t>VARCHAR(50)</t>
        </is>
      </c>
      <c r="D212" s="11" t="inlineStr">
        <is>
          <t>—</t>
        </is>
      </c>
      <c r="E212" s="11" t="inlineStr">
        <is>
          <t>No</t>
        </is>
      </c>
      <c r="F212" s="11" t="inlineStr">
        <is>
          <t>No</t>
        </is>
      </c>
      <c r="G212" s="11" t="inlineStr">
        <is>
          <t>'DRAFT'</t>
        </is>
      </c>
      <c r="H212" s="11" t="inlineStr">
        <is>
          <t>CHECK (status IN ('DRAFT', 'PUBLISHED', 'ARCHIVED'))</t>
        </is>
      </c>
      <c r="I212" s="11" t="inlineStr">
        <is>
          <t>For the life of the system; archived, not deleted (SRS 4.3).</t>
        </is>
      </c>
      <c r="J212" s="11" t="inlineStr">
        <is>
          <t>content-service</t>
        </is>
      </c>
      <c r="K212" s="11" t="n"/>
    </row>
    <row r="213" ht="26.4" customHeight="1" s="31">
      <c r="A213" s="11" t="inlineStr">
        <is>
          <t>Package Version (content_package_versions)</t>
        </is>
      </c>
      <c r="B213" s="11" t="inlineStr">
        <is>
          <t>rules</t>
        </is>
      </c>
      <c r="C213" s="11" t="inlineStr">
        <is>
          <t>JSONB</t>
        </is>
      </c>
      <c r="D213" s="11" t="inlineStr">
        <is>
          <t>—</t>
        </is>
      </c>
      <c r="E213" s="11" t="inlineStr">
        <is>
          <t>No</t>
        </is>
      </c>
      <c r="F213" s="11" t="inlineStr">
        <is>
          <t>No</t>
        </is>
      </c>
      <c r="G213" s="11" t="inlineStr">
        <is>
          <t>'{}'::jsonb</t>
        </is>
      </c>
      <c r="H213" s="11" t="inlineStr">
        <is>
          <t>—</t>
        </is>
      </c>
      <c r="I213" s="11" t="inlineStr">
        <is>
          <t>For the life of the system; archived, not deleted (SRS 4.3).</t>
        </is>
      </c>
      <c r="J213" s="11" t="inlineStr">
        <is>
          <t>content-service</t>
        </is>
      </c>
      <c r="K213" s="11" t="n"/>
    </row>
    <row r="214" ht="26.4" customHeight="1" s="31">
      <c r="A214" s="11" t="inlineStr">
        <is>
          <t>Package Version (content_package_versions)</t>
        </is>
      </c>
      <c r="B214" s="11" t="inlineStr">
        <is>
          <t>schema_version</t>
        </is>
      </c>
      <c r="C214" s="11" t="inlineStr">
        <is>
          <t>INT</t>
        </is>
      </c>
      <c r="D214" s="11" t="inlineStr">
        <is>
          <t>—</t>
        </is>
      </c>
      <c r="E214" s="11" t="inlineStr">
        <is>
          <t>No</t>
        </is>
      </c>
      <c r="F214" s="11" t="inlineStr">
        <is>
          <t>No</t>
        </is>
      </c>
      <c r="G214" s="11" t="inlineStr">
        <is>
          <t>1</t>
        </is>
      </c>
      <c r="H214" s="11" t="inlineStr">
        <is>
          <t>—</t>
        </is>
      </c>
      <c r="I214" s="11" t="inlineStr">
        <is>
          <t>For the life of the system; archived, not deleted (SRS 4.3).</t>
        </is>
      </c>
      <c r="J214" s="11" t="inlineStr">
        <is>
          <t>content-service</t>
        </is>
      </c>
      <c r="K214" s="11" t="n"/>
    </row>
    <row r="215" ht="26.4" customHeight="1" s="31">
      <c r="A215" s="11" t="inlineStr">
        <is>
          <t>Package Version (content_package_versions)</t>
        </is>
      </c>
      <c r="B215" s="11" t="inlineStr">
        <is>
          <t>published_at</t>
        </is>
      </c>
      <c r="C215" s="11" t="inlineStr">
        <is>
          <t>TIMESTAMPTZ</t>
        </is>
      </c>
      <c r="D215" s="11" t="inlineStr">
        <is>
          <t>—</t>
        </is>
      </c>
      <c r="E215" s="11" t="inlineStr">
        <is>
          <t>Yes</t>
        </is>
      </c>
      <c r="F215" s="11" t="inlineStr">
        <is>
          <t>No</t>
        </is>
      </c>
      <c r="G215" s="11" t="inlineStr">
        <is>
          <t>NULL</t>
        </is>
      </c>
      <c r="H215" s="11" t="inlineStr">
        <is>
          <t>—</t>
        </is>
      </c>
      <c r="I215" s="11" t="inlineStr">
        <is>
          <t>For the life of the system; archived, not deleted (SRS 4.3).</t>
        </is>
      </c>
      <c r="J215" s="11" t="inlineStr">
        <is>
          <t>content-service</t>
        </is>
      </c>
      <c r="K215" s="11" t="n"/>
    </row>
    <row r="216" ht="26.4" customHeight="1" s="31">
      <c r="A216" s="11" t="inlineStr">
        <is>
          <t>Package Version (content_package_versions)</t>
        </is>
      </c>
      <c r="B216" s="11" t="inlineStr">
        <is>
          <t>published_by</t>
        </is>
      </c>
      <c r="C216" s="11" t="inlineStr">
        <is>
          <t>UUID</t>
        </is>
      </c>
      <c r="D216" s="11" t="inlineStr">
        <is>
          <t>—</t>
        </is>
      </c>
      <c r="E216" s="11" t="inlineStr">
        <is>
          <t>Yes</t>
        </is>
      </c>
      <c r="F216" s="11" t="inlineStr">
        <is>
          <t>No</t>
        </is>
      </c>
      <c r="G216" s="11" t="inlineStr">
        <is>
          <t>NULL</t>
        </is>
      </c>
      <c r="H216" s="11" t="inlineStr">
        <is>
          <t>—</t>
        </is>
      </c>
      <c r="I216" s="11" t="inlineStr">
        <is>
          <t>For the life of the system; archived, not deleted (SRS 4.3).</t>
        </is>
      </c>
      <c r="J216" s="11" t="inlineStr">
        <is>
          <t>content-service</t>
        </is>
      </c>
      <c r="K216" s="11" t="n"/>
    </row>
    <row r="217" ht="26.4" customHeight="1" s="31">
      <c r="A217" s="11" t="inlineStr">
        <is>
          <t>Package Version (content_package_versions)</t>
        </is>
      </c>
      <c r="B217" s="11" t="inlineStr">
        <is>
          <t>created_at</t>
        </is>
      </c>
      <c r="C217" s="11" t="inlineStr">
        <is>
          <t>TIMESTAMPTZ</t>
        </is>
      </c>
      <c r="D217" s="11" t="inlineStr">
        <is>
          <t>—</t>
        </is>
      </c>
      <c r="E217" s="11" t="inlineStr">
        <is>
          <t>No</t>
        </is>
      </c>
      <c r="F217" s="11" t="inlineStr">
        <is>
          <t>No</t>
        </is>
      </c>
      <c r="G217" s="11" t="inlineStr">
        <is>
          <t>CURRENT_TIMESTAMP</t>
        </is>
      </c>
      <c r="H217" s="11" t="inlineStr">
        <is>
          <t>—</t>
        </is>
      </c>
      <c r="I217" s="11" t="inlineStr">
        <is>
          <t>For the life of the system; archived, not deleted (SRS 4.3).</t>
        </is>
      </c>
      <c r="J217" s="11" t="inlineStr">
        <is>
          <t>content-service</t>
        </is>
      </c>
      <c r="K217" s="11" t="n"/>
    </row>
    <row r="218" ht="26.4" customHeight="1" s="31">
      <c r="A218" s="11" t="inlineStr">
        <is>
          <t>Package Version (content_package_versions)</t>
        </is>
      </c>
      <c r="B218" s="11" t="inlineStr">
        <is>
          <t>updated_at</t>
        </is>
      </c>
      <c r="C218" s="11" t="inlineStr">
        <is>
          <t>TIMESTAMPTZ</t>
        </is>
      </c>
      <c r="D218" s="11" t="inlineStr">
        <is>
          <t>—</t>
        </is>
      </c>
      <c r="E218" s="11" t="inlineStr">
        <is>
          <t>No</t>
        </is>
      </c>
      <c r="F218" s="11" t="inlineStr">
        <is>
          <t>No</t>
        </is>
      </c>
      <c r="G218" s="11" t="inlineStr">
        <is>
          <t>CURRENT_TIMESTAMP</t>
        </is>
      </c>
      <c r="H218" s="11" t="inlineStr">
        <is>
          <t>—</t>
        </is>
      </c>
      <c r="I218" s="11" t="inlineStr">
        <is>
          <t>For the life of the system; archived, not deleted (SRS 4.3).</t>
        </is>
      </c>
      <c r="J218" s="11" t="inlineStr">
        <is>
          <t>content-service</t>
        </is>
      </c>
      <c r="K218" s="11" t="n"/>
    </row>
    <row r="219" ht="26.4" customHeight="1" s="31">
      <c r="A219" s="13" t="inlineStr">
        <is>
          <t>Content Section (content_sections)</t>
        </is>
      </c>
      <c r="B219" s="12" t="inlineStr">
        <is>
          <t>id</t>
        </is>
      </c>
      <c r="C219" s="13" t="inlineStr">
        <is>
          <t>UUID</t>
        </is>
      </c>
      <c r="D219" s="13" t="inlineStr">
        <is>
          <t>PK</t>
        </is>
      </c>
      <c r="E219" s="13" t="inlineStr">
        <is>
          <t>No</t>
        </is>
      </c>
      <c r="F219" s="13" t="inlineStr">
        <is>
          <t>Yes</t>
        </is>
      </c>
      <c r="G219" s="13" t="inlineStr">
        <is>
          <t>gen_random_uuid()</t>
        </is>
      </c>
      <c r="H219" s="13" t="inlineStr">
        <is>
          <t>—</t>
        </is>
      </c>
      <c r="I219" s="13" t="inlineStr">
        <is>
          <t>For the life of the system; archived, not deleted (SRS 4.3).</t>
        </is>
      </c>
      <c r="J219" s="13" t="inlineStr">
        <is>
          <t>content-service</t>
        </is>
      </c>
      <c r="K219" s="13" t="inlineStr">
        <is>
          <t>Groups ordered questions within a package version. Table content_sections; owner content-service; created in V1__create_content_tables.sql.</t>
        </is>
      </c>
    </row>
    <row r="220" ht="26.4" customHeight="1" s="31">
      <c r="A220" s="13" t="inlineStr">
        <is>
          <t>Content Section (content_sections)</t>
        </is>
      </c>
      <c r="B220" s="13" t="inlineStr">
        <is>
          <t>package_version_id</t>
        </is>
      </c>
      <c r="C220" s="13" t="inlineStr">
        <is>
          <t>UUID</t>
        </is>
      </c>
      <c r="D220" s="13" t="inlineStr">
        <is>
          <t>FK→Package Version.id</t>
        </is>
      </c>
      <c r="E220" s="13" t="inlineStr">
        <is>
          <t>No</t>
        </is>
      </c>
      <c r="F220" s="13" t="inlineStr">
        <is>
          <t>Composite (package_version_id, sort_order)</t>
        </is>
      </c>
      <c r="G220" s="13" t="inlineStr">
        <is>
          <t>—</t>
        </is>
      </c>
      <c r="H220" s="13" t="inlineStr">
        <is>
          <t>—</t>
        </is>
      </c>
      <c r="I220" s="13" t="inlineStr">
        <is>
          <t>For the life of the system; archived, not deleted (SRS 4.3).</t>
        </is>
      </c>
      <c r="J220" s="13" t="inlineStr">
        <is>
          <t>content-service</t>
        </is>
      </c>
      <c r="K220" s="13" t="n"/>
    </row>
    <row r="221" ht="26.4" customHeight="1" s="31">
      <c r="A221" s="13" t="inlineStr">
        <is>
          <t>Content Section (content_sections)</t>
        </is>
      </c>
      <c r="B221" s="13" t="inlineStr">
        <is>
          <t>title</t>
        </is>
      </c>
      <c r="C221" s="13" t="inlineStr">
        <is>
          <t>VARCHAR(255)</t>
        </is>
      </c>
      <c r="D221" s="13" t="inlineStr">
        <is>
          <t>—</t>
        </is>
      </c>
      <c r="E221" s="13" t="inlineStr">
        <is>
          <t>No</t>
        </is>
      </c>
      <c r="F221" s="13" t="inlineStr">
        <is>
          <t>No</t>
        </is>
      </c>
      <c r="G221" s="13" t="inlineStr">
        <is>
          <t>—</t>
        </is>
      </c>
      <c r="H221" s="13" t="inlineStr">
        <is>
          <t>—</t>
        </is>
      </c>
      <c r="I221" s="13" t="inlineStr">
        <is>
          <t>For the life of the system; archived, not deleted (SRS 4.3).</t>
        </is>
      </c>
      <c r="J221" s="13" t="inlineStr">
        <is>
          <t>content-service</t>
        </is>
      </c>
      <c r="K221" s="13" t="n"/>
    </row>
    <row r="222" ht="39.6" customHeight="1" s="31">
      <c r="A222" s="13" t="inlineStr">
        <is>
          <t>Content Section (content_sections)</t>
        </is>
      </c>
      <c r="B222" s="13" t="inlineStr">
        <is>
          <t>skill</t>
        </is>
      </c>
      <c r="C222" s="13" t="inlineStr">
        <is>
          <t>VARCHAR(50)</t>
        </is>
      </c>
      <c r="D222" s="13" t="inlineStr">
        <is>
          <t>—</t>
        </is>
      </c>
      <c r="E222" s="13" t="inlineStr">
        <is>
          <t>Yes</t>
        </is>
      </c>
      <c r="F222" s="13" t="inlineStr">
        <is>
          <t>No</t>
        </is>
      </c>
      <c r="G222" s="13" t="inlineStr">
        <is>
          <t>NULL</t>
        </is>
      </c>
      <c r="H222" s="13" t="inlineStr">
        <is>
          <t>CHECK (skill IN ('LISTENING', 'READING', 'WRITING', 'SPEAKING'))</t>
        </is>
      </c>
      <c r="I222" s="13" t="inlineStr">
        <is>
          <t>For the life of the system; archived, not deleted (SRS 4.3).</t>
        </is>
      </c>
      <c r="J222" s="13" t="inlineStr">
        <is>
          <t>content-service</t>
        </is>
      </c>
      <c r="K222" s="13" t="n"/>
    </row>
    <row r="223" ht="26.4" customHeight="1" s="31">
      <c r="A223" s="13" t="inlineStr">
        <is>
          <t>Content Section (content_sections)</t>
        </is>
      </c>
      <c r="B223" s="13" t="inlineStr">
        <is>
          <t>sort_order</t>
        </is>
      </c>
      <c r="C223" s="13" t="inlineStr">
        <is>
          <t>INT</t>
        </is>
      </c>
      <c r="D223" s="13" t="inlineStr">
        <is>
          <t>—</t>
        </is>
      </c>
      <c r="E223" s="13" t="inlineStr">
        <is>
          <t>No</t>
        </is>
      </c>
      <c r="F223" s="13" t="inlineStr">
        <is>
          <t>Composite (package_version_id, sort_order)</t>
        </is>
      </c>
      <c r="G223" s="13" t="inlineStr">
        <is>
          <t>—</t>
        </is>
      </c>
      <c r="H223" s="13" t="inlineStr">
        <is>
          <t>—</t>
        </is>
      </c>
      <c r="I223" s="13" t="inlineStr">
        <is>
          <t>For the life of the system; archived, not deleted (SRS 4.3).</t>
        </is>
      </c>
      <c r="J223" s="13" t="inlineStr">
        <is>
          <t>content-service</t>
        </is>
      </c>
      <c r="K223" s="13" t="n"/>
    </row>
    <row r="224" ht="26.4" customHeight="1" s="31">
      <c r="A224" s="13" t="inlineStr">
        <is>
          <t>Content Section (content_sections)</t>
        </is>
      </c>
      <c r="B224" s="13" t="inlineStr">
        <is>
          <t>time_limit_seconds</t>
        </is>
      </c>
      <c r="C224" s="13" t="inlineStr">
        <is>
          <t>INT</t>
        </is>
      </c>
      <c r="D224" s="13" t="inlineStr">
        <is>
          <t>—</t>
        </is>
      </c>
      <c r="E224" s="13" t="inlineStr">
        <is>
          <t>Yes</t>
        </is>
      </c>
      <c r="F224" s="13" t="inlineStr">
        <is>
          <t>No</t>
        </is>
      </c>
      <c r="G224" s="13" t="inlineStr">
        <is>
          <t>NULL</t>
        </is>
      </c>
      <c r="H224" s="13" t="inlineStr">
        <is>
          <t>—</t>
        </is>
      </c>
      <c r="I224" s="13" t="inlineStr">
        <is>
          <t>For the life of the system; archived, not deleted (SRS 4.3).</t>
        </is>
      </c>
      <c r="J224" s="13" t="inlineStr">
        <is>
          <t>content-service</t>
        </is>
      </c>
      <c r="K224" s="13" t="n"/>
    </row>
    <row r="225" ht="26.4" customHeight="1" s="31">
      <c r="A225" s="13" t="inlineStr">
        <is>
          <t>Content Section (content_sections)</t>
        </is>
      </c>
      <c r="B225" s="13" t="inlineStr">
        <is>
          <t>instructions</t>
        </is>
      </c>
      <c r="C225" s="13" t="inlineStr">
        <is>
          <t>TEXT</t>
        </is>
      </c>
      <c r="D225" s="13" t="inlineStr">
        <is>
          <t>—</t>
        </is>
      </c>
      <c r="E225" s="13" t="inlineStr">
        <is>
          <t>Yes</t>
        </is>
      </c>
      <c r="F225" s="13" t="inlineStr">
        <is>
          <t>No</t>
        </is>
      </c>
      <c r="G225" s="13" t="inlineStr">
        <is>
          <t>NULL</t>
        </is>
      </c>
      <c r="H225" s="13" t="inlineStr">
        <is>
          <t>—</t>
        </is>
      </c>
      <c r="I225" s="13" t="inlineStr">
        <is>
          <t>For the life of the system; archived, not deleted (SRS 4.3).</t>
        </is>
      </c>
      <c r="J225" s="13" t="inlineStr">
        <is>
          <t>content-service</t>
        </is>
      </c>
      <c r="K225" s="13" t="n"/>
    </row>
    <row r="226" ht="26.4" customHeight="1" s="31">
      <c r="A226" s="13" t="inlineStr">
        <is>
          <t>Content Section (content_sections)</t>
        </is>
      </c>
      <c r="B226" s="13" t="inlineStr">
        <is>
          <t>created_at</t>
        </is>
      </c>
      <c r="C226" s="13" t="inlineStr">
        <is>
          <t>TIMESTAMPTZ</t>
        </is>
      </c>
      <c r="D226" s="13" t="inlineStr">
        <is>
          <t>—</t>
        </is>
      </c>
      <c r="E226" s="13" t="inlineStr">
        <is>
          <t>No</t>
        </is>
      </c>
      <c r="F226" s="13" t="inlineStr">
        <is>
          <t>No</t>
        </is>
      </c>
      <c r="G226" s="13" t="inlineStr">
        <is>
          <t>CURRENT_TIMESTAMP</t>
        </is>
      </c>
      <c r="H226" s="13" t="inlineStr">
        <is>
          <t>—</t>
        </is>
      </c>
      <c r="I226" s="13" t="inlineStr">
        <is>
          <t>For the life of the system; archived, not deleted (SRS 4.3).</t>
        </is>
      </c>
      <c r="J226" s="13" t="inlineStr">
        <is>
          <t>content-service</t>
        </is>
      </c>
      <c r="K226" s="13" t="n"/>
    </row>
    <row r="227" ht="26.4" customHeight="1" s="31">
      <c r="A227" s="13" t="inlineStr">
        <is>
          <t>Content Section (content_sections)</t>
        </is>
      </c>
      <c r="B227" s="13" t="inlineStr">
        <is>
          <t>updated_at</t>
        </is>
      </c>
      <c r="C227" s="13" t="inlineStr">
        <is>
          <t>TIMESTAMPTZ</t>
        </is>
      </c>
      <c r="D227" s="13" t="inlineStr">
        <is>
          <t>—</t>
        </is>
      </c>
      <c r="E227" s="13" t="inlineStr">
        <is>
          <t>No</t>
        </is>
      </c>
      <c r="F227" s="13" t="inlineStr">
        <is>
          <t>No</t>
        </is>
      </c>
      <c r="G227" s="13" t="inlineStr">
        <is>
          <t>CURRENT_TIMESTAMP</t>
        </is>
      </c>
      <c r="H227" s="13" t="inlineStr">
        <is>
          <t>—</t>
        </is>
      </c>
      <c r="I227" s="13" t="inlineStr">
        <is>
          <t>For the life of the system; archived, not deleted (SRS 4.3).</t>
        </is>
      </c>
      <c r="J227" s="13" t="inlineStr">
        <is>
          <t>content-service</t>
        </is>
      </c>
      <c r="K227" s="13" t="n"/>
    </row>
    <row r="228" ht="26.4" customHeight="1" s="31">
      <c r="A228" s="11" t="inlineStr">
        <is>
          <t>Question (questions)</t>
        </is>
      </c>
      <c r="B228" s="10" t="inlineStr">
        <is>
          <t>id</t>
        </is>
      </c>
      <c r="C228" s="11" t="inlineStr">
        <is>
          <t>UUID</t>
        </is>
      </c>
      <c r="D228" s="11" t="inlineStr">
        <is>
          <t>PK</t>
        </is>
      </c>
      <c r="E228" s="11" t="inlineStr">
        <is>
          <t>No</t>
        </is>
      </c>
      <c r="F228" s="11" t="inlineStr">
        <is>
          <t>Yes</t>
        </is>
      </c>
      <c r="G228" s="11" t="inlineStr">
        <is>
          <t>gen_random_uuid()</t>
        </is>
      </c>
      <c r="H228" s="11" t="inlineStr">
        <is>
          <t>—</t>
        </is>
      </c>
      <c r="I228" s="11" t="inlineStr">
        <is>
          <t>For the life of the system; archived, not deleted (SRS 4.3).</t>
        </is>
      </c>
      <c r="J228" s="11" t="inlineStr">
        <is>
          <t>content-service</t>
        </is>
      </c>
      <c r="K228" s="11" t="inlineStr">
        <is>
          <t>Identifies a reusable question independently of its versions. Table questions; owner content-service; created in V1__create_content_tables.sql.</t>
        </is>
      </c>
    </row>
    <row r="229" ht="26.4" customHeight="1" s="31">
      <c r="A229" s="11" t="inlineStr">
        <is>
          <t>Question (questions)</t>
        </is>
      </c>
      <c r="B229" s="11" t="inlineStr">
        <is>
          <t>question_type</t>
        </is>
      </c>
      <c r="C229" s="11" t="inlineStr">
        <is>
          <t>VARCHAR(50)</t>
        </is>
      </c>
      <c r="D229" s="11" t="inlineStr">
        <is>
          <t>—</t>
        </is>
      </c>
      <c r="E229" s="11" t="inlineStr">
        <is>
          <t>No</t>
        </is>
      </c>
      <c r="F229" s="11" t="inlineStr">
        <is>
          <t>No</t>
        </is>
      </c>
      <c r="G229" s="11" t="inlineStr">
        <is>
          <t>—</t>
        </is>
      </c>
      <c r="H229" s="11" t="inlineStr">
        <is>
          <t>CHECK (question_type IN ('MULTIPLE_CHOICE', 'FILL_IN_BLANK', 'MATCHING', 'TRUE_FALSE_NOT_GIVEN', 'SHORT_ANSWER', 'ESSAY', 'SPEAKING'))</t>
        </is>
      </c>
      <c r="I229" s="11" t="inlineStr">
        <is>
          <t>For the life of the system; archived, not deleted (SRS 4.3).</t>
        </is>
      </c>
      <c r="J229" s="11" t="inlineStr">
        <is>
          <t>content-service</t>
        </is>
      </c>
      <c r="K229" s="11" t="n"/>
    </row>
    <row r="230" ht="39.6" customHeight="1" s="31">
      <c r="A230" s="11" t="inlineStr">
        <is>
          <t>Question (questions)</t>
        </is>
      </c>
      <c r="B230" s="11" t="inlineStr">
        <is>
          <t>skill</t>
        </is>
      </c>
      <c r="C230" s="11" t="inlineStr">
        <is>
          <t>VARCHAR(50)</t>
        </is>
      </c>
      <c r="D230" s="11" t="inlineStr">
        <is>
          <t>—</t>
        </is>
      </c>
      <c r="E230" s="11" t="inlineStr">
        <is>
          <t>Yes</t>
        </is>
      </c>
      <c r="F230" s="11" t="inlineStr">
        <is>
          <t>No</t>
        </is>
      </c>
      <c r="G230" s="11" t="inlineStr">
        <is>
          <t>NULL</t>
        </is>
      </c>
      <c r="H230" s="11" t="inlineStr">
        <is>
          <t>CHECK (skill IN ('LISTENING', 'READING', 'WRITING', 'SPEAKING'))</t>
        </is>
      </c>
      <c r="I230" s="11" t="inlineStr">
        <is>
          <t>For the life of the system; archived, not deleted (SRS 4.3).</t>
        </is>
      </c>
      <c r="J230" s="11" t="inlineStr">
        <is>
          <t>content-service</t>
        </is>
      </c>
      <c r="K230" s="11" t="n"/>
    </row>
    <row r="231" ht="26.4" customHeight="1" s="31">
      <c r="A231" s="11" t="inlineStr">
        <is>
          <t>Question (questions)</t>
        </is>
      </c>
      <c r="B231" s="11" t="inlineStr">
        <is>
          <t>status</t>
        </is>
      </c>
      <c r="C231" s="11" t="inlineStr">
        <is>
          <t>VARCHAR(50)</t>
        </is>
      </c>
      <c r="D231" s="11" t="inlineStr">
        <is>
          <t>—</t>
        </is>
      </c>
      <c r="E231" s="11" t="inlineStr">
        <is>
          <t>No</t>
        </is>
      </c>
      <c r="F231" s="11" t="inlineStr">
        <is>
          <t>No</t>
        </is>
      </c>
      <c r="G231" s="11" t="inlineStr">
        <is>
          <t>'DRAFT'</t>
        </is>
      </c>
      <c r="H231" s="11" t="inlineStr">
        <is>
          <t>CHECK (status IN ('DRAFT', 'PUBLISHED', 'ARCHIVED'))</t>
        </is>
      </c>
      <c r="I231" s="11" t="inlineStr">
        <is>
          <t>For the life of the system; archived, not deleted (SRS 4.3).</t>
        </is>
      </c>
      <c r="J231" s="11" t="inlineStr">
        <is>
          <t>content-service</t>
        </is>
      </c>
      <c r="K231" s="11" t="n"/>
    </row>
    <row r="232" ht="39.6" customHeight="1" s="31">
      <c r="A232" s="11" t="inlineStr">
        <is>
          <t>Question (questions)</t>
        </is>
      </c>
      <c r="B232" s="11" t="inlineStr">
        <is>
          <t>current_published_version_id</t>
        </is>
      </c>
      <c r="C232" s="11" t="inlineStr">
        <is>
          <t>UUID</t>
        </is>
      </c>
      <c r="D232" s="11" t="inlineStr">
        <is>
          <t>FK→Question Version.id</t>
        </is>
      </c>
      <c r="E232" s="11" t="inlineStr">
        <is>
          <t>Yes</t>
        </is>
      </c>
      <c r="F232" s="11" t="inlineStr">
        <is>
          <t>No</t>
        </is>
      </c>
      <c r="G232" s="11" t="inlineStr">
        <is>
          <t>NULL</t>
        </is>
      </c>
      <c r="H232" s="11" t="inlineStr">
        <is>
          <t>—</t>
        </is>
      </c>
      <c r="I232" s="11" t="inlineStr">
        <is>
          <t>For the life of the system; archived, not deleted (SRS 4.3).</t>
        </is>
      </c>
      <c r="J232" s="11" t="inlineStr">
        <is>
          <t>content-service</t>
        </is>
      </c>
      <c r="K232" s="11" t="n"/>
    </row>
    <row r="233" ht="26.4" customHeight="1" s="31">
      <c r="A233" s="11" t="inlineStr">
        <is>
          <t>Question (questions)</t>
        </is>
      </c>
      <c r="B233" s="11" t="inlineStr">
        <is>
          <t>created_at</t>
        </is>
      </c>
      <c r="C233" s="11" t="inlineStr">
        <is>
          <t>TIMESTAMPTZ</t>
        </is>
      </c>
      <c r="D233" s="11" t="inlineStr">
        <is>
          <t>—</t>
        </is>
      </c>
      <c r="E233" s="11" t="inlineStr">
        <is>
          <t>No</t>
        </is>
      </c>
      <c r="F233" s="11" t="inlineStr">
        <is>
          <t>No</t>
        </is>
      </c>
      <c r="G233" s="11" t="inlineStr">
        <is>
          <t>CURRENT_TIMESTAMP</t>
        </is>
      </c>
      <c r="H233" s="11" t="inlineStr">
        <is>
          <t>—</t>
        </is>
      </c>
      <c r="I233" s="11" t="inlineStr">
        <is>
          <t>For the life of the system; archived, not deleted (SRS 4.3).</t>
        </is>
      </c>
      <c r="J233" s="11" t="inlineStr">
        <is>
          <t>content-service</t>
        </is>
      </c>
      <c r="K233" s="11" t="n"/>
    </row>
    <row r="234" ht="26.4" customHeight="1" s="31">
      <c r="A234" s="11" t="inlineStr">
        <is>
          <t>Question (questions)</t>
        </is>
      </c>
      <c r="B234" s="11" t="inlineStr">
        <is>
          <t>updated_at</t>
        </is>
      </c>
      <c r="C234" s="11" t="inlineStr">
        <is>
          <t>TIMESTAMPTZ</t>
        </is>
      </c>
      <c r="D234" s="11" t="inlineStr">
        <is>
          <t>—</t>
        </is>
      </c>
      <c r="E234" s="11" t="inlineStr">
        <is>
          <t>No</t>
        </is>
      </c>
      <c r="F234" s="11" t="inlineStr">
        <is>
          <t>No</t>
        </is>
      </c>
      <c r="G234" s="11" t="inlineStr">
        <is>
          <t>CURRENT_TIMESTAMP</t>
        </is>
      </c>
      <c r="H234" s="11" t="inlineStr">
        <is>
          <t>—</t>
        </is>
      </c>
      <c r="I234" s="11" t="inlineStr">
        <is>
          <t>For the life of the system; archived, not deleted (SRS 4.3).</t>
        </is>
      </c>
      <c r="J234" s="11" t="inlineStr">
        <is>
          <t>content-service</t>
        </is>
      </c>
      <c r="K234" s="11" t="n"/>
    </row>
    <row r="235" ht="26.4" customHeight="1" s="31">
      <c r="A235" s="11" t="inlineStr">
        <is>
          <t>Question (questions)</t>
        </is>
      </c>
      <c r="B235" s="11" t="inlineStr">
        <is>
          <t>required_feature_key</t>
        </is>
      </c>
      <c r="C235" s="11" t="inlineStr">
        <is>
          <t>VARCHAR(100)</t>
        </is>
      </c>
      <c r="D235" s="11" t="inlineStr">
        <is>
          <t>—</t>
        </is>
      </c>
      <c r="E235" s="11" t="inlineStr">
        <is>
          <t>Yes</t>
        </is>
      </c>
      <c r="F235" s="11" t="inlineStr">
        <is>
          <t>No</t>
        </is>
      </c>
      <c r="G235" s="11" t="inlineStr">
        <is>
          <t>NULL</t>
        </is>
      </c>
      <c r="H235" s="11" t="inlineStr">
        <is>
          <t>—</t>
        </is>
      </c>
      <c r="I235" s="11" t="inlineStr">
        <is>
          <t>For the life of the system; archived, not deleted (SRS 4.3).</t>
        </is>
      </c>
      <c r="J235" s="11" t="inlineStr">
        <is>
          <t>content-service</t>
        </is>
      </c>
      <c r="K235" s="11" t="n"/>
    </row>
    <row r="236" ht="26.4" customHeight="1" s="31">
      <c r="A236" s="11" t="inlineStr">
        <is>
          <t>Question (questions)</t>
        </is>
      </c>
      <c r="B236" s="11" t="inlineStr">
        <is>
          <t>purpose</t>
        </is>
      </c>
      <c r="C236" s="11" t="inlineStr">
        <is>
          <t>VARCHAR(20)</t>
        </is>
      </c>
      <c r="D236" s="11" t="inlineStr">
        <is>
          <t>—</t>
        </is>
      </c>
      <c r="E236" s="11" t="inlineStr">
        <is>
          <t>No</t>
        </is>
      </c>
      <c r="F236" s="11" t="inlineStr">
        <is>
          <t>No</t>
        </is>
      </c>
      <c r="G236" s="11" t="inlineStr">
        <is>
          <t>'LEARNING'</t>
        </is>
      </c>
      <c r="H236" s="11" t="inlineStr">
        <is>
          <t>CHECK (purpose IN ('LEARNING', 'EXAM'))</t>
        </is>
      </c>
      <c r="I236" s="11" t="inlineStr">
        <is>
          <t>For the life of the system; archived, not deleted (SRS 4.3).</t>
        </is>
      </c>
      <c r="J236" s="11" t="inlineStr">
        <is>
          <t>content-service</t>
        </is>
      </c>
      <c r="K236" s="11" t="n"/>
    </row>
    <row r="237" ht="26.4" customHeight="1" s="31">
      <c r="A237" s="13" t="inlineStr">
        <is>
          <t>Question Version (question_versions)</t>
        </is>
      </c>
      <c r="B237" s="12" t="inlineStr">
        <is>
          <t>id</t>
        </is>
      </c>
      <c r="C237" s="13" t="inlineStr">
        <is>
          <t>UUID</t>
        </is>
      </c>
      <c r="D237" s="13" t="inlineStr">
        <is>
          <t>PK</t>
        </is>
      </c>
      <c r="E237" s="13" t="inlineStr">
        <is>
          <t>No</t>
        </is>
      </c>
      <c r="F237" s="13" t="inlineStr">
        <is>
          <t>Yes</t>
        </is>
      </c>
      <c r="G237" s="13" t="inlineStr">
        <is>
          <t>gen_random_uuid()</t>
        </is>
      </c>
      <c r="H237" s="13" t="inlineStr">
        <is>
          <t>—</t>
        </is>
      </c>
      <c r="I237" s="13" t="inlineStr">
        <is>
          <t>For the life of the system; archived, not deleted (SRS 4.3).</t>
        </is>
      </c>
      <c r="J237" s="13" t="inlineStr">
        <is>
          <t>content-service</t>
        </is>
      </c>
      <c r="K237" s="13" t="inlineStr">
        <is>
          <t>Preserves the prompt, answer specification and explanation of a question version. Table question_versions; owner content-service; created in V1__create_content_tables.sql.</t>
        </is>
      </c>
    </row>
    <row r="238" ht="26.4" customHeight="1" s="31">
      <c r="A238" s="13" t="inlineStr">
        <is>
          <t>Question Version (question_versions)</t>
        </is>
      </c>
      <c r="B238" s="13" t="inlineStr">
        <is>
          <t>question_id</t>
        </is>
      </c>
      <c r="C238" s="13" t="inlineStr">
        <is>
          <t>UUID</t>
        </is>
      </c>
      <c r="D238" s="13" t="inlineStr">
        <is>
          <t>FK→Question.id</t>
        </is>
      </c>
      <c r="E238" s="13" t="inlineStr">
        <is>
          <t>No</t>
        </is>
      </c>
      <c r="F238" s="13" t="inlineStr">
        <is>
          <t>Composite (question_id, version_number)</t>
        </is>
      </c>
      <c r="G238" s="13" t="inlineStr">
        <is>
          <t>—</t>
        </is>
      </c>
      <c r="H238" s="13" t="inlineStr">
        <is>
          <t>—</t>
        </is>
      </c>
      <c r="I238" s="13" t="inlineStr">
        <is>
          <t>For the life of the system; archived, not deleted (SRS 4.3).</t>
        </is>
      </c>
      <c r="J238" s="13" t="inlineStr">
        <is>
          <t>content-service</t>
        </is>
      </c>
      <c r="K238" s="13" t="n"/>
    </row>
    <row r="239" ht="26.4" customHeight="1" s="31">
      <c r="A239" s="13" t="inlineStr">
        <is>
          <t>Question Version (question_versions)</t>
        </is>
      </c>
      <c r="B239" s="13" t="inlineStr">
        <is>
          <t>version_number</t>
        </is>
      </c>
      <c r="C239" s="13" t="inlineStr">
        <is>
          <t>INT</t>
        </is>
      </c>
      <c r="D239" s="13" t="inlineStr">
        <is>
          <t>—</t>
        </is>
      </c>
      <c r="E239" s="13" t="inlineStr">
        <is>
          <t>No</t>
        </is>
      </c>
      <c r="F239" s="13" t="inlineStr">
        <is>
          <t>Composite (question_id, version_number)</t>
        </is>
      </c>
      <c r="G239" s="13" t="inlineStr">
        <is>
          <t>—</t>
        </is>
      </c>
      <c r="H239" s="13" t="inlineStr">
        <is>
          <t>—</t>
        </is>
      </c>
      <c r="I239" s="13" t="inlineStr">
        <is>
          <t>For the life of the system; archived, not deleted (SRS 4.3).</t>
        </is>
      </c>
      <c r="J239" s="13" t="inlineStr">
        <is>
          <t>content-service</t>
        </is>
      </c>
      <c r="K239" s="13" t="n"/>
    </row>
    <row r="240" ht="26.4" customHeight="1" s="31">
      <c r="A240" s="13" t="inlineStr">
        <is>
          <t>Question Version (question_versions)</t>
        </is>
      </c>
      <c r="B240" s="13" t="inlineStr">
        <is>
          <t>stem</t>
        </is>
      </c>
      <c r="C240" s="13" t="inlineStr">
        <is>
          <t>TEXT</t>
        </is>
      </c>
      <c r="D240" s="13" t="inlineStr">
        <is>
          <t>—</t>
        </is>
      </c>
      <c r="E240" s="13" t="inlineStr">
        <is>
          <t>No</t>
        </is>
      </c>
      <c r="F240" s="13" t="inlineStr">
        <is>
          <t>No</t>
        </is>
      </c>
      <c r="G240" s="13" t="inlineStr">
        <is>
          <t>—</t>
        </is>
      </c>
      <c r="H240" s="13" t="inlineStr">
        <is>
          <t>—</t>
        </is>
      </c>
      <c r="I240" s="13" t="inlineStr">
        <is>
          <t>For the life of the system; archived, not deleted (SRS 4.3).</t>
        </is>
      </c>
      <c r="J240" s="13" t="inlineStr">
        <is>
          <t>content-service</t>
        </is>
      </c>
      <c r="K240" s="13" t="n"/>
    </row>
    <row r="241" ht="39.6" customHeight="1" s="31">
      <c r="A241" s="13" t="inlineStr">
        <is>
          <t>Question Version (question_versions)</t>
        </is>
      </c>
      <c r="B241" s="13" t="inlineStr">
        <is>
          <t>options</t>
        </is>
      </c>
      <c r="C241" s="13" t="inlineStr">
        <is>
          <t>JSONB</t>
        </is>
      </c>
      <c r="D241" s="13" t="inlineStr">
        <is>
          <t>—</t>
        </is>
      </c>
      <c r="E241" s="13" t="inlineStr">
        <is>
          <t>Yes</t>
        </is>
      </c>
      <c r="F241" s="13" t="inlineStr">
        <is>
          <t>No</t>
        </is>
      </c>
      <c r="G241" s="13" t="inlineStr">
        <is>
          <t>NULL</t>
        </is>
      </c>
      <c r="H241" s="13" t="inlineStr">
        <is>
          <t>—</t>
        </is>
      </c>
      <c r="I241" s="13" t="inlineStr">
        <is>
          <t>For the life of the system; archived, not deleted (SRS 4.3).</t>
        </is>
      </c>
      <c r="J241" s="13" t="inlineStr">
        <is>
          <t>content-service</t>
        </is>
      </c>
      <c r="K241" s="13" t="n"/>
    </row>
    <row r="242" ht="26.4" customHeight="1" s="31">
      <c r="A242" s="13" t="inlineStr">
        <is>
          <t>Question Version (question_versions)</t>
        </is>
      </c>
      <c r="B242" s="13" t="inlineStr">
        <is>
          <t>answer_spec</t>
        </is>
      </c>
      <c r="C242" s="13" t="inlineStr">
        <is>
          <t>JSONB</t>
        </is>
      </c>
      <c r="D242" s="13" t="inlineStr">
        <is>
          <t>—</t>
        </is>
      </c>
      <c r="E242" s="13" t="inlineStr">
        <is>
          <t>No</t>
        </is>
      </c>
      <c r="F242" s="13" t="inlineStr">
        <is>
          <t>No</t>
        </is>
      </c>
      <c r="G242" s="13" t="inlineStr">
        <is>
          <t>'{}'::jsonb</t>
        </is>
      </c>
      <c r="H242" s="13" t="inlineStr">
        <is>
          <t>—</t>
        </is>
      </c>
      <c r="I242" s="13" t="inlineStr">
        <is>
          <t>For the life of the system; archived, not deleted (SRS 4.3).</t>
        </is>
      </c>
      <c r="J242" s="13" t="inlineStr">
        <is>
          <t>content-service</t>
        </is>
      </c>
      <c r="K242" s="13" t="n"/>
    </row>
    <row r="243" ht="26.4" customHeight="1" s="31">
      <c r="A243" s="13" t="inlineStr">
        <is>
          <t>Question Version (question_versions)</t>
        </is>
      </c>
      <c r="B243" s="13" t="inlineStr">
        <is>
          <t>schema_version</t>
        </is>
      </c>
      <c r="C243" s="13" t="inlineStr">
        <is>
          <t>INT</t>
        </is>
      </c>
      <c r="D243" s="13" t="inlineStr">
        <is>
          <t>—</t>
        </is>
      </c>
      <c r="E243" s="13" t="inlineStr">
        <is>
          <t>No</t>
        </is>
      </c>
      <c r="F243" s="13" t="inlineStr">
        <is>
          <t>No</t>
        </is>
      </c>
      <c r="G243" s="13" t="inlineStr">
        <is>
          <t>1</t>
        </is>
      </c>
      <c r="H243" s="13" t="inlineStr">
        <is>
          <t>—</t>
        </is>
      </c>
      <c r="I243" s="13" t="inlineStr">
        <is>
          <t>For the life of the system; archived, not deleted (SRS 4.3).</t>
        </is>
      </c>
      <c r="J243" s="13" t="inlineStr">
        <is>
          <t>content-service</t>
        </is>
      </c>
      <c r="K243" s="13" t="n"/>
    </row>
    <row r="244" ht="26.4" customHeight="1" s="31">
      <c r="A244" s="13" t="inlineStr">
        <is>
          <t>Question Version (question_versions)</t>
        </is>
      </c>
      <c r="B244" s="13" t="inlineStr">
        <is>
          <t>explanation</t>
        </is>
      </c>
      <c r="C244" s="13" t="inlineStr">
        <is>
          <t>TEXT</t>
        </is>
      </c>
      <c r="D244" s="13" t="inlineStr">
        <is>
          <t>—</t>
        </is>
      </c>
      <c r="E244" s="13" t="inlineStr">
        <is>
          <t>Yes</t>
        </is>
      </c>
      <c r="F244" s="13" t="inlineStr">
        <is>
          <t>No</t>
        </is>
      </c>
      <c r="G244" s="13" t="inlineStr">
        <is>
          <t>NULL</t>
        </is>
      </c>
      <c r="H244" s="13" t="inlineStr">
        <is>
          <t>—</t>
        </is>
      </c>
      <c r="I244" s="13" t="inlineStr">
        <is>
          <t>For the life of the system; archived, not deleted (SRS 4.3).</t>
        </is>
      </c>
      <c r="J244" s="13" t="inlineStr">
        <is>
          <t>content-service</t>
        </is>
      </c>
      <c r="K244" s="13" t="n"/>
    </row>
    <row r="245" ht="26.4" customHeight="1" s="31">
      <c r="A245" s="13" t="inlineStr">
        <is>
          <t>Question Version (question_versions)</t>
        </is>
      </c>
      <c r="B245" s="13" t="inlineStr">
        <is>
          <t>difficulty</t>
        </is>
      </c>
      <c r="C245" s="13" t="inlineStr">
        <is>
          <t>VARCHAR(50)</t>
        </is>
      </c>
      <c r="D245" s="13" t="inlineStr">
        <is>
          <t>—</t>
        </is>
      </c>
      <c r="E245" s="13" t="inlineStr">
        <is>
          <t>Yes</t>
        </is>
      </c>
      <c r="F245" s="13" t="inlineStr">
        <is>
          <t>No</t>
        </is>
      </c>
      <c r="G245" s="13" t="inlineStr">
        <is>
          <t>NULL</t>
        </is>
      </c>
      <c r="H245" s="13" t="inlineStr">
        <is>
          <t>CHECK (difficulty IN ('EASY', 'MEDIUM', 'HARD'))</t>
        </is>
      </c>
      <c r="I245" s="13" t="inlineStr">
        <is>
          <t>For the life of the system; archived, not deleted (SRS 4.3).</t>
        </is>
      </c>
      <c r="J245" s="13" t="inlineStr">
        <is>
          <t>content-service</t>
        </is>
      </c>
      <c r="K245" s="13" t="n"/>
    </row>
    <row r="246" ht="26.4" customHeight="1" s="31">
      <c r="A246" s="13" t="inlineStr">
        <is>
          <t>Question Version (question_versions)</t>
        </is>
      </c>
      <c r="B246" s="13" t="inlineStr">
        <is>
          <t>status</t>
        </is>
      </c>
      <c r="C246" s="13" t="inlineStr">
        <is>
          <t>VARCHAR(50)</t>
        </is>
      </c>
      <c r="D246" s="13" t="inlineStr">
        <is>
          <t>—</t>
        </is>
      </c>
      <c r="E246" s="13" t="inlineStr">
        <is>
          <t>No</t>
        </is>
      </c>
      <c r="F246" s="13" t="inlineStr">
        <is>
          <t>No</t>
        </is>
      </c>
      <c r="G246" s="13" t="inlineStr">
        <is>
          <t>'DRAFT'</t>
        </is>
      </c>
      <c r="H246" s="13" t="inlineStr">
        <is>
          <t>CHECK (status IN ('DRAFT', 'PUBLISHED', 'ARCHIVED'))</t>
        </is>
      </c>
      <c r="I246" s="13" t="inlineStr">
        <is>
          <t>For the life of the system; archived, not deleted (SRS 4.3).</t>
        </is>
      </c>
      <c r="J246" s="13" t="inlineStr">
        <is>
          <t>content-service</t>
        </is>
      </c>
      <c r="K246" s="13" t="n"/>
    </row>
    <row r="247" ht="26.4" customHeight="1" s="31">
      <c r="A247" s="13" t="inlineStr">
        <is>
          <t>Question Version (question_versions)</t>
        </is>
      </c>
      <c r="B247" s="13" t="inlineStr">
        <is>
          <t>created_at</t>
        </is>
      </c>
      <c r="C247" s="13" t="inlineStr">
        <is>
          <t>TIMESTAMPTZ</t>
        </is>
      </c>
      <c r="D247" s="13" t="inlineStr">
        <is>
          <t>—</t>
        </is>
      </c>
      <c r="E247" s="13" t="inlineStr">
        <is>
          <t>No</t>
        </is>
      </c>
      <c r="F247" s="13" t="inlineStr">
        <is>
          <t>No</t>
        </is>
      </c>
      <c r="G247" s="13" t="inlineStr">
        <is>
          <t>CURRENT_TIMESTAMP</t>
        </is>
      </c>
      <c r="H247" s="13" t="inlineStr">
        <is>
          <t>—</t>
        </is>
      </c>
      <c r="I247" s="13" t="inlineStr">
        <is>
          <t>For the life of the system; archived, not deleted (SRS 4.3).</t>
        </is>
      </c>
      <c r="J247" s="13" t="inlineStr">
        <is>
          <t>content-service</t>
        </is>
      </c>
      <c r="K247" s="13" t="n"/>
    </row>
    <row r="248" ht="26.4" customHeight="1" s="31">
      <c r="A248" s="13" t="inlineStr">
        <is>
          <t>Question Version (question_versions)</t>
        </is>
      </c>
      <c r="B248" s="13" t="inlineStr">
        <is>
          <t>updated_at</t>
        </is>
      </c>
      <c r="C248" s="13" t="inlineStr">
        <is>
          <t>TIMESTAMPTZ</t>
        </is>
      </c>
      <c r="D248" s="13" t="inlineStr">
        <is>
          <t>—</t>
        </is>
      </c>
      <c r="E248" s="13" t="inlineStr">
        <is>
          <t>No</t>
        </is>
      </c>
      <c r="F248" s="13" t="inlineStr">
        <is>
          <t>No</t>
        </is>
      </c>
      <c r="G248" s="13" t="inlineStr">
        <is>
          <t>CURRENT_TIMESTAMP</t>
        </is>
      </c>
      <c r="H248" s="13" t="inlineStr">
        <is>
          <t>—</t>
        </is>
      </c>
      <c r="I248" s="13" t="inlineStr">
        <is>
          <t>For the life of the system; archived, not deleted (SRS 4.3).</t>
        </is>
      </c>
      <c r="J248" s="13" t="inlineStr">
        <is>
          <t>content-service</t>
        </is>
      </c>
      <c r="K248" s="13" t="n"/>
    </row>
    <row r="249" ht="26.4" customHeight="1" s="31">
      <c r="A249" s="13" t="inlineStr">
        <is>
          <t>Question Version (question_versions)</t>
        </is>
      </c>
      <c r="B249" s="13" t="inlineStr">
        <is>
          <t>hint</t>
        </is>
      </c>
      <c r="C249" s="13" t="inlineStr">
        <is>
          <t>TEXT</t>
        </is>
      </c>
      <c r="D249" s="13" t="inlineStr">
        <is>
          <t>—</t>
        </is>
      </c>
      <c r="E249" s="13" t="inlineStr">
        <is>
          <t>Yes</t>
        </is>
      </c>
      <c r="F249" s="13" t="inlineStr">
        <is>
          <t>No</t>
        </is>
      </c>
      <c r="G249" s="13" t="inlineStr">
        <is>
          <t>NULL</t>
        </is>
      </c>
      <c r="H249" s="13" t="inlineStr">
        <is>
          <t>—</t>
        </is>
      </c>
      <c r="I249" s="13" t="inlineStr">
        <is>
          <t>For the life of the system; archived, not deleted (SRS 4.3).</t>
        </is>
      </c>
      <c r="J249" s="13" t="inlineStr">
        <is>
          <t>content-service</t>
        </is>
      </c>
      <c r="K249" s="13" t="n"/>
    </row>
    <row r="250" ht="26.4" customHeight="1" s="31">
      <c r="A250" s="11" t="inlineStr">
        <is>
          <t>Vocabulary Item (vocabulary_items)</t>
        </is>
      </c>
      <c r="B250" s="10" t="inlineStr">
        <is>
          <t>id</t>
        </is>
      </c>
      <c r="C250" s="11" t="inlineStr">
        <is>
          <t>UUID</t>
        </is>
      </c>
      <c r="D250" s="11" t="inlineStr">
        <is>
          <t>PK</t>
        </is>
      </c>
      <c r="E250" s="11" t="inlineStr">
        <is>
          <t>No</t>
        </is>
      </c>
      <c r="F250" s="11" t="inlineStr">
        <is>
          <t>Yes</t>
        </is>
      </c>
      <c r="G250" s="11" t="inlineStr">
        <is>
          <t>gen_random_uuid()</t>
        </is>
      </c>
      <c r="H250" s="11" t="inlineStr">
        <is>
          <t>—</t>
        </is>
      </c>
      <c r="I250" s="11" t="inlineStr">
        <is>
          <t>For the life of the system; archived, not deleted (SRS 4.3).</t>
        </is>
      </c>
      <c r="J250" s="11" t="inlineStr">
        <is>
          <t>library-service</t>
        </is>
      </c>
      <c r="K250" s="11" t="inlineStr">
        <is>
          <t>Defines a vocabulary headword and its pronunciation information. Table vocabulary_items; owner library-service; created in V1__create_library_catalog.sql.</t>
        </is>
      </c>
    </row>
    <row r="251" ht="26.4" customHeight="1" s="31">
      <c r="A251" s="11" t="inlineStr">
        <is>
          <t>Vocabulary Item (vocabulary_items)</t>
        </is>
      </c>
      <c r="B251" s="11" t="inlineStr">
        <is>
          <t>lemma</t>
        </is>
      </c>
      <c r="C251" s="11" t="inlineStr">
        <is>
          <t>VARCHAR(255)</t>
        </is>
      </c>
      <c r="D251" s="11" t="inlineStr">
        <is>
          <t>—</t>
        </is>
      </c>
      <c r="E251" s="11" t="inlineStr">
        <is>
          <t>No</t>
        </is>
      </c>
      <c r="F251" s="11" t="inlineStr">
        <is>
          <t>No</t>
        </is>
      </c>
      <c r="G251" s="11" t="inlineStr">
        <is>
          <t>—</t>
        </is>
      </c>
      <c r="H251" s="11" t="inlineStr">
        <is>
          <t>—</t>
        </is>
      </c>
      <c r="I251" s="11" t="inlineStr">
        <is>
          <t>For the life of the system; archived, not deleted (SRS 4.3).</t>
        </is>
      </c>
      <c r="J251" s="11" t="inlineStr">
        <is>
          <t>library-service</t>
        </is>
      </c>
      <c r="K251" s="11" t="n"/>
    </row>
    <row r="252" ht="26.4" customHeight="1" s="31">
      <c r="A252" s="11" t="inlineStr">
        <is>
          <t>Vocabulary Item (vocabulary_items)</t>
        </is>
      </c>
      <c r="B252" s="11" t="inlineStr">
        <is>
          <t>normalized_lemma</t>
        </is>
      </c>
      <c r="C252" s="11" t="inlineStr">
        <is>
          <t>VARCHAR(255)</t>
        </is>
      </c>
      <c r="D252" s="11" t="inlineStr">
        <is>
          <t>—</t>
        </is>
      </c>
      <c r="E252" s="11" t="inlineStr">
        <is>
          <t>No</t>
        </is>
      </c>
      <c r="F252" s="11" t="inlineStr">
        <is>
          <t>No</t>
        </is>
      </c>
      <c r="G252" s="11" t="inlineStr">
        <is>
          <t>—</t>
        </is>
      </c>
      <c r="H252" s="11" t="inlineStr">
        <is>
          <t>—</t>
        </is>
      </c>
      <c r="I252" s="11" t="inlineStr">
        <is>
          <t>For the life of the system; archived, not deleted (SRS 4.3).</t>
        </is>
      </c>
      <c r="J252" s="11" t="inlineStr">
        <is>
          <t>library-service</t>
        </is>
      </c>
      <c r="K252" s="11" t="n"/>
    </row>
    <row r="253" ht="26.4" customHeight="1" s="31">
      <c r="A253" s="11" t="inlineStr">
        <is>
          <t>Vocabulary Item (vocabulary_items)</t>
        </is>
      </c>
      <c r="B253" s="11" t="inlineStr">
        <is>
          <t>ipa</t>
        </is>
      </c>
      <c r="C253" s="11" t="inlineStr">
        <is>
          <t>VARCHAR(255)</t>
        </is>
      </c>
      <c r="D253" s="11" t="inlineStr">
        <is>
          <t>—</t>
        </is>
      </c>
      <c r="E253" s="11" t="inlineStr">
        <is>
          <t>Yes</t>
        </is>
      </c>
      <c r="F253" s="11" t="inlineStr">
        <is>
          <t>No</t>
        </is>
      </c>
      <c r="G253" s="11" t="inlineStr">
        <is>
          <t>NULL</t>
        </is>
      </c>
      <c r="H253" s="11" t="inlineStr">
        <is>
          <t>—</t>
        </is>
      </c>
      <c r="I253" s="11" t="inlineStr">
        <is>
          <t>For the life of the system; archived, not deleted (SRS 4.3).</t>
        </is>
      </c>
      <c r="J253" s="11" t="inlineStr">
        <is>
          <t>library-service</t>
        </is>
      </c>
      <c r="K253" s="11" t="n"/>
    </row>
    <row r="254" ht="26.4" customHeight="1" s="31">
      <c r="A254" s="11" t="inlineStr">
        <is>
          <t>Vocabulary Item (vocabulary_items)</t>
        </is>
      </c>
      <c r="B254" s="11" t="inlineStr">
        <is>
          <t>pronunciation_audio_reference</t>
        </is>
      </c>
      <c r="C254" s="11" t="inlineStr">
        <is>
          <t>TEXT</t>
        </is>
      </c>
      <c r="D254" s="11" t="inlineStr">
        <is>
          <t>—</t>
        </is>
      </c>
      <c r="E254" s="11" t="inlineStr">
        <is>
          <t>Yes</t>
        </is>
      </c>
      <c r="F254" s="11" t="inlineStr">
        <is>
          <t>No</t>
        </is>
      </c>
      <c r="G254" s="11" t="inlineStr">
        <is>
          <t>NULL</t>
        </is>
      </c>
      <c r="H254" s="11" t="inlineStr">
        <is>
          <t>—</t>
        </is>
      </c>
      <c r="I254" s="11" t="inlineStr">
        <is>
          <t>For the life of the system; archived, not deleted (SRS 4.3).</t>
        </is>
      </c>
      <c r="J254" s="11" t="inlineStr">
        <is>
          <t>library-service</t>
        </is>
      </c>
      <c r="K254" s="11" t="n"/>
    </row>
    <row r="255" ht="39.6" customHeight="1" s="31">
      <c r="A255" s="11" t="inlineStr">
        <is>
          <t>Vocabulary Item (vocabulary_items)</t>
        </is>
      </c>
      <c r="B255" s="11" t="inlineStr">
        <is>
          <t>status</t>
        </is>
      </c>
      <c r="C255" s="11" t="inlineStr">
        <is>
          <t>VARCHAR(50)</t>
        </is>
      </c>
      <c r="D255" s="11" t="inlineStr">
        <is>
          <t>—</t>
        </is>
      </c>
      <c r="E255" s="11" t="inlineStr">
        <is>
          <t>No</t>
        </is>
      </c>
      <c r="F255" s="11" t="inlineStr">
        <is>
          <t>No</t>
        </is>
      </c>
      <c r="G255" s="11" t="inlineStr">
        <is>
          <t>'ACTIVE'</t>
        </is>
      </c>
      <c r="H255" s="11" t="inlineStr">
        <is>
          <t>CHECK (status IN ('ACTIVE', 'INACTIVE'))</t>
        </is>
      </c>
      <c r="I255" s="11" t="inlineStr">
        <is>
          <t>For the life of the system; archived, not deleted (SRS 4.3).</t>
        </is>
      </c>
      <c r="J255" s="11" t="inlineStr">
        <is>
          <t>library-service</t>
        </is>
      </c>
      <c r="K255" s="11" t="n"/>
    </row>
    <row r="256" ht="26.4" customHeight="1" s="31">
      <c r="A256" s="11" t="inlineStr">
        <is>
          <t>Vocabulary Item (vocabulary_items)</t>
        </is>
      </c>
      <c r="B256" s="11" t="inlineStr">
        <is>
          <t>created_at</t>
        </is>
      </c>
      <c r="C256" s="11" t="inlineStr">
        <is>
          <t>TIMESTAMPTZ</t>
        </is>
      </c>
      <c r="D256" s="11" t="inlineStr">
        <is>
          <t>—</t>
        </is>
      </c>
      <c r="E256" s="11" t="inlineStr">
        <is>
          <t>No</t>
        </is>
      </c>
      <c r="F256" s="11" t="inlineStr">
        <is>
          <t>No</t>
        </is>
      </c>
      <c r="G256" s="11" t="inlineStr">
        <is>
          <t>CURRENT_TIMESTAMP</t>
        </is>
      </c>
      <c r="H256" s="11" t="inlineStr">
        <is>
          <t>—</t>
        </is>
      </c>
      <c r="I256" s="11" t="inlineStr">
        <is>
          <t>For the life of the system; archived, not deleted (SRS 4.3).</t>
        </is>
      </c>
      <c r="J256" s="11" t="inlineStr">
        <is>
          <t>library-service</t>
        </is>
      </c>
      <c r="K256" s="11" t="n"/>
    </row>
    <row r="257" ht="26.4" customHeight="1" s="31">
      <c r="A257" s="11" t="inlineStr">
        <is>
          <t>Vocabulary Item (vocabulary_items)</t>
        </is>
      </c>
      <c r="B257" s="11" t="inlineStr">
        <is>
          <t>updated_at</t>
        </is>
      </c>
      <c r="C257" s="11" t="inlineStr">
        <is>
          <t>TIMESTAMPTZ</t>
        </is>
      </c>
      <c r="D257" s="11" t="inlineStr">
        <is>
          <t>—</t>
        </is>
      </c>
      <c r="E257" s="11" t="inlineStr">
        <is>
          <t>No</t>
        </is>
      </c>
      <c r="F257" s="11" t="inlineStr">
        <is>
          <t>No</t>
        </is>
      </c>
      <c r="G257" s="11" t="inlineStr">
        <is>
          <t>CURRENT_TIMESTAMP</t>
        </is>
      </c>
      <c r="H257" s="11" t="inlineStr">
        <is>
          <t>—</t>
        </is>
      </c>
      <c r="I257" s="11" t="inlineStr">
        <is>
          <t>For the life of the system; archived, not deleted (SRS 4.3).</t>
        </is>
      </c>
      <c r="J257" s="11" t="inlineStr">
        <is>
          <t>library-service</t>
        </is>
      </c>
      <c r="K257" s="11" t="n"/>
    </row>
    <row r="258" ht="26.4" customHeight="1" s="31">
      <c r="A258" s="13" t="inlineStr">
        <is>
          <t>Vocabulary Sense (vocabulary_senses)</t>
        </is>
      </c>
      <c r="B258" s="12" t="inlineStr">
        <is>
          <t>id</t>
        </is>
      </c>
      <c r="C258" s="13" t="inlineStr">
        <is>
          <t>UUID</t>
        </is>
      </c>
      <c r="D258" s="13" t="inlineStr">
        <is>
          <t>PK</t>
        </is>
      </c>
      <c r="E258" s="13" t="inlineStr">
        <is>
          <t>No</t>
        </is>
      </c>
      <c r="F258" s="13" t="inlineStr">
        <is>
          <t>Yes</t>
        </is>
      </c>
      <c r="G258" s="13" t="inlineStr">
        <is>
          <t>gen_random_uuid()</t>
        </is>
      </c>
      <c r="H258" s="13" t="inlineStr">
        <is>
          <t>—</t>
        </is>
      </c>
      <c r="I258" s="13" t="inlineStr">
        <is>
          <t>For the life of the system; archived, not deleted (SRS 4.3).</t>
        </is>
      </c>
      <c r="J258" s="13" t="inlineStr">
        <is>
          <t>library-service</t>
        </is>
      </c>
      <c r="K258" s="13" t="inlineStr">
        <is>
          <t>Defines a meaning and example for a vocabulary item. Table vocabulary_senses; owner library-service; created in V1__create_library_catalog.sql.</t>
        </is>
      </c>
    </row>
    <row r="259" ht="26.4" customHeight="1" s="31">
      <c r="A259" s="13" t="inlineStr">
        <is>
          <t>Vocabulary Sense (vocabulary_senses)</t>
        </is>
      </c>
      <c r="B259" s="13" t="inlineStr">
        <is>
          <t>vocabulary_item_id</t>
        </is>
      </c>
      <c r="C259" s="13" t="inlineStr">
        <is>
          <t>UUID</t>
        </is>
      </c>
      <c r="D259" s="13" t="inlineStr">
        <is>
          <t>FK→Vocabulary Item.id</t>
        </is>
      </c>
      <c r="E259" s="13" t="inlineStr">
        <is>
          <t>No</t>
        </is>
      </c>
      <c r="F259" s="13" t="inlineStr">
        <is>
          <t>No</t>
        </is>
      </c>
      <c r="G259" s="13" t="inlineStr">
        <is>
          <t>—</t>
        </is>
      </c>
      <c r="H259" s="13" t="inlineStr">
        <is>
          <t>—</t>
        </is>
      </c>
      <c r="I259" s="13" t="inlineStr">
        <is>
          <t>For the life of the system; archived, not deleted (SRS 4.3).</t>
        </is>
      </c>
      <c r="J259" s="13" t="inlineStr">
        <is>
          <t>library-service</t>
        </is>
      </c>
      <c r="K259" s="13" t="n"/>
    </row>
    <row r="260" ht="26.4" customHeight="1" s="31">
      <c r="A260" s="13" t="inlineStr">
        <is>
          <t>Vocabulary Sense (vocabulary_senses)</t>
        </is>
      </c>
      <c r="B260" s="13" t="inlineStr">
        <is>
          <t>part_of_speech</t>
        </is>
      </c>
      <c r="C260" s="13" t="inlineStr">
        <is>
          <t>VARCHAR(50)</t>
        </is>
      </c>
      <c r="D260" s="13" t="inlineStr">
        <is>
          <t>—</t>
        </is>
      </c>
      <c r="E260" s="13" t="inlineStr">
        <is>
          <t>No</t>
        </is>
      </c>
      <c r="F260" s="13" t="inlineStr">
        <is>
          <t>No</t>
        </is>
      </c>
      <c r="G260" s="13" t="inlineStr">
        <is>
          <t>—</t>
        </is>
      </c>
      <c r="H260" s="13" t="inlineStr">
        <is>
          <t>CHECK (part_of_speech IN ('NOUN', 'VERB', 'ADJECTIVE', 'ADVERB', 'PREPOSITION', 'CONJUNCTION', 'IDIOM', 'PHRASAL_VERB'))</t>
        </is>
      </c>
      <c r="I260" s="13" t="inlineStr">
        <is>
          <t>For the life of the system; archived, not deleted (SRS 4.3).</t>
        </is>
      </c>
      <c r="J260" s="13" t="inlineStr">
        <is>
          <t>library-service</t>
        </is>
      </c>
      <c r="K260" s="13" t="n"/>
    </row>
    <row r="261" ht="26.4" customHeight="1" s="31">
      <c r="A261" s="13" t="inlineStr">
        <is>
          <t>Vocabulary Sense (vocabulary_senses)</t>
        </is>
      </c>
      <c r="B261" s="13" t="inlineStr">
        <is>
          <t>english_definition</t>
        </is>
      </c>
      <c r="C261" s="13" t="inlineStr">
        <is>
          <t>TEXT</t>
        </is>
      </c>
      <c r="D261" s="13" t="inlineStr">
        <is>
          <t>—</t>
        </is>
      </c>
      <c r="E261" s="13" t="inlineStr">
        <is>
          <t>Yes</t>
        </is>
      </c>
      <c r="F261" s="13" t="inlineStr">
        <is>
          <t>No</t>
        </is>
      </c>
      <c r="G261" s="13" t="inlineStr">
        <is>
          <t>NULL</t>
        </is>
      </c>
      <c r="H261" s="13" t="inlineStr">
        <is>
          <t>—</t>
        </is>
      </c>
      <c r="I261" s="13" t="inlineStr">
        <is>
          <t>For the life of the system; archived, not deleted (SRS 4.3).</t>
        </is>
      </c>
      <c r="J261" s="13" t="inlineStr">
        <is>
          <t>library-service</t>
        </is>
      </c>
      <c r="K261" s="13" t="n"/>
    </row>
    <row r="262" ht="26.4" customHeight="1" s="31">
      <c r="A262" s="13" t="inlineStr">
        <is>
          <t>Vocabulary Sense (vocabulary_senses)</t>
        </is>
      </c>
      <c r="B262" s="13" t="inlineStr">
        <is>
          <t>vietnamese_meaning</t>
        </is>
      </c>
      <c r="C262" s="13" t="inlineStr">
        <is>
          <t>TEXT</t>
        </is>
      </c>
      <c r="D262" s="13" t="inlineStr">
        <is>
          <t>—</t>
        </is>
      </c>
      <c r="E262" s="13" t="inlineStr">
        <is>
          <t>No</t>
        </is>
      </c>
      <c r="F262" s="13" t="inlineStr">
        <is>
          <t>No</t>
        </is>
      </c>
      <c r="G262" s="13" t="inlineStr">
        <is>
          <t>—</t>
        </is>
      </c>
      <c r="H262" s="13" t="inlineStr">
        <is>
          <t>—</t>
        </is>
      </c>
      <c r="I262" s="13" t="inlineStr">
        <is>
          <t>For the life of the system; archived, not deleted (SRS 4.3).</t>
        </is>
      </c>
      <c r="J262" s="13" t="inlineStr">
        <is>
          <t>library-service</t>
        </is>
      </c>
      <c r="K262" s="13" t="n"/>
    </row>
    <row r="263" ht="26.4" customHeight="1" s="31">
      <c r="A263" s="13" t="inlineStr">
        <is>
          <t>Vocabulary Sense (vocabulary_senses)</t>
        </is>
      </c>
      <c r="B263" s="13" t="inlineStr">
        <is>
          <t>example_sentence</t>
        </is>
      </c>
      <c r="C263" s="13" t="inlineStr">
        <is>
          <t>TEXT</t>
        </is>
      </c>
      <c r="D263" s="13" t="inlineStr">
        <is>
          <t>—</t>
        </is>
      </c>
      <c r="E263" s="13" t="inlineStr">
        <is>
          <t>No</t>
        </is>
      </c>
      <c r="F263" s="13" t="inlineStr">
        <is>
          <t>No</t>
        </is>
      </c>
      <c r="G263" s="13" t="inlineStr">
        <is>
          <t>—</t>
        </is>
      </c>
      <c r="H263" s="13" t="inlineStr">
        <is>
          <t>—</t>
        </is>
      </c>
      <c r="I263" s="13" t="inlineStr">
        <is>
          <t>For the life of the system; archived, not deleted (SRS 4.3).</t>
        </is>
      </c>
      <c r="J263" s="13" t="inlineStr">
        <is>
          <t>library-service</t>
        </is>
      </c>
      <c r="K263" s="13" t="n"/>
    </row>
    <row r="264" ht="39.6" customHeight="1" s="31">
      <c r="A264" s="13" t="inlineStr">
        <is>
          <t>Vocabulary Sense (vocabulary_senses)</t>
        </is>
      </c>
      <c r="B264" s="13" t="inlineStr">
        <is>
          <t>image_url</t>
        </is>
      </c>
      <c r="C264" s="13" t="inlineStr">
        <is>
          <t>TEXT</t>
        </is>
      </c>
      <c r="D264" s="13" t="inlineStr">
        <is>
          <t>—</t>
        </is>
      </c>
      <c r="E264" s="13" t="inlineStr">
        <is>
          <t>Yes</t>
        </is>
      </c>
      <c r="F264" s="13" t="inlineStr">
        <is>
          <t>No</t>
        </is>
      </c>
      <c r="G264" s="13" t="inlineStr">
        <is>
          <t>NULL</t>
        </is>
      </c>
      <c r="H264" s="13" t="inlineStr">
        <is>
          <t>—</t>
        </is>
      </c>
      <c r="I264" s="13" t="inlineStr">
        <is>
          <t>For the life of the system; archived, not deleted (SRS 4.3).</t>
        </is>
      </c>
      <c r="J264" s="13" t="inlineStr">
        <is>
          <t>library-service</t>
        </is>
      </c>
      <c r="K264" s="13" t="n"/>
    </row>
    <row r="265" ht="26.4" customHeight="1" s="31">
      <c r="A265" s="13" t="inlineStr">
        <is>
          <t>Vocabulary Sense (vocabulary_senses)</t>
        </is>
      </c>
      <c r="B265" s="13" t="inlineStr">
        <is>
          <t>sort_order</t>
        </is>
      </c>
      <c r="C265" s="13" t="inlineStr">
        <is>
          <t>INT</t>
        </is>
      </c>
      <c r="D265" s="13" t="inlineStr">
        <is>
          <t>—</t>
        </is>
      </c>
      <c r="E265" s="13" t="inlineStr">
        <is>
          <t>No</t>
        </is>
      </c>
      <c r="F265" s="13" t="inlineStr">
        <is>
          <t>No</t>
        </is>
      </c>
      <c r="G265" s="13" t="inlineStr">
        <is>
          <t>0</t>
        </is>
      </c>
      <c r="H265" s="13" t="inlineStr">
        <is>
          <t>—</t>
        </is>
      </c>
      <c r="I265" s="13" t="inlineStr">
        <is>
          <t>For the life of the system; archived, not deleted (SRS 4.3).</t>
        </is>
      </c>
      <c r="J265" s="13" t="inlineStr">
        <is>
          <t>library-service</t>
        </is>
      </c>
      <c r="K265" s="13" t="n"/>
    </row>
    <row r="266" ht="26.4" customHeight="1" s="31">
      <c r="A266" s="13" t="inlineStr">
        <is>
          <t>Vocabulary Sense (vocabulary_senses)</t>
        </is>
      </c>
      <c r="B266" s="13" t="inlineStr">
        <is>
          <t>status</t>
        </is>
      </c>
      <c r="C266" s="13" t="inlineStr">
        <is>
          <t>VARCHAR(50)</t>
        </is>
      </c>
      <c r="D266" s="13" t="inlineStr">
        <is>
          <t>—</t>
        </is>
      </c>
      <c r="E266" s="13" t="inlineStr">
        <is>
          <t>No</t>
        </is>
      </c>
      <c r="F266" s="13" t="inlineStr">
        <is>
          <t>No</t>
        </is>
      </c>
      <c r="G266" s="13" t="inlineStr">
        <is>
          <t>'ACTIVE'</t>
        </is>
      </c>
      <c r="H266" s="13" t="inlineStr">
        <is>
          <t>CHECK (status IN ('ACTIVE', 'INACTIVE'))</t>
        </is>
      </c>
      <c r="I266" s="13" t="inlineStr">
        <is>
          <t>For the life of the system; archived, not deleted (SRS 4.3).</t>
        </is>
      </c>
      <c r="J266" s="13" t="inlineStr">
        <is>
          <t>library-service</t>
        </is>
      </c>
      <c r="K266" s="13" t="n"/>
    </row>
    <row r="267" ht="26.4" customHeight="1" s="31">
      <c r="A267" s="13" t="inlineStr">
        <is>
          <t>Vocabulary Sense (vocabulary_senses)</t>
        </is>
      </c>
      <c r="B267" s="13" t="inlineStr">
        <is>
          <t>created_at</t>
        </is>
      </c>
      <c r="C267" s="13" t="inlineStr">
        <is>
          <t>TIMESTAMPTZ</t>
        </is>
      </c>
      <c r="D267" s="13" t="inlineStr">
        <is>
          <t>—</t>
        </is>
      </c>
      <c r="E267" s="13" t="inlineStr">
        <is>
          <t>No</t>
        </is>
      </c>
      <c r="F267" s="13" t="inlineStr">
        <is>
          <t>No</t>
        </is>
      </c>
      <c r="G267" s="13" t="inlineStr">
        <is>
          <t>CURRENT_TIMESTAMP</t>
        </is>
      </c>
      <c r="H267" s="13" t="inlineStr">
        <is>
          <t>—</t>
        </is>
      </c>
      <c r="I267" s="13" t="inlineStr">
        <is>
          <t>For the life of the system; archived, not deleted (SRS 4.3).</t>
        </is>
      </c>
      <c r="J267" s="13" t="inlineStr">
        <is>
          <t>library-service</t>
        </is>
      </c>
      <c r="K267" s="13" t="n"/>
    </row>
    <row r="268" ht="26.4" customHeight="1" s="31">
      <c r="A268" s="13" t="inlineStr">
        <is>
          <t>Vocabulary Sense (vocabulary_senses)</t>
        </is>
      </c>
      <c r="B268" s="13" t="inlineStr">
        <is>
          <t>updated_at</t>
        </is>
      </c>
      <c r="C268" s="13" t="inlineStr">
        <is>
          <t>TIMESTAMPTZ</t>
        </is>
      </c>
      <c r="D268" s="13" t="inlineStr">
        <is>
          <t>—</t>
        </is>
      </c>
      <c r="E268" s="13" t="inlineStr">
        <is>
          <t>No</t>
        </is>
      </c>
      <c r="F268" s="13" t="inlineStr">
        <is>
          <t>No</t>
        </is>
      </c>
      <c r="G268" s="13" t="inlineStr">
        <is>
          <t>CURRENT_TIMESTAMP</t>
        </is>
      </c>
      <c r="H268" s="13" t="inlineStr">
        <is>
          <t>—</t>
        </is>
      </c>
      <c r="I268" s="13" t="inlineStr">
        <is>
          <t>For the life of the system; archived, not deleted (SRS 4.3).</t>
        </is>
      </c>
      <c r="J268" s="13" t="inlineStr">
        <is>
          <t>library-service</t>
        </is>
      </c>
      <c r="K268" s="13" t="n"/>
    </row>
    <row r="269" ht="26.4" customHeight="1" s="31">
      <c r="A269" s="11" t="inlineStr">
        <is>
          <t>Learning Video (learning_videos)</t>
        </is>
      </c>
      <c r="B269" s="10" t="inlineStr">
        <is>
          <t>id</t>
        </is>
      </c>
      <c r="C269" s="11" t="inlineStr">
        <is>
          <t>UUID</t>
        </is>
      </c>
      <c r="D269" s="11" t="inlineStr">
        <is>
          <t>PK</t>
        </is>
      </c>
      <c r="E269" s="11" t="inlineStr">
        <is>
          <t>No</t>
        </is>
      </c>
      <c r="F269" s="11" t="inlineStr">
        <is>
          <t>Yes</t>
        </is>
      </c>
      <c r="G269" s="11" t="inlineStr">
        <is>
          <t>gen_random_uuid()</t>
        </is>
      </c>
      <c r="H269" s="11" t="inlineStr">
        <is>
          <t>—</t>
        </is>
      </c>
      <c r="I269" s="11" t="inlineStr">
        <is>
          <t>For the life of the system; archived, not deleted (SRS 4.3).</t>
        </is>
      </c>
      <c r="J269" s="11" t="inlineStr">
        <is>
          <t>library-service</t>
        </is>
      </c>
      <c r="K269" s="11" t="inlineStr">
        <is>
          <t>Describes a catalog video and its optional topic reference. Table learning_videos; owner library-service; created in V1__create_library_catalog.sql.</t>
        </is>
      </c>
    </row>
    <row r="270" ht="26.4" customHeight="1" s="31">
      <c r="A270" s="11" t="inlineStr">
        <is>
          <t>Learning Video (learning_videos)</t>
        </is>
      </c>
      <c r="B270" s="11" t="inlineStr">
        <is>
          <t>youtube_video_id</t>
        </is>
      </c>
      <c r="C270" s="11" t="inlineStr">
        <is>
          <t>VARCHAR(32)</t>
        </is>
      </c>
      <c r="D270" s="11" t="inlineStr">
        <is>
          <t>—</t>
        </is>
      </c>
      <c r="E270" s="11" t="inlineStr">
        <is>
          <t>No</t>
        </is>
      </c>
      <c r="F270" s="11" t="inlineStr">
        <is>
          <t>Yes</t>
        </is>
      </c>
      <c r="G270" s="11" t="inlineStr">
        <is>
          <t>—</t>
        </is>
      </c>
      <c r="H270" s="11" t="inlineStr">
        <is>
          <t>—</t>
        </is>
      </c>
      <c r="I270" s="11" t="inlineStr">
        <is>
          <t>For the life of the system; archived, not deleted (SRS 4.3).</t>
        </is>
      </c>
      <c r="J270" s="11" t="inlineStr">
        <is>
          <t>library-service</t>
        </is>
      </c>
      <c r="K270" s="11" t="n"/>
    </row>
    <row r="271" ht="26.4" customHeight="1" s="31">
      <c r="A271" s="11" t="inlineStr">
        <is>
          <t>Learning Video (learning_videos)</t>
        </is>
      </c>
      <c r="B271" s="11" t="inlineStr">
        <is>
          <t>youtube_url</t>
        </is>
      </c>
      <c r="C271" s="11" t="inlineStr">
        <is>
          <t>VARCHAR(500)</t>
        </is>
      </c>
      <c r="D271" s="11" t="inlineStr">
        <is>
          <t>—</t>
        </is>
      </c>
      <c r="E271" s="11" t="inlineStr">
        <is>
          <t>No</t>
        </is>
      </c>
      <c r="F271" s="11" t="inlineStr">
        <is>
          <t>No</t>
        </is>
      </c>
      <c r="G271" s="11" t="inlineStr">
        <is>
          <t>—</t>
        </is>
      </c>
      <c r="H271" s="11" t="inlineStr">
        <is>
          <t>—</t>
        </is>
      </c>
      <c r="I271" s="11" t="inlineStr">
        <is>
          <t>For the life of the system; archived, not deleted (SRS 4.3).</t>
        </is>
      </c>
      <c r="J271" s="11" t="inlineStr">
        <is>
          <t>library-service</t>
        </is>
      </c>
      <c r="K271" s="11" t="n"/>
    </row>
    <row r="272" ht="39.6" customHeight="1" s="31">
      <c r="A272" s="11" t="inlineStr">
        <is>
          <t>Learning Video (learning_videos)</t>
        </is>
      </c>
      <c r="B272" s="11" t="inlineStr">
        <is>
          <t>title</t>
        </is>
      </c>
      <c r="C272" s="11" t="inlineStr">
        <is>
          <t>VARCHAR(255)</t>
        </is>
      </c>
      <c r="D272" s="11" t="inlineStr">
        <is>
          <t>—</t>
        </is>
      </c>
      <c r="E272" s="11" t="inlineStr">
        <is>
          <t>No</t>
        </is>
      </c>
      <c r="F272" s="11" t="inlineStr">
        <is>
          <t>No</t>
        </is>
      </c>
      <c r="G272" s="11" t="inlineStr">
        <is>
          <t>—</t>
        </is>
      </c>
      <c r="H272" s="11" t="inlineStr">
        <is>
          <t>—</t>
        </is>
      </c>
      <c r="I272" s="11" t="inlineStr">
        <is>
          <t>For the life of the system; archived, not deleted (SRS 4.3).</t>
        </is>
      </c>
      <c r="J272" s="11" t="inlineStr">
        <is>
          <t>library-service</t>
        </is>
      </c>
      <c r="K272" s="11" t="n"/>
    </row>
    <row r="273" ht="26.4" customHeight="1" s="31">
      <c r="A273" s="11" t="inlineStr">
        <is>
          <t>Learning Video (learning_videos)</t>
        </is>
      </c>
      <c r="B273" s="11" t="inlineStr">
        <is>
          <t>description</t>
        </is>
      </c>
      <c r="C273" s="11" t="inlineStr">
        <is>
          <t>TEXT</t>
        </is>
      </c>
      <c r="D273" s="11" t="inlineStr">
        <is>
          <t>—</t>
        </is>
      </c>
      <c r="E273" s="11" t="inlineStr">
        <is>
          <t>Yes</t>
        </is>
      </c>
      <c r="F273" s="11" t="inlineStr">
        <is>
          <t>No</t>
        </is>
      </c>
      <c r="G273" s="11" t="inlineStr">
        <is>
          <t>NULL</t>
        </is>
      </c>
      <c r="H273" s="11" t="inlineStr">
        <is>
          <t>—</t>
        </is>
      </c>
      <c r="I273" s="11" t="inlineStr">
        <is>
          <t>For the life of the system; archived, not deleted (SRS 4.3).</t>
        </is>
      </c>
      <c r="J273" s="11" t="inlineStr">
        <is>
          <t>library-service</t>
        </is>
      </c>
      <c r="K273" s="11" t="n"/>
    </row>
    <row r="274" ht="26.4" customHeight="1" s="31">
      <c r="A274" s="11" t="inlineStr">
        <is>
          <t>Learning Video (learning_videos)</t>
        </is>
      </c>
      <c r="B274" s="11" t="inlineStr">
        <is>
          <t>thumbnail_url</t>
        </is>
      </c>
      <c r="C274" s="11" t="inlineStr">
        <is>
          <t>VARCHAR(500)</t>
        </is>
      </c>
      <c r="D274" s="11" t="inlineStr">
        <is>
          <t>—</t>
        </is>
      </c>
      <c r="E274" s="11" t="inlineStr">
        <is>
          <t>Yes</t>
        </is>
      </c>
      <c r="F274" s="11" t="inlineStr">
        <is>
          <t>No</t>
        </is>
      </c>
      <c r="G274" s="11" t="inlineStr">
        <is>
          <t>NULL</t>
        </is>
      </c>
      <c r="H274" s="11" t="inlineStr">
        <is>
          <t>—</t>
        </is>
      </c>
      <c r="I274" s="11" t="inlineStr">
        <is>
          <t>For the life of the system; archived, not deleted (SRS 4.3).</t>
        </is>
      </c>
      <c r="J274" s="11" t="inlineStr">
        <is>
          <t>library-service</t>
        </is>
      </c>
      <c r="K274" s="11" t="n"/>
    </row>
    <row r="275" ht="26.4" customHeight="1" s="31">
      <c r="A275" s="11" t="inlineStr">
        <is>
          <t>Learning Video (learning_videos)</t>
        </is>
      </c>
      <c r="B275" s="11" t="inlineStr">
        <is>
          <t>duration_seconds</t>
        </is>
      </c>
      <c r="C275" s="11" t="inlineStr">
        <is>
          <t>INT</t>
        </is>
      </c>
      <c r="D275" s="11" t="inlineStr">
        <is>
          <t>—</t>
        </is>
      </c>
      <c r="E275" s="11" t="inlineStr">
        <is>
          <t>Yes</t>
        </is>
      </c>
      <c r="F275" s="11" t="inlineStr">
        <is>
          <t>No</t>
        </is>
      </c>
      <c r="G275" s="11" t="inlineStr">
        <is>
          <t>NULL</t>
        </is>
      </c>
      <c r="H275" s="11" t="inlineStr">
        <is>
          <t>CHECK (duration_seconds IS NULL OR duration_seconds &gt;= 0)</t>
        </is>
      </c>
      <c r="I275" s="11" t="inlineStr">
        <is>
          <t>For the life of the system; archived, not deleted (SRS 4.3).</t>
        </is>
      </c>
      <c r="J275" s="11" t="inlineStr">
        <is>
          <t>library-service</t>
        </is>
      </c>
      <c r="K275" s="11" t="n"/>
    </row>
    <row r="276" ht="26.4" customHeight="1" s="31">
      <c r="A276" s="11" t="inlineStr">
        <is>
          <t>Learning Video (learning_videos)</t>
        </is>
      </c>
      <c r="B276" s="11" t="inlineStr">
        <is>
          <t>topic_id</t>
        </is>
      </c>
      <c r="C276" s="11" t="inlineStr">
        <is>
          <t>UUID</t>
        </is>
      </c>
      <c r="D276" s="11" t="inlineStr">
        <is>
          <t>Ref→Topic (no FK)</t>
        </is>
      </c>
      <c r="E276" s="11" t="inlineStr">
        <is>
          <t>Yes</t>
        </is>
      </c>
      <c r="F276" s="11" t="inlineStr">
        <is>
          <t>No</t>
        </is>
      </c>
      <c r="G276" s="11" t="inlineStr">
        <is>
          <t>NULL</t>
        </is>
      </c>
      <c r="H276" s="11" t="inlineStr">
        <is>
          <t>—</t>
        </is>
      </c>
      <c r="I276" s="11" t="inlineStr">
        <is>
          <t>For the life of the system; archived, not deleted (SRS 4.3).</t>
        </is>
      </c>
      <c r="J276" s="11" t="inlineStr">
        <is>
          <t>library-service</t>
        </is>
      </c>
      <c r="K276" s="11" t="inlineStr">
        <is>
          <t>Stored id only; no SQL foreign key (cross-service or polymorphic).</t>
        </is>
      </c>
    </row>
    <row r="277" ht="26.4" customHeight="1" s="31">
      <c r="A277" s="11" t="inlineStr">
        <is>
          <t>Learning Video (learning_videos)</t>
        </is>
      </c>
      <c r="B277" s="11" t="inlineStr">
        <is>
          <t>level</t>
        </is>
      </c>
      <c r="C277" s="11" t="inlineStr">
        <is>
          <t>VARCHAR(20)</t>
        </is>
      </c>
      <c r="D277" s="11" t="inlineStr">
        <is>
          <t>—</t>
        </is>
      </c>
      <c r="E277" s="11" t="inlineStr">
        <is>
          <t>Yes</t>
        </is>
      </c>
      <c r="F277" s="11" t="inlineStr">
        <is>
          <t>No</t>
        </is>
      </c>
      <c r="G277" s="11" t="inlineStr">
        <is>
          <t>NULL</t>
        </is>
      </c>
      <c r="H277" s="11" t="inlineStr">
        <is>
          <t>CHECK (level IN ('A2', 'B1', 'B2', 'C1', 'C2'))</t>
        </is>
      </c>
      <c r="I277" s="11" t="inlineStr">
        <is>
          <t>For the life of the system; archived, not deleted (SRS 4.3).</t>
        </is>
      </c>
      <c r="J277" s="11" t="inlineStr">
        <is>
          <t>library-service</t>
        </is>
      </c>
      <c r="K277" s="11" t="n"/>
    </row>
    <row r="278" ht="26.4" customHeight="1" s="31">
      <c r="A278" s="11" t="inlineStr">
        <is>
          <t>Learning Video (learning_videos)</t>
        </is>
      </c>
      <c r="B278" s="11" t="inlineStr">
        <is>
          <t>required_feature_key</t>
        </is>
      </c>
      <c r="C278" s="11" t="inlineStr">
        <is>
          <t>VARCHAR(100)</t>
        </is>
      </c>
      <c r="D278" s="11" t="inlineStr">
        <is>
          <t>—</t>
        </is>
      </c>
      <c r="E278" s="11" t="inlineStr">
        <is>
          <t>Yes</t>
        </is>
      </c>
      <c r="F278" s="11" t="inlineStr">
        <is>
          <t>No</t>
        </is>
      </c>
      <c r="G278" s="11" t="inlineStr">
        <is>
          <t>NULL</t>
        </is>
      </c>
      <c r="H278" s="11" t="inlineStr">
        <is>
          <t>—</t>
        </is>
      </c>
      <c r="I278" s="11" t="inlineStr">
        <is>
          <t>For the life of the system; archived, not deleted (SRS 4.3).</t>
        </is>
      </c>
      <c r="J278" s="11" t="inlineStr">
        <is>
          <t>library-service</t>
        </is>
      </c>
      <c r="K278" s="11" t="n"/>
    </row>
    <row r="279" ht="26.4" customHeight="1" s="31">
      <c r="A279" s="11" t="inlineStr">
        <is>
          <t>Learning Video (learning_videos)</t>
        </is>
      </c>
      <c r="B279" s="11" t="inlineStr">
        <is>
          <t>status</t>
        </is>
      </c>
      <c r="C279" s="11" t="inlineStr">
        <is>
          <t>VARCHAR(30)</t>
        </is>
      </c>
      <c r="D279" s="11" t="inlineStr">
        <is>
          <t>—</t>
        </is>
      </c>
      <c r="E279" s="11" t="inlineStr">
        <is>
          <t>No</t>
        </is>
      </c>
      <c r="F279" s="11" t="inlineStr">
        <is>
          <t>No</t>
        </is>
      </c>
      <c r="G279" s="11" t="inlineStr">
        <is>
          <t>'DRAFT'</t>
        </is>
      </c>
      <c r="H279" s="11" t="inlineStr">
        <is>
          <t>CHECK (status IN ('DRAFT', 'PUBLISHED', 'ARCHIVED'))</t>
        </is>
      </c>
      <c r="I279" s="11" t="inlineStr">
        <is>
          <t>For the life of the system; archived, not deleted (SRS 4.3).</t>
        </is>
      </c>
      <c r="J279" s="11" t="inlineStr">
        <is>
          <t>library-service</t>
        </is>
      </c>
      <c r="K279" s="11" t="n"/>
    </row>
    <row r="280" ht="26.4" customHeight="1" s="31">
      <c r="A280" s="11" t="inlineStr">
        <is>
          <t>Learning Video (learning_videos)</t>
        </is>
      </c>
      <c r="B280" s="11" t="inlineStr">
        <is>
          <t>created_by</t>
        </is>
      </c>
      <c r="C280" s="11" t="inlineStr">
        <is>
          <t>UUID</t>
        </is>
      </c>
      <c r="D280" s="11" t="inlineStr">
        <is>
          <t>—</t>
        </is>
      </c>
      <c r="E280" s="11" t="inlineStr">
        <is>
          <t>Yes</t>
        </is>
      </c>
      <c r="F280" s="11" t="inlineStr">
        <is>
          <t>No</t>
        </is>
      </c>
      <c r="G280" s="11" t="inlineStr">
        <is>
          <t>NULL</t>
        </is>
      </c>
      <c r="H280" s="11" t="inlineStr">
        <is>
          <t>—</t>
        </is>
      </c>
      <c r="I280" s="11" t="inlineStr">
        <is>
          <t>For the life of the system; archived, not deleted (SRS 4.3).</t>
        </is>
      </c>
      <c r="J280" s="11" t="inlineStr">
        <is>
          <t>library-service</t>
        </is>
      </c>
      <c r="K280" s="11" t="n"/>
    </row>
    <row r="281" ht="26.4" customHeight="1" s="31">
      <c r="A281" s="11" t="inlineStr">
        <is>
          <t>Learning Video (learning_videos)</t>
        </is>
      </c>
      <c r="B281" s="11" t="inlineStr">
        <is>
          <t>created_at</t>
        </is>
      </c>
      <c r="C281" s="11" t="inlineStr">
        <is>
          <t>TIMESTAMPTZ</t>
        </is>
      </c>
      <c r="D281" s="11" t="inlineStr">
        <is>
          <t>—</t>
        </is>
      </c>
      <c r="E281" s="11" t="inlineStr">
        <is>
          <t>No</t>
        </is>
      </c>
      <c r="F281" s="11" t="inlineStr">
        <is>
          <t>No</t>
        </is>
      </c>
      <c r="G281" s="11" t="inlineStr">
        <is>
          <t>CURRENT_TIMESTAMP</t>
        </is>
      </c>
      <c r="H281" s="11" t="inlineStr">
        <is>
          <t>—</t>
        </is>
      </c>
      <c r="I281" s="11" t="inlineStr">
        <is>
          <t>For the life of the system; archived, not deleted (SRS 4.3).</t>
        </is>
      </c>
      <c r="J281" s="11" t="inlineStr">
        <is>
          <t>library-service</t>
        </is>
      </c>
      <c r="K281" s="11" t="n"/>
    </row>
    <row r="282" ht="26.4" customHeight="1" s="31">
      <c r="A282" s="11" t="inlineStr">
        <is>
          <t>Learning Video (learning_videos)</t>
        </is>
      </c>
      <c r="B282" s="11" t="inlineStr">
        <is>
          <t>updated_at</t>
        </is>
      </c>
      <c r="C282" s="11" t="inlineStr">
        <is>
          <t>TIMESTAMPTZ</t>
        </is>
      </c>
      <c r="D282" s="11" t="inlineStr">
        <is>
          <t>—</t>
        </is>
      </c>
      <c r="E282" s="11" t="inlineStr">
        <is>
          <t>No</t>
        </is>
      </c>
      <c r="F282" s="11" t="inlineStr">
        <is>
          <t>No</t>
        </is>
      </c>
      <c r="G282" s="11" t="inlineStr">
        <is>
          <t>CURRENT_TIMESTAMP</t>
        </is>
      </c>
      <c r="H282" s="11" t="inlineStr">
        <is>
          <t>—</t>
        </is>
      </c>
      <c r="I282" s="11" t="inlineStr">
        <is>
          <t>For the life of the system; archived, not deleted (SRS 4.3).</t>
        </is>
      </c>
      <c r="J282" s="11" t="inlineStr">
        <is>
          <t>library-service</t>
        </is>
      </c>
      <c r="K282" s="11" t="n"/>
    </row>
    <row r="283" ht="39.6" customHeight="1" s="31">
      <c r="A283" s="13" t="inlineStr">
        <is>
          <t>Video Segment (video_segments)</t>
        </is>
      </c>
      <c r="B283" s="12" t="inlineStr">
        <is>
          <t>id</t>
        </is>
      </c>
      <c r="C283" s="13" t="inlineStr">
        <is>
          <t>UUID</t>
        </is>
      </c>
      <c r="D283" s="13" t="inlineStr">
        <is>
          <t>PK</t>
        </is>
      </c>
      <c r="E283" s="13" t="inlineStr">
        <is>
          <t>No</t>
        </is>
      </c>
      <c r="F283" s="13" t="inlineStr">
        <is>
          <t>Yes</t>
        </is>
      </c>
      <c r="G283" s="13" t="inlineStr">
        <is>
          <t>gen_random_uuid()</t>
        </is>
      </c>
      <c r="H283" s="13" t="inlineStr">
        <is>
          <t>—</t>
        </is>
      </c>
      <c r="I283" s="13" t="inlineStr">
        <is>
          <t>For the life of the system; archived, not deleted (SRS 4.3).</t>
        </is>
      </c>
      <c r="J283" s="13" t="inlineStr">
        <is>
          <t>library-service</t>
        </is>
      </c>
      <c r="K283" s="13" t="inlineStr">
        <is>
          <t>Defines a timed transcript segment of a learning video. Table video_segments; owner library-service; created in V1__create_library_catalog.sql.</t>
        </is>
      </c>
    </row>
    <row r="284" ht="26.4" customHeight="1" s="31">
      <c r="A284" s="13" t="inlineStr">
        <is>
          <t>Video Segment (video_segments)</t>
        </is>
      </c>
      <c r="B284" s="13" t="inlineStr">
        <is>
          <t>video_id</t>
        </is>
      </c>
      <c r="C284" s="13" t="inlineStr">
        <is>
          <t>UUID</t>
        </is>
      </c>
      <c r="D284" s="13" t="inlineStr">
        <is>
          <t>FK→Learning Video.id</t>
        </is>
      </c>
      <c r="E284" s="13" t="inlineStr">
        <is>
          <t>No</t>
        </is>
      </c>
      <c r="F284" s="13" t="inlineStr">
        <is>
          <t>Composite (video_id, sequence_no)</t>
        </is>
      </c>
      <c r="G284" s="13" t="inlineStr">
        <is>
          <t>—</t>
        </is>
      </c>
      <c r="H284" s="13" t="inlineStr">
        <is>
          <t>—</t>
        </is>
      </c>
      <c r="I284" s="13" t="inlineStr">
        <is>
          <t>For the life of the system; archived, not deleted (SRS 4.3).</t>
        </is>
      </c>
      <c r="J284" s="13" t="inlineStr">
        <is>
          <t>library-service</t>
        </is>
      </c>
      <c r="K284" s="13" t="n"/>
    </row>
    <row r="285" ht="26.4" customHeight="1" s="31">
      <c r="A285" s="13" t="inlineStr">
        <is>
          <t>Video Segment (video_segments)</t>
        </is>
      </c>
      <c r="B285" s="13" t="inlineStr">
        <is>
          <t>sequence_no</t>
        </is>
      </c>
      <c r="C285" s="13" t="inlineStr">
        <is>
          <t>INT</t>
        </is>
      </c>
      <c r="D285" s="13" t="inlineStr">
        <is>
          <t>—</t>
        </is>
      </c>
      <c r="E285" s="13" t="inlineStr">
        <is>
          <t>No</t>
        </is>
      </c>
      <c r="F285" s="13" t="inlineStr">
        <is>
          <t>Composite (video_id, sequence_no)</t>
        </is>
      </c>
      <c r="G285" s="13" t="inlineStr">
        <is>
          <t>—</t>
        </is>
      </c>
      <c r="H285" s="13" t="inlineStr">
        <is>
          <t>CHECK (sequence_no &gt; 0)</t>
        </is>
      </c>
      <c r="I285" s="13" t="inlineStr">
        <is>
          <t>For the life of the system; archived, not deleted (SRS 4.3).</t>
        </is>
      </c>
      <c r="J285" s="13" t="inlineStr">
        <is>
          <t>library-service</t>
        </is>
      </c>
      <c r="K285" s="13" t="n"/>
    </row>
    <row r="286" ht="26.4" customHeight="1" s="31">
      <c r="A286" s="13" t="inlineStr">
        <is>
          <t>Video Segment (video_segments)</t>
        </is>
      </c>
      <c r="B286" s="13" t="inlineStr">
        <is>
          <t>start_ms</t>
        </is>
      </c>
      <c r="C286" s="13" t="inlineStr">
        <is>
          <t>INT</t>
        </is>
      </c>
      <c r="D286" s="13" t="inlineStr">
        <is>
          <t>—</t>
        </is>
      </c>
      <c r="E286" s="13" t="inlineStr">
        <is>
          <t>No</t>
        </is>
      </c>
      <c r="F286" s="13" t="inlineStr">
        <is>
          <t>No</t>
        </is>
      </c>
      <c r="G286" s="13" t="inlineStr">
        <is>
          <t>—</t>
        </is>
      </c>
      <c r="H286" s="13" t="inlineStr">
        <is>
          <t>CHECK (start_ms &gt;= 0)</t>
        </is>
      </c>
      <c r="I286" s="13" t="inlineStr">
        <is>
          <t>For the life of the system; archived, not deleted (SRS 4.3).</t>
        </is>
      </c>
      <c r="J286" s="13" t="inlineStr">
        <is>
          <t>library-service</t>
        </is>
      </c>
      <c r="K286" s="13" t="n"/>
    </row>
    <row r="287" ht="26.4" customHeight="1" s="31">
      <c r="A287" s="13" t="inlineStr">
        <is>
          <t>Video Segment (video_segments)</t>
        </is>
      </c>
      <c r="B287" s="13" t="inlineStr">
        <is>
          <t>end_ms</t>
        </is>
      </c>
      <c r="C287" s="13" t="inlineStr">
        <is>
          <t>INT</t>
        </is>
      </c>
      <c r="D287" s="13" t="inlineStr">
        <is>
          <t>—</t>
        </is>
      </c>
      <c r="E287" s="13" t="inlineStr">
        <is>
          <t>No</t>
        </is>
      </c>
      <c r="F287" s="13" t="inlineStr">
        <is>
          <t>No</t>
        </is>
      </c>
      <c r="G287" s="13" t="inlineStr">
        <is>
          <t>—</t>
        </is>
      </c>
      <c r="H287" s="13" t="inlineStr">
        <is>
          <t>CHECK (end_ms &gt; start_ms)</t>
        </is>
      </c>
      <c r="I287" s="13" t="inlineStr">
        <is>
          <t>For the life of the system; archived, not deleted (SRS 4.3).</t>
        </is>
      </c>
      <c r="J287" s="13" t="inlineStr">
        <is>
          <t>library-service</t>
        </is>
      </c>
      <c r="K287" s="13" t="n"/>
    </row>
    <row r="288" ht="26.4" customHeight="1" s="31">
      <c r="A288" s="13" t="inlineStr">
        <is>
          <t>Video Segment (video_segments)</t>
        </is>
      </c>
      <c r="B288" s="13" t="inlineStr">
        <is>
          <t>transcript</t>
        </is>
      </c>
      <c r="C288" s="13" t="inlineStr">
        <is>
          <t>TEXT</t>
        </is>
      </c>
      <c r="D288" s="13" t="inlineStr">
        <is>
          <t>—</t>
        </is>
      </c>
      <c r="E288" s="13" t="inlineStr">
        <is>
          <t>No</t>
        </is>
      </c>
      <c r="F288" s="13" t="inlineStr">
        <is>
          <t>No</t>
        </is>
      </c>
      <c r="G288" s="13" t="inlineStr">
        <is>
          <t>—</t>
        </is>
      </c>
      <c r="H288" s="13" t="inlineStr">
        <is>
          <t>—</t>
        </is>
      </c>
      <c r="I288" s="13" t="inlineStr">
        <is>
          <t>For the life of the system; archived, not deleted (SRS 4.3).</t>
        </is>
      </c>
      <c r="J288" s="13" t="inlineStr">
        <is>
          <t>library-service</t>
        </is>
      </c>
      <c r="K288" s="13" t="n"/>
    </row>
    <row r="289" ht="26.4" customHeight="1" s="31">
      <c r="A289" s="13" t="inlineStr">
        <is>
          <t>Video Segment (video_segments)</t>
        </is>
      </c>
      <c r="B289" s="13" t="inlineStr">
        <is>
          <t>translation_vi</t>
        </is>
      </c>
      <c r="C289" s="13" t="inlineStr">
        <is>
          <t>TEXT</t>
        </is>
      </c>
      <c r="D289" s="13" t="inlineStr">
        <is>
          <t>—</t>
        </is>
      </c>
      <c r="E289" s="13" t="inlineStr">
        <is>
          <t>Yes</t>
        </is>
      </c>
      <c r="F289" s="13" t="inlineStr">
        <is>
          <t>No</t>
        </is>
      </c>
      <c r="G289" s="13" t="inlineStr">
        <is>
          <t>NULL</t>
        </is>
      </c>
      <c r="H289" s="13" t="inlineStr">
        <is>
          <t>—</t>
        </is>
      </c>
      <c r="I289" s="13" t="inlineStr">
        <is>
          <t>For the life of the system; archived, not deleted (SRS 4.3).</t>
        </is>
      </c>
      <c r="J289" s="13" t="inlineStr">
        <is>
          <t>library-service</t>
        </is>
      </c>
      <c r="K289" s="13" t="n"/>
    </row>
    <row r="290" ht="39.6" customHeight="1" s="31">
      <c r="A290" s="13" t="inlineStr">
        <is>
          <t>Video Segment (video_segments)</t>
        </is>
      </c>
      <c r="B290" s="13" t="inlineStr">
        <is>
          <t>created_at</t>
        </is>
      </c>
      <c r="C290" s="13" t="inlineStr">
        <is>
          <t>TIMESTAMPTZ</t>
        </is>
      </c>
      <c r="D290" s="13" t="inlineStr">
        <is>
          <t>—</t>
        </is>
      </c>
      <c r="E290" s="13" t="inlineStr">
        <is>
          <t>No</t>
        </is>
      </c>
      <c r="F290" s="13" t="inlineStr">
        <is>
          <t>No</t>
        </is>
      </c>
      <c r="G290" s="13" t="inlineStr">
        <is>
          <t>CURRENT_TIMESTAMP</t>
        </is>
      </c>
      <c r="H290" s="13" t="inlineStr">
        <is>
          <t>—</t>
        </is>
      </c>
      <c r="I290" s="13" t="inlineStr">
        <is>
          <t>For the life of the system; archived, not deleted (SRS 4.3).</t>
        </is>
      </c>
      <c r="J290" s="13" t="inlineStr">
        <is>
          <t>library-service</t>
        </is>
      </c>
      <c r="K290" s="13" t="n"/>
    </row>
    <row r="291" ht="26.4" customHeight="1" s="31">
      <c r="A291" s="13" t="inlineStr">
        <is>
          <t>Video Segment (video_segments)</t>
        </is>
      </c>
      <c r="B291" s="13" t="inlineStr">
        <is>
          <t>updated_at</t>
        </is>
      </c>
      <c r="C291" s="13" t="inlineStr">
        <is>
          <t>TIMESTAMPTZ</t>
        </is>
      </c>
      <c r="D291" s="13" t="inlineStr">
        <is>
          <t>—</t>
        </is>
      </c>
      <c r="E291" s="13" t="inlineStr">
        <is>
          <t>No</t>
        </is>
      </c>
      <c r="F291" s="13" t="inlineStr">
        <is>
          <t>No</t>
        </is>
      </c>
      <c r="G291" s="13" t="inlineStr">
        <is>
          <t>CURRENT_TIMESTAMP</t>
        </is>
      </c>
      <c r="H291" s="13" t="inlineStr">
        <is>
          <t>—</t>
        </is>
      </c>
      <c r="I291" s="13" t="inlineStr">
        <is>
          <t>For the life of the system; archived, not deleted (SRS 4.3).</t>
        </is>
      </c>
      <c r="J291" s="13" t="inlineStr">
        <is>
          <t>library-service</t>
        </is>
      </c>
      <c r="K291" s="13" t="n"/>
    </row>
    <row r="292" ht="26.4" customHeight="1" s="31">
      <c r="A292" s="11" t="inlineStr">
        <is>
          <t>Lexical Entry (video_segment_lexical_entries)</t>
        </is>
      </c>
      <c r="B292" s="10" t="inlineStr">
        <is>
          <t>id</t>
        </is>
      </c>
      <c r="C292" s="11" t="inlineStr">
        <is>
          <t>UUID</t>
        </is>
      </c>
      <c r="D292" s="11" t="inlineStr">
        <is>
          <t>PK</t>
        </is>
      </c>
      <c r="E292" s="11" t="inlineStr">
        <is>
          <t>No</t>
        </is>
      </c>
      <c r="F292" s="11" t="inlineStr">
        <is>
          <t>Yes</t>
        </is>
      </c>
      <c r="G292" s="11" t="inlineStr">
        <is>
          <t>gen_random_uuid()</t>
        </is>
      </c>
      <c r="H292" s="11" t="inlineStr">
        <is>
          <t>—</t>
        </is>
      </c>
      <c r="I292" s="11" t="inlineStr">
        <is>
          <t>For the life of the system; archived, not deleted (SRS 4.3).</t>
        </is>
      </c>
      <c r="J292" s="11" t="inlineStr">
        <is>
          <t>library-service</t>
        </is>
      </c>
      <c r="K292" s="11" t="inlineStr">
        <is>
          <t>Marks a text span in a segment and its optional vocabulary sense. Table video_segment_lexical_entries; owner library-service; created in V1__create_library_catalog.sql.</t>
        </is>
      </c>
    </row>
    <row r="293" ht="26.4" customHeight="1" s="31">
      <c r="A293" s="11" t="inlineStr">
        <is>
          <t>Lexical Entry (video_segment_lexical_entries)</t>
        </is>
      </c>
      <c r="B293" s="11" t="inlineStr">
        <is>
          <t>segment_id</t>
        </is>
      </c>
      <c r="C293" s="11" t="inlineStr">
        <is>
          <t>UUID</t>
        </is>
      </c>
      <c r="D293" s="11" t="inlineStr">
        <is>
          <t>FK→Video Segment.id</t>
        </is>
      </c>
      <c r="E293" s="11" t="inlineStr">
        <is>
          <t>No</t>
        </is>
      </c>
      <c r="F293" s="11" t="inlineStr">
        <is>
          <t>Composite (segment_id, start_char, end_char)</t>
        </is>
      </c>
      <c r="G293" s="11" t="inlineStr">
        <is>
          <t>—</t>
        </is>
      </c>
      <c r="H293" s="11" t="inlineStr">
        <is>
          <t>—</t>
        </is>
      </c>
      <c r="I293" s="11" t="inlineStr">
        <is>
          <t>For the life of the system; archived, not deleted (SRS 4.3).</t>
        </is>
      </c>
      <c r="J293" s="11" t="inlineStr">
        <is>
          <t>library-service</t>
        </is>
      </c>
      <c r="K293" s="11" t="n"/>
    </row>
    <row r="294" ht="26.4" customHeight="1" s="31">
      <c r="A294" s="11" t="inlineStr">
        <is>
          <t>Lexical Entry (video_segment_lexical_entries)</t>
        </is>
      </c>
      <c r="B294" s="11" t="inlineStr">
        <is>
          <t>vocabulary_sense_id</t>
        </is>
      </c>
      <c r="C294" s="11" t="inlineStr">
        <is>
          <t>UUID</t>
        </is>
      </c>
      <c r="D294" s="11" t="inlineStr">
        <is>
          <t>FK→Vocabulary Sense.id</t>
        </is>
      </c>
      <c r="E294" s="11" t="inlineStr">
        <is>
          <t>Yes</t>
        </is>
      </c>
      <c r="F294" s="11" t="inlineStr">
        <is>
          <t>No</t>
        </is>
      </c>
      <c r="G294" s="11" t="inlineStr">
        <is>
          <t>NULL</t>
        </is>
      </c>
      <c r="H294" s="11" t="inlineStr">
        <is>
          <t>—</t>
        </is>
      </c>
      <c r="I294" s="11" t="inlineStr">
        <is>
          <t>For the life of the system; archived, not deleted (SRS 4.3).</t>
        </is>
      </c>
      <c r="J294" s="11" t="inlineStr">
        <is>
          <t>library-service</t>
        </is>
      </c>
      <c r="K294" s="11" t="n"/>
    </row>
    <row r="295" ht="26.4" customHeight="1" s="31">
      <c r="A295" s="11" t="inlineStr">
        <is>
          <t>Lexical Entry (video_segment_lexical_entries)</t>
        </is>
      </c>
      <c r="B295" s="11" t="inlineStr">
        <is>
          <t>surface_text</t>
        </is>
      </c>
      <c r="C295" s="11" t="inlineStr">
        <is>
          <t>VARCHAR(255)</t>
        </is>
      </c>
      <c r="D295" s="11" t="inlineStr">
        <is>
          <t>—</t>
        </is>
      </c>
      <c r="E295" s="11" t="inlineStr">
        <is>
          <t>No</t>
        </is>
      </c>
      <c r="F295" s="11" t="inlineStr">
        <is>
          <t>No</t>
        </is>
      </c>
      <c r="G295" s="11" t="inlineStr">
        <is>
          <t>—</t>
        </is>
      </c>
      <c r="H295" s="11" t="inlineStr">
        <is>
          <t>—</t>
        </is>
      </c>
      <c r="I295" s="11" t="inlineStr">
        <is>
          <t>For the life of the system; archived, not deleted (SRS 4.3).</t>
        </is>
      </c>
      <c r="J295" s="11" t="inlineStr">
        <is>
          <t>library-service</t>
        </is>
      </c>
      <c r="K295" s="11" t="n"/>
    </row>
    <row r="296" ht="26.4" customHeight="1" s="31">
      <c r="A296" s="11" t="inlineStr">
        <is>
          <t>Lexical Entry (video_segment_lexical_entries)</t>
        </is>
      </c>
      <c r="B296" s="11" t="inlineStr">
        <is>
          <t>start_char</t>
        </is>
      </c>
      <c r="C296" s="11" t="inlineStr">
        <is>
          <t>INT</t>
        </is>
      </c>
      <c r="D296" s="11" t="inlineStr">
        <is>
          <t>—</t>
        </is>
      </c>
      <c r="E296" s="11" t="inlineStr">
        <is>
          <t>No</t>
        </is>
      </c>
      <c r="F296" s="11" t="inlineStr">
        <is>
          <t>Composite (segment_id, start_char, end_char)</t>
        </is>
      </c>
      <c r="G296" s="11" t="inlineStr">
        <is>
          <t>—</t>
        </is>
      </c>
      <c r="H296" s="11" t="inlineStr">
        <is>
          <t>CHECK (start_char &gt;= 0)</t>
        </is>
      </c>
      <c r="I296" s="11" t="inlineStr">
        <is>
          <t>For the life of the system; archived, not deleted (SRS 4.3).</t>
        </is>
      </c>
      <c r="J296" s="11" t="inlineStr">
        <is>
          <t>library-service</t>
        </is>
      </c>
      <c r="K296" s="11" t="n"/>
    </row>
    <row r="297" ht="26.4" customHeight="1" s="31">
      <c r="A297" s="11" t="inlineStr">
        <is>
          <t>Lexical Entry (video_segment_lexical_entries)</t>
        </is>
      </c>
      <c r="B297" s="11" t="inlineStr">
        <is>
          <t>end_char</t>
        </is>
      </c>
      <c r="C297" s="11" t="inlineStr">
        <is>
          <t>INT</t>
        </is>
      </c>
      <c r="D297" s="11" t="inlineStr">
        <is>
          <t>—</t>
        </is>
      </c>
      <c r="E297" s="11" t="inlineStr">
        <is>
          <t>No</t>
        </is>
      </c>
      <c r="F297" s="11" t="inlineStr">
        <is>
          <t>Composite (segment_id, start_char, end_char)</t>
        </is>
      </c>
      <c r="G297" s="11" t="inlineStr">
        <is>
          <t>—</t>
        </is>
      </c>
      <c r="H297" s="11" t="inlineStr">
        <is>
          <t>CHECK (end_char &gt; start_char)</t>
        </is>
      </c>
      <c r="I297" s="11" t="inlineStr">
        <is>
          <t>For the life of the system; archived, not deleted (SRS 4.3).</t>
        </is>
      </c>
      <c r="J297" s="11" t="inlineStr">
        <is>
          <t>library-service</t>
        </is>
      </c>
      <c r="K297" s="11" t="n"/>
    </row>
    <row r="298" ht="26.4" customHeight="1" s="31">
      <c r="A298" s="11" t="inlineStr">
        <is>
          <t>Lexical Entry (video_segment_lexical_entries)</t>
        </is>
      </c>
      <c r="B298" s="11" t="inlineStr">
        <is>
          <t>sort_order</t>
        </is>
      </c>
      <c r="C298" s="11" t="inlineStr">
        <is>
          <t>INT</t>
        </is>
      </c>
      <c r="D298" s="11" t="inlineStr">
        <is>
          <t>—</t>
        </is>
      </c>
      <c r="E298" s="11" t="inlineStr">
        <is>
          <t>Yes</t>
        </is>
      </c>
      <c r="F298" s="11" t="inlineStr">
        <is>
          <t>No</t>
        </is>
      </c>
      <c r="G298" s="11" t="inlineStr">
        <is>
          <t>0</t>
        </is>
      </c>
      <c r="H298" s="11" t="inlineStr">
        <is>
          <t>—</t>
        </is>
      </c>
      <c r="I298" s="11" t="inlineStr">
        <is>
          <t>For the life of the system; archived, not deleted (SRS 4.3).</t>
        </is>
      </c>
      <c r="J298" s="11" t="inlineStr">
        <is>
          <t>library-service</t>
        </is>
      </c>
      <c r="K298" s="11" t="n"/>
    </row>
    <row r="299" ht="39.6" customHeight="1" s="31">
      <c r="A299" s="11" t="inlineStr">
        <is>
          <t>Lexical Entry (video_segment_lexical_entries)</t>
        </is>
      </c>
      <c r="B299" s="11" t="inlineStr">
        <is>
          <t>created_at</t>
        </is>
      </c>
      <c r="C299" s="11" t="inlineStr">
        <is>
          <t>TIMESTAMPTZ</t>
        </is>
      </c>
      <c r="D299" s="11" t="inlineStr">
        <is>
          <t>—</t>
        </is>
      </c>
      <c r="E299" s="11" t="inlineStr">
        <is>
          <t>No</t>
        </is>
      </c>
      <c r="F299" s="11" t="inlineStr">
        <is>
          <t>No</t>
        </is>
      </c>
      <c r="G299" s="11" t="inlineStr">
        <is>
          <t>CURRENT_TIMESTAMP</t>
        </is>
      </c>
      <c r="H299" s="11" t="inlineStr">
        <is>
          <t>—</t>
        </is>
      </c>
      <c r="I299" s="11" t="inlineStr">
        <is>
          <t>For the life of the system; archived, not deleted (SRS 4.3).</t>
        </is>
      </c>
      <c r="J299" s="11" t="inlineStr">
        <is>
          <t>library-service</t>
        </is>
      </c>
      <c r="K299" s="11" t="n"/>
    </row>
    <row r="300" ht="39.6" customHeight="1" s="31">
      <c r="A300" s="13" t="inlineStr">
        <is>
          <t>Video Progress (video_learning_progress)</t>
        </is>
      </c>
      <c r="B300" s="12" t="inlineStr">
        <is>
          <t>id</t>
        </is>
      </c>
      <c r="C300" s="13" t="inlineStr">
        <is>
          <t>UUID</t>
        </is>
      </c>
      <c r="D300" s="13" t="inlineStr">
        <is>
          <t>PK</t>
        </is>
      </c>
      <c r="E300" s="13" t="inlineStr">
        <is>
          <t>No</t>
        </is>
      </c>
      <c r="F300" s="13" t="inlineStr">
        <is>
          <t>Yes</t>
        </is>
      </c>
      <c r="G300" s="13" t="inlineStr">
        <is>
          <t>—</t>
        </is>
      </c>
      <c r="H300" s="13" t="inlineStr">
        <is>
          <t>—</t>
        </is>
      </c>
      <c r="I300" s="13" t="inlineStr">
        <is>
          <t>While the account exists; notes, flashcards and decks the learner deletes are removed after 90 days; deleted 30 days after closure (SRS 4.3).</t>
        </is>
      </c>
      <c r="J300" s="13" t="inlineStr">
        <is>
          <t>library-service</t>
        </is>
      </c>
      <c r="K300" s="13" t="inlineStr">
        <is>
          <t>Records one user's viewing progress for one video. Table video_learning_progress; owner library-service; created in V2__create_personal_library.sql.</t>
        </is>
      </c>
    </row>
    <row r="301" ht="39.6" customHeight="1" s="31">
      <c r="A301" s="13" t="inlineStr">
        <is>
          <t>Video Progress (video_learning_progress)</t>
        </is>
      </c>
      <c r="B301" s="13" t="inlineStr">
        <is>
          <t>user_id</t>
        </is>
      </c>
      <c r="C301" s="13" t="inlineStr">
        <is>
          <t>UUID</t>
        </is>
      </c>
      <c r="D301" s="13" t="inlineStr">
        <is>
          <t>Ref→User (no FK)</t>
        </is>
      </c>
      <c r="E301" s="13" t="inlineStr">
        <is>
          <t>No</t>
        </is>
      </c>
      <c r="F301" s="13" t="inlineStr">
        <is>
          <t>Composite (user_id, video_id)</t>
        </is>
      </c>
      <c r="G301" s="13" t="inlineStr">
        <is>
          <t>—</t>
        </is>
      </c>
      <c r="H301" s="13" t="inlineStr">
        <is>
          <t>—</t>
        </is>
      </c>
      <c r="I301" s="13" t="inlineStr">
        <is>
          <t>While the account exists; notes, flashcards and decks the learner deletes are removed after 90 days; deleted 30 days after closure (SRS 4.3).</t>
        </is>
      </c>
      <c r="J301" s="13" t="inlineStr">
        <is>
          <t>library-service</t>
        </is>
      </c>
      <c r="K301" s="13" t="inlineStr">
        <is>
          <t>Stored id only; no SQL foreign key (cross-service or polymorphic).</t>
        </is>
      </c>
    </row>
    <row r="302" ht="26.4" customHeight="1" s="31">
      <c r="A302" s="13" t="inlineStr">
        <is>
          <t>Video Progress (video_learning_progress)</t>
        </is>
      </c>
      <c r="B302" s="13" t="inlineStr">
        <is>
          <t>video_id</t>
        </is>
      </c>
      <c r="C302" s="13" t="inlineStr">
        <is>
          <t>UUID</t>
        </is>
      </c>
      <c r="D302" s="13" t="inlineStr">
        <is>
          <t>FK→Learning Video.id</t>
        </is>
      </c>
      <c r="E302" s="13" t="inlineStr">
        <is>
          <t>No</t>
        </is>
      </c>
      <c r="F302" s="13" t="inlineStr">
        <is>
          <t>Composite (user_id, video_id)</t>
        </is>
      </c>
      <c r="G302" s="13" t="inlineStr">
        <is>
          <t>—</t>
        </is>
      </c>
      <c r="H302" s="13" t="inlineStr">
        <is>
          <t>—</t>
        </is>
      </c>
      <c r="I302" s="13" t="inlineStr">
        <is>
          <t>While the account exists; notes, flashcards and decks the learner deletes are removed after 90 days; deleted 30 days after closure (SRS 4.3).</t>
        </is>
      </c>
      <c r="J302" s="13" t="inlineStr">
        <is>
          <t>library-service</t>
        </is>
      </c>
      <c r="K302" s="13" t="n"/>
    </row>
    <row r="303" ht="26.4" customHeight="1" s="31">
      <c r="A303" s="13" t="inlineStr">
        <is>
          <t>Video Progress (video_learning_progress)</t>
        </is>
      </c>
      <c r="B303" s="13" t="inlineStr">
        <is>
          <t>last_position_ms</t>
        </is>
      </c>
      <c r="C303" s="13" t="inlineStr">
        <is>
          <t>INTEGER</t>
        </is>
      </c>
      <c r="D303" s="13" t="inlineStr">
        <is>
          <t>—</t>
        </is>
      </c>
      <c r="E303" s="13" t="inlineStr">
        <is>
          <t>No</t>
        </is>
      </c>
      <c r="F303" s="13" t="inlineStr">
        <is>
          <t>No</t>
        </is>
      </c>
      <c r="G303" s="13" t="inlineStr">
        <is>
          <t>0</t>
        </is>
      </c>
      <c r="H303" s="13" t="inlineStr">
        <is>
          <t>CHECK (last_position_ms &gt;= 0)</t>
        </is>
      </c>
      <c r="I303" s="13" t="inlineStr">
        <is>
          <t>While the account exists; notes, flashcards and decks the learner deletes are removed after 90 days; deleted 30 days after closure (SRS 4.3).</t>
        </is>
      </c>
      <c r="J303" s="13" t="inlineStr">
        <is>
          <t>library-service</t>
        </is>
      </c>
      <c r="K303" s="13" t="n"/>
    </row>
    <row r="304" ht="26.4" customHeight="1" s="31">
      <c r="A304" s="13" t="inlineStr">
        <is>
          <t>Video Progress (video_learning_progress)</t>
        </is>
      </c>
      <c r="B304" s="13" t="inlineStr">
        <is>
          <t>watched_duration_seconds</t>
        </is>
      </c>
      <c r="C304" s="13" t="inlineStr">
        <is>
          <t>INTEGER</t>
        </is>
      </c>
      <c r="D304" s="13" t="inlineStr">
        <is>
          <t>—</t>
        </is>
      </c>
      <c r="E304" s="13" t="inlineStr">
        <is>
          <t>No</t>
        </is>
      </c>
      <c r="F304" s="13" t="inlineStr">
        <is>
          <t>No</t>
        </is>
      </c>
      <c r="G304" s="13" t="inlineStr">
        <is>
          <t>0</t>
        </is>
      </c>
      <c r="H304" s="13" t="inlineStr">
        <is>
          <t>CHECK (watched_duration_seconds &gt;= 0)</t>
        </is>
      </c>
      <c r="I304" s="13" t="inlineStr">
        <is>
          <t>While the account exists; notes, flashcards and decks the learner deletes are removed after 90 days; deleted 30 days after closure (SRS 4.3).</t>
        </is>
      </c>
      <c r="J304" s="13" t="inlineStr">
        <is>
          <t>library-service</t>
        </is>
      </c>
      <c r="K304" s="13" t="n"/>
    </row>
    <row r="305" ht="26.4" customHeight="1" s="31">
      <c r="A305" s="13" t="inlineStr">
        <is>
          <t>Video Progress (video_learning_progress)</t>
        </is>
      </c>
      <c r="B305" s="13" t="inlineStr">
        <is>
          <t>progress_percent</t>
        </is>
      </c>
      <c r="C305" s="13" t="inlineStr">
        <is>
          <t>NUMERIC(5, 2)</t>
        </is>
      </c>
      <c r="D305" s="13" t="inlineStr">
        <is>
          <t>—</t>
        </is>
      </c>
      <c r="E305" s="13" t="inlineStr">
        <is>
          <t>No</t>
        </is>
      </c>
      <c r="F305" s="13" t="inlineStr">
        <is>
          <t>No</t>
        </is>
      </c>
      <c r="G305" s="13" t="inlineStr">
        <is>
          <t>0</t>
        </is>
      </c>
      <c r="H305" s="13" t="inlineStr">
        <is>
          <t>CHECK (progress_percent &gt;= 0 AND progress_percent &lt;= 100)</t>
        </is>
      </c>
      <c r="I305" s="13" t="inlineStr">
        <is>
          <t>While the account exists; notes, flashcards and decks the learner deletes are removed after 90 days; deleted 30 days after closure (SRS 4.3).</t>
        </is>
      </c>
      <c r="J305" s="13" t="inlineStr">
        <is>
          <t>library-service</t>
        </is>
      </c>
      <c r="K305" s="13" t="n"/>
    </row>
    <row r="306" ht="39.6" customHeight="1" s="31">
      <c r="A306" s="13" t="inlineStr">
        <is>
          <t>Video Progress (video_learning_progress)</t>
        </is>
      </c>
      <c r="B306" s="13" t="inlineStr">
        <is>
          <t>status</t>
        </is>
      </c>
      <c r="C306" s="13" t="inlineStr">
        <is>
          <t>VARCHAR(30)</t>
        </is>
      </c>
      <c r="D306" s="13" t="inlineStr">
        <is>
          <t>—</t>
        </is>
      </c>
      <c r="E306" s="13" t="inlineStr">
        <is>
          <t>No</t>
        </is>
      </c>
      <c r="F306" s="13" t="inlineStr">
        <is>
          <t>No</t>
        </is>
      </c>
      <c r="G306" s="13" t="inlineStr">
        <is>
          <t>'NOT_STARTED'</t>
        </is>
      </c>
      <c r="H306" s="13" t="inlineStr">
        <is>
          <t>CHECK (status IN ('NOT_STARTED', 'IN_PROGRESS', 'COMPLETED'))</t>
        </is>
      </c>
      <c r="I306" s="13" t="inlineStr">
        <is>
          <t>While the account exists; notes, flashcards and decks the learner deletes are removed after 90 days; deleted 30 days after closure (SRS 4.3).</t>
        </is>
      </c>
      <c r="J306" s="13" t="inlineStr">
        <is>
          <t>library-service</t>
        </is>
      </c>
      <c r="K306" s="13" t="n"/>
    </row>
    <row r="307" ht="79.2" customHeight="1" s="31">
      <c r="A307" s="13" t="inlineStr">
        <is>
          <t>Video Progress (video_learning_progress)</t>
        </is>
      </c>
      <c r="B307" s="13" t="inlineStr">
        <is>
          <t>started_at</t>
        </is>
      </c>
      <c r="C307" s="13" t="inlineStr">
        <is>
          <t>TIMESTAMPTZ</t>
        </is>
      </c>
      <c r="D307" s="13" t="inlineStr">
        <is>
          <t>—</t>
        </is>
      </c>
      <c r="E307" s="13" t="inlineStr">
        <is>
          <t>Yes</t>
        </is>
      </c>
      <c r="F307" s="13" t="inlineStr">
        <is>
          <t>No</t>
        </is>
      </c>
      <c r="G307" s="13" t="inlineStr">
        <is>
          <t>NULL</t>
        </is>
      </c>
      <c r="H307" s="13" t="inlineStr">
        <is>
          <t>—</t>
        </is>
      </c>
      <c r="I307" s="13" t="inlineStr">
        <is>
          <t>While the account exists; notes, flashcards and decks the learner deletes are removed after 90 days; deleted 30 days after closure (SRS 4.3).</t>
        </is>
      </c>
      <c r="J307" s="13" t="inlineStr">
        <is>
          <t>library-service</t>
        </is>
      </c>
      <c r="K307" s="13" t="n"/>
    </row>
    <row r="308" ht="26.4" customHeight="1" s="31">
      <c r="A308" s="13" t="inlineStr">
        <is>
          <t>Video Progress (video_learning_progress)</t>
        </is>
      </c>
      <c r="B308" s="13" t="inlineStr">
        <is>
          <t>last_watched_at</t>
        </is>
      </c>
      <c r="C308" s="13" t="inlineStr">
        <is>
          <t>TIMESTAMPTZ</t>
        </is>
      </c>
      <c r="D308" s="13" t="inlineStr">
        <is>
          <t>—</t>
        </is>
      </c>
      <c r="E308" s="13" t="inlineStr">
        <is>
          <t>Yes</t>
        </is>
      </c>
      <c r="F308" s="13" t="inlineStr">
        <is>
          <t>No</t>
        </is>
      </c>
      <c r="G308" s="13" t="inlineStr">
        <is>
          <t>NULL</t>
        </is>
      </c>
      <c r="H308" s="13" t="inlineStr">
        <is>
          <t>—</t>
        </is>
      </c>
      <c r="I308" s="13" t="inlineStr">
        <is>
          <t>While the account exists; notes, flashcards and decks the learner deletes are removed after 90 days; deleted 30 days after closure (SRS 4.3).</t>
        </is>
      </c>
      <c r="J308" s="13" t="inlineStr">
        <is>
          <t>library-service</t>
        </is>
      </c>
      <c r="K308" s="13" t="n"/>
    </row>
    <row r="309" ht="26.4" customHeight="1" s="31">
      <c r="A309" s="13" t="inlineStr">
        <is>
          <t>Video Progress (video_learning_progress)</t>
        </is>
      </c>
      <c r="B309" s="13" t="inlineStr">
        <is>
          <t>completed_at</t>
        </is>
      </c>
      <c r="C309" s="13" t="inlineStr">
        <is>
          <t>TIMESTAMPTZ</t>
        </is>
      </c>
      <c r="D309" s="13" t="inlineStr">
        <is>
          <t>—</t>
        </is>
      </c>
      <c r="E309" s="13" t="inlineStr">
        <is>
          <t>Yes</t>
        </is>
      </c>
      <c r="F309" s="13" t="inlineStr">
        <is>
          <t>No</t>
        </is>
      </c>
      <c r="G309" s="13" t="inlineStr">
        <is>
          <t>NULL</t>
        </is>
      </c>
      <c r="H309" s="13" t="inlineStr">
        <is>
          <t>—</t>
        </is>
      </c>
      <c r="I309" s="13" t="inlineStr">
        <is>
          <t>While the account exists; notes, flashcards and decks the learner deletes are removed after 90 days; deleted 30 days after closure (SRS 4.3).</t>
        </is>
      </c>
      <c r="J309" s="13" t="inlineStr">
        <is>
          <t>library-service</t>
        </is>
      </c>
      <c r="K309" s="13" t="n"/>
    </row>
    <row r="310" ht="79.2" customHeight="1" s="31">
      <c r="A310" s="13" t="inlineStr">
        <is>
          <t>Video Progress (video_learning_progress)</t>
        </is>
      </c>
      <c r="B310" s="13" t="inlineStr">
        <is>
          <t>updated_at</t>
        </is>
      </c>
      <c r="C310" s="13" t="inlineStr">
        <is>
          <t>TIMESTAMPTZ</t>
        </is>
      </c>
      <c r="D310" s="13" t="inlineStr">
        <is>
          <t>—</t>
        </is>
      </c>
      <c r="E310" s="13" t="inlineStr">
        <is>
          <t>No</t>
        </is>
      </c>
      <c r="F310" s="13" t="inlineStr">
        <is>
          <t>No</t>
        </is>
      </c>
      <c r="G310" s="13" t="inlineStr">
        <is>
          <t>now()</t>
        </is>
      </c>
      <c r="H310" s="13" t="inlineStr">
        <is>
          <t>—</t>
        </is>
      </c>
      <c r="I310" s="13" t="inlineStr">
        <is>
          <t>While the account exists; notes, flashcards and decks the learner deletes are removed after 90 days; deleted 30 days after closure (SRS 4.3).</t>
        </is>
      </c>
      <c r="J310" s="13" t="inlineStr">
        <is>
          <t>library-service</t>
        </is>
      </c>
      <c r="K310" s="13" t="n"/>
    </row>
    <row r="311" ht="26.4" customHeight="1" s="31">
      <c r="A311" s="11" t="inlineStr">
        <is>
          <t>Saved Segment (saved_video_segments)</t>
        </is>
      </c>
      <c r="B311" s="10" t="inlineStr">
        <is>
          <t>id</t>
        </is>
      </c>
      <c r="C311" s="11" t="inlineStr">
        <is>
          <t>UUID</t>
        </is>
      </c>
      <c r="D311" s="11" t="inlineStr">
        <is>
          <t>PK</t>
        </is>
      </c>
      <c r="E311" s="11" t="inlineStr">
        <is>
          <t>No</t>
        </is>
      </c>
      <c r="F311" s="11" t="inlineStr">
        <is>
          <t>Yes</t>
        </is>
      </c>
      <c r="G311" s="11" t="inlineStr">
        <is>
          <t>—</t>
        </is>
      </c>
      <c r="H311" s="11" t="inlineStr">
        <is>
          <t>—</t>
        </is>
      </c>
      <c r="I311" s="11" t="inlineStr">
        <is>
          <t>While the account exists; notes, flashcards and decks the learner deletes are removed after 90 days; deleted 30 days after closure (SRS 4.3).</t>
        </is>
      </c>
      <c r="J311" s="11" t="inlineStr">
        <is>
          <t>library-service</t>
        </is>
      </c>
      <c r="K311" s="11" t="inlineStr">
        <is>
          <t>Records a user's saved video segment and transcript snapshot. Table saved_video_segments; owner library-service; created in V2__create_personal_library.sql.</t>
        </is>
      </c>
    </row>
    <row r="312" ht="26.4" customHeight="1" s="31">
      <c r="A312" s="11" t="inlineStr">
        <is>
          <t>Saved Segment (saved_video_segments)</t>
        </is>
      </c>
      <c r="B312" s="11" t="inlineStr">
        <is>
          <t>user_id</t>
        </is>
      </c>
      <c r="C312" s="11" t="inlineStr">
        <is>
          <t>UUID</t>
        </is>
      </c>
      <c r="D312" s="11" t="inlineStr">
        <is>
          <t>Ref→User (no FK)</t>
        </is>
      </c>
      <c r="E312" s="11" t="inlineStr">
        <is>
          <t>No</t>
        </is>
      </c>
      <c r="F312" s="11" t="inlineStr">
        <is>
          <t>Composite (user_id, segment_id)</t>
        </is>
      </c>
      <c r="G312" s="11" t="inlineStr">
        <is>
          <t>—</t>
        </is>
      </c>
      <c r="H312" s="11" t="inlineStr">
        <is>
          <t>—</t>
        </is>
      </c>
      <c r="I312" s="11" t="inlineStr">
        <is>
          <t>While the account exists; notes, flashcards and decks the learner deletes are removed after 90 days; deleted 30 days after closure (SRS 4.3).</t>
        </is>
      </c>
      <c r="J312" s="11" t="inlineStr">
        <is>
          <t>library-service</t>
        </is>
      </c>
      <c r="K312" s="11" t="inlineStr">
        <is>
          <t>Stored id only; no SQL foreign key (cross-service or polymorphic).</t>
        </is>
      </c>
    </row>
    <row r="313" ht="26.4" customHeight="1" s="31">
      <c r="A313" s="11" t="inlineStr">
        <is>
          <t>Saved Segment (saved_video_segments)</t>
        </is>
      </c>
      <c r="B313" s="11" t="inlineStr">
        <is>
          <t>video_id</t>
        </is>
      </c>
      <c r="C313" s="11" t="inlineStr">
        <is>
          <t>UUID</t>
        </is>
      </c>
      <c r="D313" s="11" t="inlineStr">
        <is>
          <t>FK→Learning Video.id</t>
        </is>
      </c>
      <c r="E313" s="11" t="inlineStr">
        <is>
          <t>No</t>
        </is>
      </c>
      <c r="F313" s="11" t="inlineStr">
        <is>
          <t>No</t>
        </is>
      </c>
      <c r="G313" s="11" t="inlineStr">
        <is>
          <t>—</t>
        </is>
      </c>
      <c r="H313" s="11" t="inlineStr">
        <is>
          <t>—</t>
        </is>
      </c>
      <c r="I313" s="11" t="inlineStr">
        <is>
          <t>While the account exists; notes, flashcards and decks the learner deletes are removed after 90 days; deleted 30 days after closure (SRS 4.3).</t>
        </is>
      </c>
      <c r="J313" s="11" t="inlineStr">
        <is>
          <t>library-service</t>
        </is>
      </c>
      <c r="K313" s="11" t="n"/>
    </row>
    <row r="314" ht="26.4" customHeight="1" s="31">
      <c r="A314" s="11" t="inlineStr">
        <is>
          <t>Saved Segment (saved_video_segments)</t>
        </is>
      </c>
      <c r="B314" s="11" t="inlineStr">
        <is>
          <t>segment_id</t>
        </is>
      </c>
      <c r="C314" s="11" t="inlineStr">
        <is>
          <t>UUID</t>
        </is>
      </c>
      <c r="D314" s="11" t="inlineStr">
        <is>
          <t>FK→Video Segment.id</t>
        </is>
      </c>
      <c r="E314" s="11" t="inlineStr">
        <is>
          <t>No</t>
        </is>
      </c>
      <c r="F314" s="11" t="inlineStr">
        <is>
          <t>Composite (user_id, segment_id)</t>
        </is>
      </c>
      <c r="G314" s="11" t="inlineStr">
        <is>
          <t>—</t>
        </is>
      </c>
      <c r="H314" s="11" t="inlineStr">
        <is>
          <t>—</t>
        </is>
      </c>
      <c r="I314" s="11" t="inlineStr">
        <is>
          <t>While the account exists; notes, flashcards and decks the learner deletes are removed after 90 days; deleted 30 days after closure (SRS 4.3).</t>
        </is>
      </c>
      <c r="J314" s="11" t="inlineStr">
        <is>
          <t>library-service</t>
        </is>
      </c>
      <c r="K314" s="11" t="n"/>
    </row>
    <row r="315" ht="26.4" customHeight="1" s="31">
      <c r="A315" s="11" t="inlineStr">
        <is>
          <t>Saved Segment (saved_video_segments)</t>
        </is>
      </c>
      <c r="B315" s="11" t="inlineStr">
        <is>
          <t>transcript_snapshot</t>
        </is>
      </c>
      <c r="C315" s="11" t="inlineStr">
        <is>
          <t>TEXT</t>
        </is>
      </c>
      <c r="D315" s="11" t="inlineStr">
        <is>
          <t>—</t>
        </is>
      </c>
      <c r="E315" s="11" t="inlineStr">
        <is>
          <t>No</t>
        </is>
      </c>
      <c r="F315" s="11" t="inlineStr">
        <is>
          <t>No</t>
        </is>
      </c>
      <c r="G315" s="11" t="inlineStr">
        <is>
          <t>—</t>
        </is>
      </c>
      <c r="H315" s="11" t="inlineStr">
        <is>
          <t>—</t>
        </is>
      </c>
      <c r="I315" s="11" t="inlineStr">
        <is>
          <t>While the account exists; notes, flashcards and decks the learner deletes are removed after 90 days; deleted 30 days after closure (SRS 4.3).</t>
        </is>
      </c>
      <c r="J315" s="11" t="inlineStr">
        <is>
          <t>library-service</t>
        </is>
      </c>
      <c r="K315" s="11" t="n"/>
    </row>
    <row r="316" ht="26.4" customHeight="1" s="31">
      <c r="A316" s="11" t="inlineStr">
        <is>
          <t>Saved Segment (saved_video_segments)</t>
        </is>
      </c>
      <c r="B316" s="11" t="inlineStr">
        <is>
          <t>note</t>
        </is>
      </c>
      <c r="C316" s="11" t="inlineStr">
        <is>
          <t>TEXT</t>
        </is>
      </c>
      <c r="D316" s="11" t="inlineStr">
        <is>
          <t>—</t>
        </is>
      </c>
      <c r="E316" s="11" t="inlineStr">
        <is>
          <t>Yes</t>
        </is>
      </c>
      <c r="F316" s="11" t="inlineStr">
        <is>
          <t>No</t>
        </is>
      </c>
      <c r="G316" s="11" t="inlineStr">
        <is>
          <t>NULL</t>
        </is>
      </c>
      <c r="H316" s="11" t="inlineStr">
        <is>
          <t>—</t>
        </is>
      </c>
      <c r="I316" s="11" t="inlineStr">
        <is>
          <t>While the account exists; notes, flashcards and decks the learner deletes are removed after 90 days; deleted 30 days after closure (SRS 4.3).</t>
        </is>
      </c>
      <c r="J316" s="11" t="inlineStr">
        <is>
          <t>library-service</t>
        </is>
      </c>
      <c r="K316" s="11" t="n"/>
    </row>
    <row r="317" ht="52.8" customHeight="1" s="31">
      <c r="A317" s="11" t="inlineStr">
        <is>
          <t>Saved Segment (saved_video_segments)</t>
        </is>
      </c>
      <c r="B317" s="11" t="inlineStr">
        <is>
          <t>created_at</t>
        </is>
      </c>
      <c r="C317" s="11" t="inlineStr">
        <is>
          <t>TIMESTAMPTZ</t>
        </is>
      </c>
      <c r="D317" s="11" t="inlineStr">
        <is>
          <t>—</t>
        </is>
      </c>
      <c r="E317" s="11" t="inlineStr">
        <is>
          <t>No</t>
        </is>
      </c>
      <c r="F317" s="11" t="inlineStr">
        <is>
          <t>No</t>
        </is>
      </c>
      <c r="G317" s="11" t="inlineStr">
        <is>
          <t>now()</t>
        </is>
      </c>
      <c r="H317" s="11" t="inlineStr">
        <is>
          <t>—</t>
        </is>
      </c>
      <c r="I317" s="11" t="inlineStr">
        <is>
          <t>While the account exists; notes, flashcards and decks the learner deletes are removed after 90 days; deleted 30 days after closure (SRS 4.3).</t>
        </is>
      </c>
      <c r="J317" s="11" t="inlineStr">
        <is>
          <t>library-service</t>
        </is>
      </c>
      <c r="K317" s="11" t="n"/>
    </row>
    <row r="318" ht="26.4" customHeight="1" s="31">
      <c r="A318" s="13" t="inlineStr">
        <is>
          <t>Note (notes)</t>
        </is>
      </c>
      <c r="B318" s="12" t="inlineStr">
        <is>
          <t>id</t>
        </is>
      </c>
      <c r="C318" s="13" t="inlineStr">
        <is>
          <t>UUID</t>
        </is>
      </c>
      <c r="D318" s="13" t="inlineStr">
        <is>
          <t>PK</t>
        </is>
      </c>
      <c r="E318" s="13" t="inlineStr">
        <is>
          <t>No</t>
        </is>
      </c>
      <c r="F318" s="13" t="inlineStr">
        <is>
          <t>Yes</t>
        </is>
      </c>
      <c r="G318" s="13" t="inlineStr">
        <is>
          <t>—</t>
        </is>
      </c>
      <c r="H318" s="13" t="inlineStr">
        <is>
          <t>—</t>
        </is>
      </c>
      <c r="I318" s="13" t="inlineStr">
        <is>
          <t>While the account exists; notes, flashcards and decks the learner deletes are removed after 90 days; deleted 30 days after closure (SRS 4.3).</t>
        </is>
      </c>
      <c r="J318" s="13" t="inlineStr">
        <is>
          <t>library-service</t>
        </is>
      </c>
      <c r="K318" s="13" t="inlineStr">
        <is>
          <t>Stores a user's personal note with an optional source reference. Table notes; owner library-service; created in V2__create_personal_library.sql.</t>
        </is>
      </c>
    </row>
    <row r="319" ht="26.4" customHeight="1" s="31">
      <c r="A319" s="13" t="inlineStr">
        <is>
          <t>Note (notes)</t>
        </is>
      </c>
      <c r="B319" s="13" t="inlineStr">
        <is>
          <t>user_id</t>
        </is>
      </c>
      <c r="C319" s="13" t="inlineStr">
        <is>
          <t>UUID</t>
        </is>
      </c>
      <c r="D319" s="13" t="inlineStr">
        <is>
          <t>Ref→User (no FK)</t>
        </is>
      </c>
      <c r="E319" s="13" t="inlineStr">
        <is>
          <t>No</t>
        </is>
      </c>
      <c r="F319" s="13" t="inlineStr">
        <is>
          <t>No</t>
        </is>
      </c>
      <c r="G319" s="13" t="inlineStr">
        <is>
          <t>—</t>
        </is>
      </c>
      <c r="H319" s="13" t="inlineStr">
        <is>
          <t>—</t>
        </is>
      </c>
      <c r="I319" s="13" t="inlineStr">
        <is>
          <t>While the account exists; notes, flashcards and decks the learner deletes are removed after 90 days; deleted 30 days after closure (SRS 4.3).</t>
        </is>
      </c>
      <c r="J319" s="13" t="inlineStr">
        <is>
          <t>library-service</t>
        </is>
      </c>
      <c r="K319" s="13" t="inlineStr">
        <is>
          <t>Stored id only; no SQL foreign key (cross-service or polymorphic).</t>
        </is>
      </c>
    </row>
    <row r="320" ht="26.4" customHeight="1" s="31">
      <c r="A320" s="13" t="inlineStr">
        <is>
          <t>Note (notes)</t>
        </is>
      </c>
      <c r="B320" s="13" t="inlineStr">
        <is>
          <t>title</t>
        </is>
      </c>
      <c r="C320" s="13" t="inlineStr">
        <is>
          <t>VARCHAR(255)</t>
        </is>
      </c>
      <c r="D320" s="13" t="inlineStr">
        <is>
          <t>—</t>
        </is>
      </c>
      <c r="E320" s="13" t="inlineStr">
        <is>
          <t>No</t>
        </is>
      </c>
      <c r="F320" s="13" t="inlineStr">
        <is>
          <t>No</t>
        </is>
      </c>
      <c r="G320" s="13" t="inlineStr">
        <is>
          <t>—</t>
        </is>
      </c>
      <c r="H320" s="13" t="inlineStr">
        <is>
          <t>—</t>
        </is>
      </c>
      <c r="I320" s="13" t="inlineStr">
        <is>
          <t>While the account exists; notes, flashcards and decks the learner deletes are removed after 90 days; deleted 30 days after closure (SRS 4.3).</t>
        </is>
      </c>
      <c r="J320" s="13" t="inlineStr">
        <is>
          <t>library-service</t>
        </is>
      </c>
      <c r="K320" s="13" t="n"/>
    </row>
    <row r="321" ht="26.4" customHeight="1" s="31">
      <c r="A321" s="13" t="inlineStr">
        <is>
          <t>Note (notes)</t>
        </is>
      </c>
      <c r="B321" s="13" t="inlineStr">
        <is>
          <t>body</t>
        </is>
      </c>
      <c r="C321" s="13" t="inlineStr">
        <is>
          <t>TEXT</t>
        </is>
      </c>
      <c r="D321" s="13" t="inlineStr">
        <is>
          <t>—</t>
        </is>
      </c>
      <c r="E321" s="13" t="inlineStr">
        <is>
          <t>No</t>
        </is>
      </c>
      <c r="F321" s="13" t="inlineStr">
        <is>
          <t>No</t>
        </is>
      </c>
      <c r="G321" s="13" t="inlineStr">
        <is>
          <t>—</t>
        </is>
      </c>
      <c r="H321" s="13" t="inlineStr">
        <is>
          <t>—</t>
        </is>
      </c>
      <c r="I321" s="13" t="inlineStr">
        <is>
          <t>While the account exists; notes, flashcards and decks the learner deletes are removed after 90 days; deleted 30 days after closure (SRS 4.3).</t>
        </is>
      </c>
      <c r="J321" s="13" t="inlineStr">
        <is>
          <t>library-service</t>
        </is>
      </c>
      <c r="K321" s="13" t="n"/>
    </row>
    <row r="322" ht="26.4" customHeight="1" s="31">
      <c r="A322" s="13" t="inlineStr">
        <is>
          <t>Note (notes)</t>
        </is>
      </c>
      <c r="B322" s="13" t="inlineStr">
        <is>
          <t>status</t>
        </is>
      </c>
      <c r="C322" s="13" t="inlineStr">
        <is>
          <t>VARCHAR(30)</t>
        </is>
      </c>
      <c r="D322" s="13" t="inlineStr">
        <is>
          <t>—</t>
        </is>
      </c>
      <c r="E322" s="13" t="inlineStr">
        <is>
          <t>No</t>
        </is>
      </c>
      <c r="F322" s="13" t="inlineStr">
        <is>
          <t>No</t>
        </is>
      </c>
      <c r="G322" s="13" t="inlineStr">
        <is>
          <t>'ACTIVE'</t>
        </is>
      </c>
      <c r="H322" s="13" t="inlineStr">
        <is>
          <t>CHECK (status IN ('ACTIVE', 'ARCHIVED', 'DELETED'))</t>
        </is>
      </c>
      <c r="I322" s="13" t="inlineStr">
        <is>
          <t>While the account exists; notes, flashcards and decks the learner deletes are removed after 90 days; deleted 30 days after closure (SRS 4.3).</t>
        </is>
      </c>
      <c r="J322" s="13" t="inlineStr">
        <is>
          <t>library-service</t>
        </is>
      </c>
      <c r="K322" s="13" t="n"/>
    </row>
    <row r="323" ht="26.4" customHeight="1" s="31">
      <c r="A323" s="13" t="inlineStr">
        <is>
          <t>Note (notes)</t>
        </is>
      </c>
      <c r="B323" s="13" t="inlineStr">
        <is>
          <t>created_at</t>
        </is>
      </c>
      <c r="C323" s="13" t="inlineStr">
        <is>
          <t>TIMESTAMPTZ</t>
        </is>
      </c>
      <c r="D323" s="13" t="inlineStr">
        <is>
          <t>—</t>
        </is>
      </c>
      <c r="E323" s="13" t="inlineStr">
        <is>
          <t>No</t>
        </is>
      </c>
      <c r="F323" s="13" t="inlineStr">
        <is>
          <t>No</t>
        </is>
      </c>
      <c r="G323" s="13" t="inlineStr">
        <is>
          <t>now()</t>
        </is>
      </c>
      <c r="H323" s="13" t="inlineStr">
        <is>
          <t>—</t>
        </is>
      </c>
      <c r="I323" s="13" t="inlineStr">
        <is>
          <t>While the account exists; notes, flashcards and decks the learner deletes are removed after 90 days; deleted 30 days after closure (SRS 4.3).</t>
        </is>
      </c>
      <c r="J323" s="13" t="inlineStr">
        <is>
          <t>library-service</t>
        </is>
      </c>
      <c r="K323" s="13" t="n"/>
    </row>
    <row r="324" ht="52.8" customHeight="1" s="31">
      <c r="A324" s="13" t="inlineStr">
        <is>
          <t>Note (notes)</t>
        </is>
      </c>
      <c r="B324" s="13" t="inlineStr">
        <is>
          <t>updated_at</t>
        </is>
      </c>
      <c r="C324" s="13" t="inlineStr">
        <is>
          <t>TIMESTAMPTZ</t>
        </is>
      </c>
      <c r="D324" s="13" t="inlineStr">
        <is>
          <t>—</t>
        </is>
      </c>
      <c r="E324" s="13" t="inlineStr">
        <is>
          <t>No</t>
        </is>
      </c>
      <c r="F324" s="13" t="inlineStr">
        <is>
          <t>No</t>
        </is>
      </c>
      <c r="G324" s="13" t="inlineStr">
        <is>
          <t>now()</t>
        </is>
      </c>
      <c r="H324" s="13" t="inlineStr">
        <is>
          <t>—</t>
        </is>
      </c>
      <c r="I324" s="13" t="inlineStr">
        <is>
          <t>While the account exists; notes, flashcards and decks the learner deletes are removed after 90 days; deleted 30 days after closure (SRS 4.3).</t>
        </is>
      </c>
      <c r="J324" s="13" t="inlineStr">
        <is>
          <t>library-service</t>
        </is>
      </c>
      <c r="K324" s="13" t="n"/>
    </row>
    <row r="325" ht="26.4" customHeight="1" s="31">
      <c r="A325" s="13" t="inlineStr">
        <is>
          <t>Note (notes)</t>
        </is>
      </c>
      <c r="B325" s="13" t="inlineStr">
        <is>
          <t>source_type</t>
        </is>
      </c>
      <c r="C325" s="13" t="inlineStr">
        <is>
          <t>VARCHAR(50)</t>
        </is>
      </c>
      <c r="D325" s="13" t="inlineStr">
        <is>
          <t>—</t>
        </is>
      </c>
      <c r="E325" s="13" t="inlineStr">
        <is>
          <t>Yes</t>
        </is>
      </c>
      <c r="F325" s="13" t="inlineStr">
        <is>
          <t>No</t>
        </is>
      </c>
      <c r="G325" s="13" t="inlineStr">
        <is>
          <t>NULL</t>
        </is>
      </c>
      <c r="H325" s="13" t="inlineStr">
        <is>
          <t>CHECK ((source_type IS NULL) = (source_reference_id IS NULL))</t>
        </is>
      </c>
      <c r="I325" s="13" t="inlineStr">
        <is>
          <t>While the account exists; notes, flashcards and decks the learner deletes are removed after 90 days; deleted 30 days after closure (SRS 4.3).</t>
        </is>
      </c>
      <c r="J325" s="13" t="inlineStr">
        <is>
          <t>library-service</t>
        </is>
      </c>
      <c r="K325" s="13" t="n"/>
    </row>
    <row r="326" ht="26.4" customHeight="1" s="31">
      <c r="A326" s="13" t="inlineStr">
        <is>
          <t>Note (notes)</t>
        </is>
      </c>
      <c r="B326" s="13" t="inlineStr">
        <is>
          <t>source_reference_id</t>
        </is>
      </c>
      <c r="C326" s="13" t="inlineStr">
        <is>
          <t>UUID</t>
        </is>
      </c>
      <c r="D326" s="13" t="inlineStr">
        <is>
          <t>—</t>
        </is>
      </c>
      <c r="E326" s="13" t="inlineStr">
        <is>
          <t>Yes</t>
        </is>
      </c>
      <c r="F326" s="13" t="inlineStr">
        <is>
          <t>No</t>
        </is>
      </c>
      <c r="G326" s="13" t="inlineStr">
        <is>
          <t>NULL</t>
        </is>
      </c>
      <c r="H326" s="13" t="inlineStr">
        <is>
          <t>CHECK ((source_type IS NULL) = (source_reference_id IS NULL))</t>
        </is>
      </c>
      <c r="I326" s="13" t="inlineStr">
        <is>
          <t>While the account exists; notes, flashcards and decks the learner deletes are removed after 90 days; deleted 30 days after closure (SRS 4.3).</t>
        </is>
      </c>
      <c r="J326" s="13" t="inlineStr">
        <is>
          <t>library-service</t>
        </is>
      </c>
      <c r="K326" s="13" t="n"/>
    </row>
    <row r="327" ht="26.4" customHeight="1" s="31">
      <c r="A327" s="11" t="inlineStr">
        <is>
          <t>Flashcard Deck (flashcard_decks)</t>
        </is>
      </c>
      <c r="B327" s="10" t="inlineStr">
        <is>
          <t>id</t>
        </is>
      </c>
      <c r="C327" s="11" t="inlineStr">
        <is>
          <t>UUID</t>
        </is>
      </c>
      <c r="D327" s="11" t="inlineStr">
        <is>
          <t>PK</t>
        </is>
      </c>
      <c r="E327" s="11" t="inlineStr">
        <is>
          <t>No</t>
        </is>
      </c>
      <c r="F327" s="11" t="inlineStr">
        <is>
          <t>Yes</t>
        </is>
      </c>
      <c r="G327" s="11" t="inlineStr">
        <is>
          <t>—</t>
        </is>
      </c>
      <c r="H327" s="11" t="inlineStr">
        <is>
          <t>—</t>
        </is>
      </c>
      <c r="I327" s="11" t="inlineStr">
        <is>
          <t>While the account exists; notes, flashcards and decks the learner deletes are removed after 90 days; deleted 30 days after closure (SRS 4.3).</t>
        </is>
      </c>
      <c r="J327" s="11" t="inlineStr">
        <is>
          <t>library-service</t>
        </is>
      </c>
      <c r="K327" s="11" t="inlineStr">
        <is>
          <t>Groups a user's flashcards into a named deck. Table flashcard_decks; owner library-service; created in V2__create_personal_library.sql.</t>
        </is>
      </c>
    </row>
    <row r="328" ht="26.4" customHeight="1" s="31">
      <c r="A328" s="11" t="inlineStr">
        <is>
          <t>Flashcard Deck (flashcard_decks)</t>
        </is>
      </c>
      <c r="B328" s="11" t="inlineStr">
        <is>
          <t>user_id</t>
        </is>
      </c>
      <c r="C328" s="11" t="inlineStr">
        <is>
          <t>UUID</t>
        </is>
      </c>
      <c r="D328" s="11" t="inlineStr">
        <is>
          <t>Ref→User (no FK)</t>
        </is>
      </c>
      <c r="E328" s="11" t="inlineStr">
        <is>
          <t>No</t>
        </is>
      </c>
      <c r="F328" s="11" t="inlineStr">
        <is>
          <t>Partial (user_id, name) WHERE status &lt;&gt; 'DELETED'</t>
        </is>
      </c>
      <c r="G328" s="11" t="inlineStr">
        <is>
          <t>—</t>
        </is>
      </c>
      <c r="H328" s="11" t="inlineStr">
        <is>
          <t>—</t>
        </is>
      </c>
      <c r="I328" s="11" t="inlineStr">
        <is>
          <t>While the account exists; notes, flashcards and decks the learner deletes are removed after 90 days; deleted 30 days after closure (SRS 4.3).</t>
        </is>
      </c>
      <c r="J328" s="11" t="inlineStr">
        <is>
          <t>library-service</t>
        </is>
      </c>
      <c r="K328" s="11" t="inlineStr">
        <is>
          <t>Stored id only; no SQL foreign key (cross-service or polymorphic).</t>
        </is>
      </c>
    </row>
    <row r="329" ht="26.4" customHeight="1" s="31">
      <c r="A329" s="11" t="inlineStr">
        <is>
          <t>Flashcard Deck (flashcard_decks)</t>
        </is>
      </c>
      <c r="B329" s="11" t="inlineStr">
        <is>
          <t>name</t>
        </is>
      </c>
      <c r="C329" s="11" t="inlineStr">
        <is>
          <t>VARCHAR(150)</t>
        </is>
      </c>
      <c r="D329" s="11" t="inlineStr">
        <is>
          <t>—</t>
        </is>
      </c>
      <c r="E329" s="11" t="inlineStr">
        <is>
          <t>No</t>
        </is>
      </c>
      <c r="F329" s="11" t="inlineStr">
        <is>
          <t>Partial (user_id, name) WHERE status &lt;&gt; 'DELETED'</t>
        </is>
      </c>
      <c r="G329" s="11" t="inlineStr">
        <is>
          <t>—</t>
        </is>
      </c>
      <c r="H329" s="11" t="inlineStr">
        <is>
          <t>—</t>
        </is>
      </c>
      <c r="I329" s="11" t="inlineStr">
        <is>
          <t>While the account exists; notes, flashcards and decks the learner deletes are removed after 90 days; deleted 30 days after closure (SRS 4.3).</t>
        </is>
      </c>
      <c r="J329" s="11" t="inlineStr">
        <is>
          <t>library-service</t>
        </is>
      </c>
      <c r="K329" s="11" t="n"/>
    </row>
    <row r="330" ht="26.4" customHeight="1" s="31">
      <c r="A330" s="11" t="inlineStr">
        <is>
          <t>Flashcard Deck (flashcard_decks)</t>
        </is>
      </c>
      <c r="B330" s="11" t="inlineStr">
        <is>
          <t>description</t>
        </is>
      </c>
      <c r="C330" s="11" t="inlineStr">
        <is>
          <t>TEXT</t>
        </is>
      </c>
      <c r="D330" s="11" t="inlineStr">
        <is>
          <t>—</t>
        </is>
      </c>
      <c r="E330" s="11" t="inlineStr">
        <is>
          <t>Yes</t>
        </is>
      </c>
      <c r="F330" s="11" t="inlineStr">
        <is>
          <t>No</t>
        </is>
      </c>
      <c r="G330" s="11" t="inlineStr">
        <is>
          <t>NULL</t>
        </is>
      </c>
      <c r="H330" s="11" t="inlineStr">
        <is>
          <t>—</t>
        </is>
      </c>
      <c r="I330" s="11" t="inlineStr">
        <is>
          <t>While the account exists; notes, flashcards and decks the learner deletes are removed after 90 days; deleted 30 days after closure (SRS 4.3).</t>
        </is>
      </c>
      <c r="J330" s="11" t="inlineStr">
        <is>
          <t>library-service</t>
        </is>
      </c>
      <c r="K330" s="11" t="n"/>
    </row>
    <row r="331" ht="26.4" customHeight="1" s="31">
      <c r="A331" s="11" t="inlineStr">
        <is>
          <t>Flashcard Deck (flashcard_decks)</t>
        </is>
      </c>
      <c r="B331" s="11" t="inlineStr">
        <is>
          <t>status</t>
        </is>
      </c>
      <c r="C331" s="11" t="inlineStr">
        <is>
          <t>VARCHAR(30)</t>
        </is>
      </c>
      <c r="D331" s="11" t="inlineStr">
        <is>
          <t>—</t>
        </is>
      </c>
      <c r="E331" s="11" t="inlineStr">
        <is>
          <t>No</t>
        </is>
      </c>
      <c r="F331" s="11" t="inlineStr">
        <is>
          <t>No</t>
        </is>
      </c>
      <c r="G331" s="11" t="inlineStr">
        <is>
          <t>'ACTIVE'</t>
        </is>
      </c>
      <c r="H331" s="11" t="inlineStr">
        <is>
          <t>CHECK (status IN ('ACTIVE', 'ARCHIVED', 'DELETED'))</t>
        </is>
      </c>
      <c r="I331" s="11" t="inlineStr">
        <is>
          <t>While the account exists; notes, flashcards and decks the learner deletes are removed after 90 days; deleted 30 days after closure (SRS 4.3).</t>
        </is>
      </c>
      <c r="J331" s="11" t="inlineStr">
        <is>
          <t>library-service</t>
        </is>
      </c>
      <c r="K331" s="11" t="n"/>
    </row>
    <row r="332" ht="39.6" customHeight="1" s="31">
      <c r="A332" s="11" t="inlineStr">
        <is>
          <t>Flashcard Deck (flashcard_decks)</t>
        </is>
      </c>
      <c r="B332" s="11" t="inlineStr">
        <is>
          <t>created_at</t>
        </is>
      </c>
      <c r="C332" s="11" t="inlineStr">
        <is>
          <t>TIMESTAMPTZ</t>
        </is>
      </c>
      <c r="D332" s="11" t="inlineStr">
        <is>
          <t>—</t>
        </is>
      </c>
      <c r="E332" s="11" t="inlineStr">
        <is>
          <t>No</t>
        </is>
      </c>
      <c r="F332" s="11" t="inlineStr">
        <is>
          <t>No</t>
        </is>
      </c>
      <c r="G332" s="11" t="inlineStr">
        <is>
          <t>now()</t>
        </is>
      </c>
      <c r="H332" s="11" t="inlineStr">
        <is>
          <t>—</t>
        </is>
      </c>
      <c r="I332" s="11" t="inlineStr">
        <is>
          <t>While the account exists; notes, flashcards and decks the learner deletes are removed after 90 days; deleted 30 days after closure (SRS 4.3).</t>
        </is>
      </c>
      <c r="J332" s="11" t="inlineStr">
        <is>
          <t>library-service</t>
        </is>
      </c>
      <c r="K332" s="11" t="n"/>
    </row>
    <row r="333" ht="26.4" customHeight="1" s="31">
      <c r="A333" s="11" t="inlineStr">
        <is>
          <t>Flashcard Deck (flashcard_decks)</t>
        </is>
      </c>
      <c r="B333" s="11" t="inlineStr">
        <is>
          <t>updated_at</t>
        </is>
      </c>
      <c r="C333" s="11" t="inlineStr">
        <is>
          <t>TIMESTAMPTZ</t>
        </is>
      </c>
      <c r="D333" s="11" t="inlineStr">
        <is>
          <t>—</t>
        </is>
      </c>
      <c r="E333" s="11" t="inlineStr">
        <is>
          <t>No</t>
        </is>
      </c>
      <c r="F333" s="11" t="inlineStr">
        <is>
          <t>No</t>
        </is>
      </c>
      <c r="G333" s="11" t="inlineStr">
        <is>
          <t>now()</t>
        </is>
      </c>
      <c r="H333" s="11" t="inlineStr">
        <is>
          <t>—</t>
        </is>
      </c>
      <c r="I333" s="11" t="inlineStr">
        <is>
          <t>While the account exists; notes, flashcards and decks the learner deletes are removed after 90 days; deleted 30 days after closure (SRS 4.3).</t>
        </is>
      </c>
      <c r="J333" s="11" t="inlineStr">
        <is>
          <t>library-service</t>
        </is>
      </c>
      <c r="K333" s="11" t="n"/>
    </row>
    <row r="334" ht="26.4" customHeight="1" s="31">
      <c r="A334" s="13" t="inlineStr">
        <is>
          <t>Flashcard (flashcards)</t>
        </is>
      </c>
      <c r="B334" s="12" t="inlineStr">
        <is>
          <t>id</t>
        </is>
      </c>
      <c r="C334" s="13" t="inlineStr">
        <is>
          <t>UUID</t>
        </is>
      </c>
      <c r="D334" s="13" t="inlineStr">
        <is>
          <t>PK</t>
        </is>
      </c>
      <c r="E334" s="13" t="inlineStr">
        <is>
          <t>No</t>
        </is>
      </c>
      <c r="F334" s="13" t="inlineStr">
        <is>
          <t>Yes</t>
        </is>
      </c>
      <c r="G334" s="13" t="inlineStr">
        <is>
          <t>—</t>
        </is>
      </c>
      <c r="H334" s="13" t="inlineStr">
        <is>
          <t>—</t>
        </is>
      </c>
      <c r="I334" s="13" t="inlineStr">
        <is>
          <t>While the account exists; notes, flashcards and decks the learner deletes are removed after 90 days; deleted 30 days after closure (SRS 4.3).</t>
        </is>
      </c>
      <c r="J334" s="13" t="inlineStr">
        <is>
          <t>library-service</t>
        </is>
      </c>
      <c r="K334" s="13" t="inlineStr">
        <is>
          <t>Stores a user's study card and optional vocabulary or source reference. Table flashcards; owner library-service; created in V2__create_personal_library.sql.</t>
        </is>
      </c>
    </row>
    <row r="335" ht="26.4" customHeight="1" s="31">
      <c r="A335" s="13" t="inlineStr">
        <is>
          <t>Flashcard (flashcards)</t>
        </is>
      </c>
      <c r="B335" s="13" t="inlineStr">
        <is>
          <t>user_id</t>
        </is>
      </c>
      <c r="C335" s="13" t="inlineStr">
        <is>
          <t>UUID</t>
        </is>
      </c>
      <c r="D335" s="13" t="inlineStr">
        <is>
          <t>Ref→User (no FK)</t>
        </is>
      </c>
      <c r="E335" s="13" t="inlineStr">
        <is>
          <t>No</t>
        </is>
      </c>
      <c r="F335" s="13" t="inlineStr">
        <is>
          <t>Partial (user_id, source_reference_id) WHERE source_type = 'PRACTICE_QUESTION' AND status &lt;&gt; 'DELETED'</t>
        </is>
      </c>
      <c r="G335" s="13" t="inlineStr">
        <is>
          <t>—</t>
        </is>
      </c>
      <c r="H335" s="13" t="inlineStr">
        <is>
          <t>—</t>
        </is>
      </c>
      <c r="I335" s="13" t="inlineStr">
        <is>
          <t>While the account exists; notes, flashcards and decks the learner deletes are removed after 90 days; deleted 30 days after closure (SRS 4.3).</t>
        </is>
      </c>
      <c r="J335" s="13" t="inlineStr">
        <is>
          <t>library-service</t>
        </is>
      </c>
      <c r="K335" s="13" t="inlineStr">
        <is>
          <t>Stored id only; no SQL foreign key (cross-service or polymorphic).</t>
        </is>
      </c>
    </row>
    <row r="336" ht="26.4" customHeight="1" s="31">
      <c r="A336" s="13" t="inlineStr">
        <is>
          <t>Flashcard (flashcards)</t>
        </is>
      </c>
      <c r="B336" s="13" t="inlineStr">
        <is>
          <t>source_type</t>
        </is>
      </c>
      <c r="C336" s="13" t="inlineStr">
        <is>
          <t>VARCHAR(50)</t>
        </is>
      </c>
      <c r="D336" s="13" t="inlineStr">
        <is>
          <t>—</t>
        </is>
      </c>
      <c r="E336" s="13" t="inlineStr">
        <is>
          <t>No</t>
        </is>
      </c>
      <c r="F336" s="13" t="inlineStr">
        <is>
          <t>No</t>
        </is>
      </c>
      <c r="G336" s="13" t="inlineStr">
        <is>
          <t>—</t>
        </is>
      </c>
      <c r="H336" s="13" t="inlineStr">
        <is>
          <t>—</t>
        </is>
      </c>
      <c r="I336" s="13" t="inlineStr">
        <is>
          <t>While the account exists; notes, flashcards and decks the learner deletes are removed after 90 days; deleted 30 days after closure (SRS 4.3).</t>
        </is>
      </c>
      <c r="J336" s="13" t="inlineStr">
        <is>
          <t>library-service</t>
        </is>
      </c>
      <c r="K336" s="13" t="n"/>
    </row>
    <row r="337" ht="26.4" customHeight="1" s="31">
      <c r="A337" s="13" t="inlineStr">
        <is>
          <t>Flashcard (flashcards)</t>
        </is>
      </c>
      <c r="B337" s="13" t="inlineStr">
        <is>
          <t>vocabulary_sense_id</t>
        </is>
      </c>
      <c r="C337" s="13" t="inlineStr">
        <is>
          <t>UUID</t>
        </is>
      </c>
      <c r="D337" s="13" t="inlineStr">
        <is>
          <t>FK→Vocabulary Sense.id</t>
        </is>
      </c>
      <c r="E337" s="13" t="inlineStr">
        <is>
          <t>Yes</t>
        </is>
      </c>
      <c r="F337" s="13" t="inlineStr">
        <is>
          <t>No</t>
        </is>
      </c>
      <c r="G337" s="13" t="inlineStr">
        <is>
          <t>NULL</t>
        </is>
      </c>
      <c r="H337" s="13" t="inlineStr">
        <is>
          <t>—</t>
        </is>
      </c>
      <c r="I337" s="13" t="inlineStr">
        <is>
          <t>While the account exists; notes, flashcards and decks the learner deletes are removed after 90 days; deleted 30 days after closure (SRS 4.3).</t>
        </is>
      </c>
      <c r="J337" s="13" t="inlineStr">
        <is>
          <t>library-service</t>
        </is>
      </c>
      <c r="K337" s="13" t="n"/>
    </row>
    <row r="338" ht="26.4" customHeight="1" s="31">
      <c r="A338" s="13" t="inlineStr">
        <is>
          <t>Flashcard (flashcards)</t>
        </is>
      </c>
      <c r="B338" s="13" t="inlineStr">
        <is>
          <t>source_reference_id</t>
        </is>
      </c>
      <c r="C338" s="13" t="inlineStr">
        <is>
          <t>UUID</t>
        </is>
      </c>
      <c r="D338" s="13" t="inlineStr">
        <is>
          <t>—</t>
        </is>
      </c>
      <c r="E338" s="13" t="inlineStr">
        <is>
          <t>Yes</t>
        </is>
      </c>
      <c r="F338" s="13" t="inlineStr">
        <is>
          <t>Partial (user_id, source_reference_id) WHERE source_type = 'PRACTICE_QUESTION' AND status &lt;&gt; 'DELETED'</t>
        </is>
      </c>
      <c r="G338" s="13" t="inlineStr">
        <is>
          <t>NULL</t>
        </is>
      </c>
      <c r="H338" s="13" t="inlineStr">
        <is>
          <t>—</t>
        </is>
      </c>
      <c r="I338" s="13" t="inlineStr">
        <is>
          <t>While the account exists; notes, flashcards and decks the learner deletes are removed after 90 days; deleted 30 days after closure (SRS 4.3).</t>
        </is>
      </c>
      <c r="J338" s="13" t="inlineStr">
        <is>
          <t>library-service</t>
        </is>
      </c>
      <c r="K338" s="13" t="n"/>
    </row>
    <row r="339" ht="26.4" customHeight="1" s="31">
      <c r="A339" s="13" t="inlineStr">
        <is>
          <t>Flashcard (flashcards)</t>
        </is>
      </c>
      <c r="B339" s="13" t="inlineStr">
        <is>
          <t>highlighted_text</t>
        </is>
      </c>
      <c r="C339" s="13" t="inlineStr">
        <is>
          <t>TEXT</t>
        </is>
      </c>
      <c r="D339" s="13" t="inlineStr">
        <is>
          <t>—</t>
        </is>
      </c>
      <c r="E339" s="13" t="inlineStr">
        <is>
          <t>Yes</t>
        </is>
      </c>
      <c r="F339" s="13" t="inlineStr">
        <is>
          <t>No</t>
        </is>
      </c>
      <c r="G339" s="13" t="inlineStr">
        <is>
          <t>NULL</t>
        </is>
      </c>
      <c r="H339" s="13" t="inlineStr">
        <is>
          <t>—</t>
        </is>
      </c>
      <c r="I339" s="13" t="inlineStr">
        <is>
          <t>While the account exists; notes, flashcards and decks the learner deletes are removed after 90 days; deleted 30 days after closure (SRS 4.3).</t>
        </is>
      </c>
      <c r="J339" s="13" t="inlineStr">
        <is>
          <t>library-service</t>
        </is>
      </c>
      <c r="K339" s="13" t="n"/>
    </row>
    <row r="340" ht="26.4" customHeight="1" s="31">
      <c r="A340" s="13" t="inlineStr">
        <is>
          <t>Flashcard (flashcards)</t>
        </is>
      </c>
      <c r="B340" s="13" t="inlineStr">
        <is>
          <t>front</t>
        </is>
      </c>
      <c r="C340" s="13" t="inlineStr">
        <is>
          <t>TEXT</t>
        </is>
      </c>
      <c r="D340" s="13" t="inlineStr">
        <is>
          <t>—</t>
        </is>
      </c>
      <c r="E340" s="13" t="inlineStr">
        <is>
          <t>No</t>
        </is>
      </c>
      <c r="F340" s="13" t="inlineStr">
        <is>
          <t>No</t>
        </is>
      </c>
      <c r="G340" s="13" t="inlineStr">
        <is>
          <t>—</t>
        </is>
      </c>
      <c r="H340" s="13" t="inlineStr">
        <is>
          <t>—</t>
        </is>
      </c>
      <c r="I340" s="13" t="inlineStr">
        <is>
          <t>While the account exists; notes, flashcards and decks the learner deletes are removed after 90 days; deleted 30 days after closure (SRS 4.3).</t>
        </is>
      </c>
      <c r="J340" s="13" t="inlineStr">
        <is>
          <t>library-service</t>
        </is>
      </c>
      <c r="K340" s="13" t="n"/>
    </row>
    <row r="341" ht="39.6" customHeight="1" s="31">
      <c r="A341" s="13" t="inlineStr">
        <is>
          <t>Flashcard (flashcards)</t>
        </is>
      </c>
      <c r="B341" s="13" t="inlineStr">
        <is>
          <t>back</t>
        </is>
      </c>
      <c r="C341" s="13" t="inlineStr">
        <is>
          <t>TEXT</t>
        </is>
      </c>
      <c r="D341" s="13" t="inlineStr">
        <is>
          <t>—</t>
        </is>
      </c>
      <c r="E341" s="13" t="inlineStr">
        <is>
          <t>No</t>
        </is>
      </c>
      <c r="F341" s="13" t="inlineStr">
        <is>
          <t>No</t>
        </is>
      </c>
      <c r="G341" s="13" t="inlineStr">
        <is>
          <t>—</t>
        </is>
      </c>
      <c r="H341" s="13" t="inlineStr">
        <is>
          <t>—</t>
        </is>
      </c>
      <c r="I341" s="13" t="inlineStr">
        <is>
          <t>While the account exists; notes, flashcards and decks the learner deletes are removed after 90 days; deleted 30 days after closure (SRS 4.3).</t>
        </is>
      </c>
      <c r="J341" s="13" t="inlineStr">
        <is>
          <t>library-service</t>
        </is>
      </c>
      <c r="K341" s="13" t="n"/>
    </row>
    <row r="342" ht="39.6" customHeight="1" s="31">
      <c r="A342" s="13" t="inlineStr">
        <is>
          <t>Flashcard (flashcards)</t>
        </is>
      </c>
      <c r="B342" s="13" t="inlineStr">
        <is>
          <t>status</t>
        </is>
      </c>
      <c r="C342" s="13" t="inlineStr">
        <is>
          <t>VARCHAR(30)</t>
        </is>
      </c>
      <c r="D342" s="13" t="inlineStr">
        <is>
          <t>—</t>
        </is>
      </c>
      <c r="E342" s="13" t="inlineStr">
        <is>
          <t>No</t>
        </is>
      </c>
      <c r="F342" s="13" t="inlineStr">
        <is>
          <t>No</t>
        </is>
      </c>
      <c r="G342" s="13" t="inlineStr">
        <is>
          <t>'ACTIVE'</t>
        </is>
      </c>
      <c r="H342" s="13" t="inlineStr">
        <is>
          <t>CHECK (status IN ('ACTIVE', 'ARCHIVED', 'DELETED'))</t>
        </is>
      </c>
      <c r="I342" s="13" t="inlineStr">
        <is>
          <t>While the account exists; notes, flashcards and decks the learner deletes are removed after 90 days; deleted 30 days after closure (SRS 4.3).</t>
        </is>
      </c>
      <c r="J342" s="13" t="inlineStr">
        <is>
          <t>library-service</t>
        </is>
      </c>
      <c r="K342" s="13" t="n"/>
    </row>
    <row r="343" ht="26.4" customHeight="1" s="31">
      <c r="A343" s="13" t="inlineStr">
        <is>
          <t>Flashcard (flashcards)</t>
        </is>
      </c>
      <c r="B343" s="13" t="inlineStr">
        <is>
          <t>created_at</t>
        </is>
      </c>
      <c r="C343" s="13" t="inlineStr">
        <is>
          <t>TIMESTAMPTZ</t>
        </is>
      </c>
      <c r="D343" s="13" t="inlineStr">
        <is>
          <t>—</t>
        </is>
      </c>
      <c r="E343" s="13" t="inlineStr">
        <is>
          <t>No</t>
        </is>
      </c>
      <c r="F343" s="13" t="inlineStr">
        <is>
          <t>No</t>
        </is>
      </c>
      <c r="G343" s="13" t="inlineStr">
        <is>
          <t>now()</t>
        </is>
      </c>
      <c r="H343" s="13" t="inlineStr">
        <is>
          <t>—</t>
        </is>
      </c>
      <c r="I343" s="13" t="inlineStr">
        <is>
          <t>While the account exists; notes, flashcards and decks the learner deletes are removed after 90 days; deleted 30 days after closure (SRS 4.3).</t>
        </is>
      </c>
      <c r="J343" s="13" t="inlineStr">
        <is>
          <t>library-service</t>
        </is>
      </c>
      <c r="K343" s="13" t="n"/>
    </row>
    <row r="344" ht="39.6" customHeight="1" s="31">
      <c r="A344" s="13" t="inlineStr">
        <is>
          <t>Flashcard (flashcards)</t>
        </is>
      </c>
      <c r="B344" s="13" t="inlineStr">
        <is>
          <t>updated_at</t>
        </is>
      </c>
      <c r="C344" s="13" t="inlineStr">
        <is>
          <t>TIMESTAMPTZ</t>
        </is>
      </c>
      <c r="D344" s="13" t="inlineStr">
        <is>
          <t>—</t>
        </is>
      </c>
      <c r="E344" s="13" t="inlineStr">
        <is>
          <t>No</t>
        </is>
      </c>
      <c r="F344" s="13" t="inlineStr">
        <is>
          <t>No</t>
        </is>
      </c>
      <c r="G344" s="13" t="inlineStr">
        <is>
          <t>now()</t>
        </is>
      </c>
      <c r="H344" s="13" t="inlineStr">
        <is>
          <t>—</t>
        </is>
      </c>
      <c r="I344" s="13" t="inlineStr">
        <is>
          <t>While the account exists; notes, flashcards and decks the learner deletes are removed after 90 days; deleted 30 days after closure (SRS 4.3).</t>
        </is>
      </c>
      <c r="J344" s="13" t="inlineStr">
        <is>
          <t>library-service</t>
        </is>
      </c>
      <c r="K344" s="13" t="n"/>
    </row>
    <row r="345" ht="26.4" customHeight="1" s="31">
      <c r="A345" s="11" t="inlineStr">
        <is>
          <t>Topic Progress (topic_progress)</t>
        </is>
      </c>
      <c r="B345" s="10" t="inlineStr">
        <is>
          <t>user_id</t>
        </is>
      </c>
      <c r="C345" s="11" t="inlineStr">
        <is>
          <t>UUID</t>
        </is>
      </c>
      <c r="D345" s="11" t="inlineStr">
        <is>
          <t>PK (user_id, topic_id), Ref→User (no FK)</t>
        </is>
      </c>
      <c r="E345" s="11" t="inlineStr">
        <is>
          <t>No</t>
        </is>
      </c>
      <c r="F345" s="11" t="inlineStr">
        <is>
          <t>No</t>
        </is>
      </c>
      <c r="G345" s="11" t="inlineStr">
        <is>
          <t>—</t>
        </is>
      </c>
      <c r="H345" s="11" t="inlineStr">
        <is>
          <t>—</t>
        </is>
      </c>
      <c r="I345" s="11" t="inlineStr">
        <is>
          <t>While the account exists; anonymised 30 days after closure (SRS 4.3).</t>
        </is>
      </c>
      <c r="J345" s="11" t="inlineStr">
        <is>
          <t>learning-service</t>
        </is>
      </c>
      <c r="K345" s="11" t="inlineStr">
        <is>
          <t>Records one user's sequence position and completion for a topic. Table topic_progress; owner learning-service; created in V1__learning_schema.sql. Stored id only; no SQL foreign key (cross-service or polymorphic).</t>
        </is>
      </c>
    </row>
    <row r="346" ht="26.4" customHeight="1" s="31">
      <c r="A346" s="11" t="inlineStr">
        <is>
          <t>Topic Progress (topic_progress)</t>
        </is>
      </c>
      <c r="B346" s="10" t="inlineStr">
        <is>
          <t>topic_id</t>
        </is>
      </c>
      <c r="C346" s="11" t="inlineStr">
        <is>
          <t>UUID</t>
        </is>
      </c>
      <c r="D346" s="11" t="inlineStr">
        <is>
          <t>PK (user_id, topic_id), Ref→Topic (no FK)</t>
        </is>
      </c>
      <c r="E346" s="11" t="inlineStr">
        <is>
          <t>No</t>
        </is>
      </c>
      <c r="F346" s="11" t="inlineStr">
        <is>
          <t>No</t>
        </is>
      </c>
      <c r="G346" s="11" t="inlineStr">
        <is>
          <t>—</t>
        </is>
      </c>
      <c r="H346" s="11" t="inlineStr">
        <is>
          <t>—</t>
        </is>
      </c>
      <c r="I346" s="11" t="inlineStr">
        <is>
          <t>While the account exists; anonymised 30 days after closure (SRS 4.3).</t>
        </is>
      </c>
      <c r="J346" s="11" t="inlineStr">
        <is>
          <t>learning-service</t>
        </is>
      </c>
      <c r="K346" s="11" t="inlineStr">
        <is>
          <t>Stored id only; no SQL foreign key (cross-service or polymorphic).</t>
        </is>
      </c>
    </row>
    <row r="347" ht="26.4" customHeight="1" s="31">
      <c r="A347" s="11" t="inlineStr">
        <is>
          <t>Topic Progress (topic_progress)</t>
        </is>
      </c>
      <c r="B347" s="11" t="inlineStr">
        <is>
          <t>sequence_order</t>
        </is>
      </c>
      <c r="C347" s="11" t="inlineStr">
        <is>
          <t>INTEGER</t>
        </is>
      </c>
      <c r="D347" s="11" t="inlineStr">
        <is>
          <t>—</t>
        </is>
      </c>
      <c r="E347" s="11" t="inlineStr">
        <is>
          <t>Yes</t>
        </is>
      </c>
      <c r="F347" s="11" t="inlineStr">
        <is>
          <t>No</t>
        </is>
      </c>
      <c r="G347" s="11" t="inlineStr">
        <is>
          <t>NULL</t>
        </is>
      </c>
      <c r="H347" s="11" t="inlineStr">
        <is>
          <t>—</t>
        </is>
      </c>
      <c r="I347" s="11" t="inlineStr">
        <is>
          <t>While the account exists; anonymised 30 days after closure (SRS 4.3).</t>
        </is>
      </c>
      <c r="J347" s="11" t="inlineStr">
        <is>
          <t>learning-service</t>
        </is>
      </c>
      <c r="K347" s="11" t="n"/>
    </row>
    <row r="348" ht="26.4" customHeight="1" s="31">
      <c r="A348" s="11" t="inlineStr">
        <is>
          <t>Topic Progress (topic_progress)</t>
        </is>
      </c>
      <c r="B348" s="11" t="inlineStr">
        <is>
          <t>passed_at</t>
        </is>
      </c>
      <c r="C348" s="11" t="inlineStr">
        <is>
          <t>TIMESTAMPTZ</t>
        </is>
      </c>
      <c r="D348" s="11" t="inlineStr">
        <is>
          <t>—</t>
        </is>
      </c>
      <c r="E348" s="11" t="inlineStr">
        <is>
          <t>Yes</t>
        </is>
      </c>
      <c r="F348" s="11" t="inlineStr">
        <is>
          <t>No</t>
        </is>
      </c>
      <c r="G348" s="11" t="inlineStr">
        <is>
          <t>NULL</t>
        </is>
      </c>
      <c r="H348" s="11" t="inlineStr">
        <is>
          <t>—</t>
        </is>
      </c>
      <c r="I348" s="11" t="inlineStr">
        <is>
          <t>While the account exists; anonymised 30 days after closure (SRS 4.3).</t>
        </is>
      </c>
      <c r="J348" s="11" t="inlineStr">
        <is>
          <t>learning-service</t>
        </is>
      </c>
      <c r="K348" s="11" t="n"/>
    </row>
    <row r="349" ht="26.4" customHeight="1" s="31">
      <c r="A349" s="11" t="inlineStr">
        <is>
          <t>Topic Progress (topic_progress)</t>
        </is>
      </c>
      <c r="B349" s="11" t="inlineStr">
        <is>
          <t>updated_at</t>
        </is>
      </c>
      <c r="C349" s="11" t="inlineStr">
        <is>
          <t>TIMESTAMPTZ</t>
        </is>
      </c>
      <c r="D349" s="11" t="inlineStr">
        <is>
          <t>—</t>
        </is>
      </c>
      <c r="E349" s="11" t="inlineStr">
        <is>
          <t>No</t>
        </is>
      </c>
      <c r="F349" s="11" t="inlineStr">
        <is>
          <t>No</t>
        </is>
      </c>
      <c r="G349" s="11" t="inlineStr">
        <is>
          <t>CURRENT_TIMESTAMP</t>
        </is>
      </c>
      <c r="H349" s="11" t="inlineStr">
        <is>
          <t>—</t>
        </is>
      </c>
      <c r="I349" s="11" t="inlineStr">
        <is>
          <t>While the account exists; anonymised 30 days after closure (SRS 4.3).</t>
        </is>
      </c>
      <c r="J349" s="11" t="inlineStr">
        <is>
          <t>learning-service</t>
        </is>
      </c>
      <c r="K349" s="11" t="n"/>
    </row>
    <row r="350" ht="26.4" customHeight="1" s="31">
      <c r="A350" s="11" t="inlineStr">
        <is>
          <t>Topic Progress (topic_progress)</t>
        </is>
      </c>
      <c r="B350" s="11" t="inlineStr">
        <is>
          <t>skill</t>
        </is>
      </c>
      <c r="C350" s="11" t="inlineStr">
        <is>
          <t>VARCHAR(20)</t>
        </is>
      </c>
      <c r="D350" s="11" t="inlineStr">
        <is>
          <t>—</t>
        </is>
      </c>
      <c r="E350" s="11" t="inlineStr">
        <is>
          <t>Yes</t>
        </is>
      </c>
      <c r="F350" s="11" t="inlineStr">
        <is>
          <t>No</t>
        </is>
      </c>
      <c r="G350" s="11" t="inlineStr">
        <is>
          <t>NULL</t>
        </is>
      </c>
      <c r="H350" s="11" t="inlineStr">
        <is>
          <t>—</t>
        </is>
      </c>
      <c r="I350" s="11" t="inlineStr">
        <is>
          <t>While the account exists; anonymised 30 days after closure (SRS 4.3).</t>
        </is>
      </c>
      <c r="J350" s="11" t="inlineStr">
        <is>
          <t>learning-service</t>
        </is>
      </c>
      <c r="K350" s="11" t="n"/>
    </row>
    <row r="351" ht="52.8" customHeight="1" s="31">
      <c r="A351" s="11" t="inlineStr">
        <is>
          <t>Topic Progress (topic_progress)</t>
        </is>
      </c>
      <c r="B351" s="11" t="inlineStr">
        <is>
          <t>has_topic_test</t>
        </is>
      </c>
      <c r="C351" s="11" t="inlineStr">
        <is>
          <t>BOOLEAN</t>
        </is>
      </c>
      <c r="D351" s="11" t="inlineStr">
        <is>
          <t>—</t>
        </is>
      </c>
      <c r="E351" s="11" t="inlineStr">
        <is>
          <t>No</t>
        </is>
      </c>
      <c r="F351" s="11" t="inlineStr">
        <is>
          <t>No</t>
        </is>
      </c>
      <c r="G351" s="11" t="inlineStr">
        <is>
          <t>TRUE</t>
        </is>
      </c>
      <c r="H351" s="11" t="inlineStr">
        <is>
          <t>—</t>
        </is>
      </c>
      <c r="I351" s="11" t="inlineStr">
        <is>
          <t>While the account exists; anonymised 30 days after closure (SRS 4.3).</t>
        </is>
      </c>
      <c r="J351" s="11" t="inlineStr">
        <is>
          <t>learning-service</t>
        </is>
      </c>
      <c r="K351" s="11" t="n"/>
    </row>
    <row r="352" ht="26.4" customHeight="1" s="31">
      <c r="A352" s="11" t="inlineStr">
        <is>
          <t>Topic Progress (topic_progress)</t>
        </is>
      </c>
      <c r="B352" s="11" t="inlineStr">
        <is>
          <t>course_id</t>
        </is>
      </c>
      <c r="C352" s="11" t="inlineStr">
        <is>
          <t>UUID</t>
        </is>
      </c>
      <c r="D352" s="11" t="inlineStr">
        <is>
          <t>Ref→Course (no FK)</t>
        </is>
      </c>
      <c r="E352" s="11" t="inlineStr">
        <is>
          <t>Yes</t>
        </is>
      </c>
      <c r="F352" s="11" t="inlineStr">
        <is>
          <t>No</t>
        </is>
      </c>
      <c r="G352" s="11" t="inlineStr">
        <is>
          <t>NULL</t>
        </is>
      </c>
      <c r="H352" s="11" t="inlineStr">
        <is>
          <t>—</t>
        </is>
      </c>
      <c r="I352" s="11" t="inlineStr">
        <is>
          <t>While the account exists; anonymised 30 days after closure (SRS 4.3).</t>
        </is>
      </c>
      <c r="J352" s="11" t="inlineStr">
        <is>
          <t>learning-service</t>
        </is>
      </c>
      <c r="K352" s="11" t="inlineStr">
        <is>
          <t>Stored id only; no SQL foreign key (cross-service or polymorphic). Added in V7__course_progress.sql.</t>
        </is>
      </c>
    </row>
    <row r="353" ht="39.6" customHeight="1" s="31">
      <c r="A353" s="11" t="inlineStr">
        <is>
          <t>Topic Progress (topic_progress)</t>
        </is>
      </c>
      <c r="B353" s="11" t="inlineStr">
        <is>
          <t>skills</t>
        </is>
      </c>
      <c r="C353" s="11" t="inlineStr">
        <is>
          <t>VARCHAR(20)[]</t>
        </is>
      </c>
      <c r="D353" s="11" t="inlineStr">
        <is>
          <t>—</t>
        </is>
      </c>
      <c r="E353" s="11" t="inlineStr">
        <is>
          <t>No</t>
        </is>
      </c>
      <c r="F353" s="11" t="inlineStr">
        <is>
          <t>No</t>
        </is>
      </c>
      <c r="G353" s="11" t="inlineStr">
        <is>
          <t>'{}'</t>
        </is>
      </c>
      <c r="H353" s="11" t="inlineStr">
        <is>
          <t>—</t>
        </is>
      </c>
      <c r="I353" s="11" t="inlineStr">
        <is>
          <t>While the account exists; anonymised 30 days after closure (SRS 4.3).</t>
        </is>
      </c>
      <c r="J353" s="11" t="inlineStr">
        <is>
          <t>learning-service</t>
        </is>
      </c>
      <c r="K353" s="11" t="inlineStr">
        <is>
          <t>Skills the topic teaches; added in V8__topic_skills.sql.</t>
        </is>
      </c>
    </row>
    <row r="354" ht="26.4" customHeight="1" s="31">
      <c r="A354" s="13" t="inlineStr">
        <is>
          <t>Lesson Progress (lesson_progress)</t>
        </is>
      </c>
      <c r="B354" s="12" t="inlineStr">
        <is>
          <t>user_id</t>
        </is>
      </c>
      <c r="C354" s="13" t="inlineStr">
        <is>
          <t>UUID</t>
        </is>
      </c>
      <c r="D354" s="13" t="inlineStr">
        <is>
          <t>PK (user_id, lesson_id), Ref→User (no FK)</t>
        </is>
      </c>
      <c r="E354" s="13" t="inlineStr">
        <is>
          <t>No</t>
        </is>
      </c>
      <c r="F354" s="13" t="inlineStr">
        <is>
          <t>No</t>
        </is>
      </c>
      <c r="G354" s="13" t="inlineStr">
        <is>
          <t>—</t>
        </is>
      </c>
      <c r="H354" s="13" t="inlineStr">
        <is>
          <t>—</t>
        </is>
      </c>
      <c r="I354" s="13" t="inlineStr">
        <is>
          <t>While the account exists; anonymised 30 days after closure (SRS 4.3).</t>
        </is>
      </c>
      <c r="J354" s="13" t="inlineStr">
        <is>
          <t>learning-service</t>
        </is>
      </c>
      <c r="K354" s="13" t="inlineStr">
        <is>
          <t>Records one user's passed blocks and completion for a lesson. Table lesson_progress; owner learning-service; created in V1__learning_schema.sql. Stored id only; no SQL foreign key (cross-service or polymorphic).</t>
        </is>
      </c>
    </row>
    <row r="355" ht="26.4" customHeight="1" s="31">
      <c r="A355" s="13" t="inlineStr">
        <is>
          <t>Lesson Progress (lesson_progress)</t>
        </is>
      </c>
      <c r="B355" s="12" t="inlineStr">
        <is>
          <t>lesson_id</t>
        </is>
      </c>
      <c r="C355" s="13" t="inlineStr">
        <is>
          <t>UUID</t>
        </is>
      </c>
      <c r="D355" s="13" t="inlineStr">
        <is>
          <t>PK (user_id, lesson_id), Ref→Lesson (no FK)</t>
        </is>
      </c>
      <c r="E355" s="13" t="inlineStr">
        <is>
          <t>No</t>
        </is>
      </c>
      <c r="F355" s="13" t="inlineStr">
        <is>
          <t>No</t>
        </is>
      </c>
      <c r="G355" s="13" t="inlineStr">
        <is>
          <t>—</t>
        </is>
      </c>
      <c r="H355" s="13" t="inlineStr">
        <is>
          <t>—</t>
        </is>
      </c>
      <c r="I355" s="13" t="inlineStr">
        <is>
          <t>While the account exists; anonymised 30 days after closure (SRS 4.3).</t>
        </is>
      </c>
      <c r="J355" s="13" t="inlineStr">
        <is>
          <t>learning-service</t>
        </is>
      </c>
      <c r="K355" s="13" t="inlineStr">
        <is>
          <t>Stored id only; no SQL foreign key (cross-service or polymorphic).</t>
        </is>
      </c>
    </row>
    <row r="356" ht="52.8" customHeight="1" s="31">
      <c r="A356" s="13" t="inlineStr">
        <is>
          <t>Lesson Progress (lesson_progress)</t>
        </is>
      </c>
      <c r="B356" s="13" t="inlineStr">
        <is>
          <t>topic_id</t>
        </is>
      </c>
      <c r="C356" s="13" t="inlineStr">
        <is>
          <t>UUID</t>
        </is>
      </c>
      <c r="D356" s="13" t="inlineStr">
        <is>
          <t>Ref→Topic (no FK)</t>
        </is>
      </c>
      <c r="E356" s="13" t="inlineStr">
        <is>
          <t>No</t>
        </is>
      </c>
      <c r="F356" s="13" t="inlineStr">
        <is>
          <t>No</t>
        </is>
      </c>
      <c r="G356" s="13" t="inlineStr">
        <is>
          <t>—</t>
        </is>
      </c>
      <c r="H356" s="13" t="inlineStr">
        <is>
          <t>—</t>
        </is>
      </c>
      <c r="I356" s="13" t="inlineStr">
        <is>
          <t>While the account exists; anonymised 30 days after closure (SRS 4.3).</t>
        </is>
      </c>
      <c r="J356" s="13" t="inlineStr">
        <is>
          <t>learning-service</t>
        </is>
      </c>
      <c r="K356" s="13" t="inlineStr">
        <is>
          <t>Stored id only; no SQL foreign key (cross-service or polymorphic).</t>
        </is>
      </c>
    </row>
    <row r="357" ht="26.4" customHeight="1" s="31">
      <c r="A357" s="13" t="inlineStr">
        <is>
          <t>Lesson Progress (lesson_progress)</t>
        </is>
      </c>
      <c r="B357" s="13" t="inlineStr">
        <is>
          <t>lesson_sort_order</t>
        </is>
      </c>
      <c r="C357" s="13" t="inlineStr">
        <is>
          <t>INTEGER</t>
        </is>
      </c>
      <c r="D357" s="13" t="inlineStr">
        <is>
          <t>—</t>
        </is>
      </c>
      <c r="E357" s="13" t="inlineStr">
        <is>
          <t>No</t>
        </is>
      </c>
      <c r="F357" s="13" t="inlineStr">
        <is>
          <t>No</t>
        </is>
      </c>
      <c r="G357" s="13" t="inlineStr">
        <is>
          <t>—</t>
        </is>
      </c>
      <c r="H357" s="13" t="inlineStr">
        <is>
          <t>—</t>
        </is>
      </c>
      <c r="I357" s="13" t="inlineStr">
        <is>
          <t>While the account exists; anonymised 30 days after closure (SRS 4.3).</t>
        </is>
      </c>
      <c r="J357" s="13" t="inlineStr">
        <is>
          <t>learning-service</t>
        </is>
      </c>
      <c r="K357" s="13" t="n"/>
    </row>
    <row r="358" ht="26.4" customHeight="1" s="31">
      <c r="A358" s="13" t="inlineStr">
        <is>
          <t>Lesson Progress (lesson_progress)</t>
        </is>
      </c>
      <c r="B358" s="13" t="inlineStr">
        <is>
          <t>knowledge_point_ids</t>
        </is>
      </c>
      <c r="C358" s="13" t="inlineStr">
        <is>
          <t>UUID[]</t>
        </is>
      </c>
      <c r="D358" s="13" t="inlineStr">
        <is>
          <t>—</t>
        </is>
      </c>
      <c r="E358" s="13" t="inlineStr">
        <is>
          <t>No</t>
        </is>
      </c>
      <c r="F358" s="13" t="inlineStr">
        <is>
          <t>No</t>
        </is>
      </c>
      <c r="G358" s="13" t="inlineStr">
        <is>
          <t>'{}'</t>
        </is>
      </c>
      <c r="H358" s="13" t="inlineStr">
        <is>
          <t>—</t>
        </is>
      </c>
      <c r="I358" s="13" t="inlineStr">
        <is>
          <t>While the account exists; anonymised 30 days after closure (SRS 4.3).</t>
        </is>
      </c>
      <c r="J358" s="13" t="inlineStr">
        <is>
          <t>learning-service</t>
        </is>
      </c>
      <c r="K358" s="13" t="n"/>
    </row>
    <row r="359" ht="26.4" customHeight="1" s="31">
      <c r="A359" s="13" t="inlineStr">
        <is>
          <t>Lesson Progress (lesson_progress)</t>
        </is>
      </c>
      <c r="B359" s="13" t="inlineStr">
        <is>
          <t>passed_block_ids</t>
        </is>
      </c>
      <c r="C359" s="13" t="inlineStr">
        <is>
          <t>TEXT[]</t>
        </is>
      </c>
      <c r="D359" s="13" t="inlineStr">
        <is>
          <t>—</t>
        </is>
      </c>
      <c r="E359" s="13" t="inlineStr">
        <is>
          <t>No</t>
        </is>
      </c>
      <c r="F359" s="13" t="inlineStr">
        <is>
          <t>No</t>
        </is>
      </c>
      <c r="G359" s="13" t="inlineStr">
        <is>
          <t>'{}'</t>
        </is>
      </c>
      <c r="H359" s="13" t="inlineStr">
        <is>
          <t>—</t>
        </is>
      </c>
      <c r="I359" s="13" t="inlineStr">
        <is>
          <t>While the account exists; anonymised 30 days after closure (SRS 4.3).</t>
        </is>
      </c>
      <c r="J359" s="13" t="inlineStr">
        <is>
          <t>learning-service</t>
        </is>
      </c>
      <c r="K359" s="13" t="n"/>
    </row>
    <row r="360" ht="26.4" customHeight="1" s="31">
      <c r="A360" s="13" t="inlineStr">
        <is>
          <t>Lesson Progress (lesson_progress)</t>
        </is>
      </c>
      <c r="B360" s="13" t="inlineStr">
        <is>
          <t>completed_at</t>
        </is>
      </c>
      <c r="C360" s="13" t="inlineStr">
        <is>
          <t>TIMESTAMPTZ</t>
        </is>
      </c>
      <c r="D360" s="13" t="inlineStr">
        <is>
          <t>—</t>
        </is>
      </c>
      <c r="E360" s="13" t="inlineStr">
        <is>
          <t>Yes</t>
        </is>
      </c>
      <c r="F360" s="13" t="inlineStr">
        <is>
          <t>No</t>
        </is>
      </c>
      <c r="G360" s="13" t="inlineStr">
        <is>
          <t>NULL</t>
        </is>
      </c>
      <c r="H360" s="13" t="inlineStr">
        <is>
          <t>—</t>
        </is>
      </c>
      <c r="I360" s="13" t="inlineStr">
        <is>
          <t>While the account exists; anonymised 30 days after closure (SRS 4.3).</t>
        </is>
      </c>
      <c r="J360" s="13" t="inlineStr">
        <is>
          <t>learning-service</t>
        </is>
      </c>
      <c r="K360" s="13" t="n"/>
    </row>
    <row r="361" ht="39.6" customHeight="1" s="31">
      <c r="A361" s="13" t="inlineStr">
        <is>
          <t>Lesson Progress (lesson_progress)</t>
        </is>
      </c>
      <c r="B361" s="13" t="inlineStr">
        <is>
          <t>updated_at</t>
        </is>
      </c>
      <c r="C361" s="13" t="inlineStr">
        <is>
          <t>TIMESTAMPTZ</t>
        </is>
      </c>
      <c r="D361" s="13" t="inlineStr">
        <is>
          <t>—</t>
        </is>
      </c>
      <c r="E361" s="13" t="inlineStr">
        <is>
          <t>No</t>
        </is>
      </c>
      <c r="F361" s="13" t="inlineStr">
        <is>
          <t>No</t>
        </is>
      </c>
      <c r="G361" s="13" t="inlineStr">
        <is>
          <t>CURRENT_TIMESTAMP</t>
        </is>
      </c>
      <c r="H361" s="13" t="inlineStr">
        <is>
          <t>—</t>
        </is>
      </c>
      <c r="I361" s="13" t="inlineStr">
        <is>
          <t>While the account exists; anonymised 30 days after closure (SRS 4.3).</t>
        </is>
      </c>
      <c r="J361" s="13" t="inlineStr">
        <is>
          <t>learning-service</t>
        </is>
      </c>
      <c r="K361" s="13" t="n"/>
    </row>
    <row r="362" ht="39.6" customHeight="1" s="31">
      <c r="A362" s="11" t="inlineStr">
        <is>
          <t>Exercise Submission (lesson_exercise_submissions)</t>
        </is>
      </c>
      <c r="B362" s="10" t="inlineStr">
        <is>
          <t>id</t>
        </is>
      </c>
      <c r="C362" s="11" t="inlineStr">
        <is>
          <t>UUID</t>
        </is>
      </c>
      <c r="D362" s="11" t="inlineStr">
        <is>
          <t>PK</t>
        </is>
      </c>
      <c r="E362" s="11" t="inlineStr">
        <is>
          <t>No</t>
        </is>
      </c>
      <c r="F362" s="11" t="inlineStr">
        <is>
          <t>Yes</t>
        </is>
      </c>
      <c r="G362" s="11" t="inlineStr">
        <is>
          <t>—</t>
        </is>
      </c>
      <c r="H362" s="11" t="inlineStr">
        <is>
          <t>—</t>
        </is>
      </c>
      <c r="I362" s="11" t="inlineStr">
        <is>
          <t>While the account exists; anonymised 30 days after closure (SRS 4.3).</t>
        </is>
      </c>
      <c r="J362" s="11" t="inlineStr">
        <is>
          <t>learning-service</t>
        </is>
      </c>
      <c r="K362" s="11" t="inlineStr">
        <is>
          <t>Records a user's answers and result for a lesson block submission. Table lesson_exercise_submissions; owner learning-service; created in V1__learning_schema.sql.</t>
        </is>
      </c>
    </row>
    <row r="363" ht="26.4" customHeight="1" s="31">
      <c r="A363" s="11" t="inlineStr">
        <is>
          <t>Exercise Submission (lesson_exercise_submissions)</t>
        </is>
      </c>
      <c r="B363" s="11" t="inlineStr">
        <is>
          <t>user_id</t>
        </is>
      </c>
      <c r="C363" s="11" t="inlineStr">
        <is>
          <t>UUID</t>
        </is>
      </c>
      <c r="D363" s="11" t="inlineStr">
        <is>
          <t>Ref→User (no FK)</t>
        </is>
      </c>
      <c r="E363" s="11" t="inlineStr">
        <is>
          <t>No</t>
        </is>
      </c>
      <c r="F363" s="11" t="inlineStr">
        <is>
          <t>No</t>
        </is>
      </c>
      <c r="G363" s="11" t="inlineStr">
        <is>
          <t>—</t>
        </is>
      </c>
      <c r="H363" s="11" t="inlineStr">
        <is>
          <t>—</t>
        </is>
      </c>
      <c r="I363" s="11" t="inlineStr">
        <is>
          <t>While the account exists; anonymised 30 days after closure (SRS 4.3).</t>
        </is>
      </c>
      <c r="J363" s="11" t="inlineStr">
        <is>
          <t>learning-service</t>
        </is>
      </c>
      <c r="K363" s="11" t="inlineStr">
        <is>
          <t>Stored id only; no SQL foreign key (cross-service or polymorphic).</t>
        </is>
      </c>
    </row>
    <row r="364" ht="26.4" customHeight="1" s="31">
      <c r="A364" s="11" t="inlineStr">
        <is>
          <t>Exercise Submission (lesson_exercise_submissions)</t>
        </is>
      </c>
      <c r="B364" s="11" t="inlineStr">
        <is>
          <t>lesson_id</t>
        </is>
      </c>
      <c r="C364" s="11" t="inlineStr">
        <is>
          <t>UUID</t>
        </is>
      </c>
      <c r="D364" s="11" t="inlineStr">
        <is>
          <t>Ref→Lesson (no FK)</t>
        </is>
      </c>
      <c r="E364" s="11" t="inlineStr">
        <is>
          <t>No</t>
        </is>
      </c>
      <c r="F364" s="11" t="inlineStr">
        <is>
          <t>No</t>
        </is>
      </c>
      <c r="G364" s="11" t="inlineStr">
        <is>
          <t>—</t>
        </is>
      </c>
      <c r="H364" s="11" t="inlineStr">
        <is>
          <t>—</t>
        </is>
      </c>
      <c r="I364" s="11" t="inlineStr">
        <is>
          <t>While the account exists; anonymised 30 days after closure (SRS 4.3).</t>
        </is>
      </c>
      <c r="J364" s="11" t="inlineStr">
        <is>
          <t>learning-service</t>
        </is>
      </c>
      <c r="K364" s="11" t="inlineStr">
        <is>
          <t>Stored id only; no SQL foreign key (cross-service or polymorphic).</t>
        </is>
      </c>
    </row>
    <row r="365" ht="39.6" customHeight="1" s="31">
      <c r="A365" s="11" t="inlineStr">
        <is>
          <t>Exercise Submission (lesson_exercise_submissions)</t>
        </is>
      </c>
      <c r="B365" s="11" t="inlineStr">
        <is>
          <t>block_id</t>
        </is>
      </c>
      <c r="C365" s="11" t="inlineStr">
        <is>
          <t>UUID</t>
        </is>
      </c>
      <c r="D365" s="11" t="inlineStr">
        <is>
          <t>Ref→Lesson Block (no FK)</t>
        </is>
      </c>
      <c r="E365" s="11" t="inlineStr">
        <is>
          <t>No</t>
        </is>
      </c>
      <c r="F365" s="11" t="inlineStr">
        <is>
          <t>No</t>
        </is>
      </c>
      <c r="G365" s="11" t="inlineStr">
        <is>
          <t>—</t>
        </is>
      </c>
      <c r="H365" s="11" t="inlineStr">
        <is>
          <t>—</t>
        </is>
      </c>
      <c r="I365" s="11" t="inlineStr">
        <is>
          <t>While the account exists; anonymised 30 days after closure (SRS 4.3).</t>
        </is>
      </c>
      <c r="J365" s="11" t="inlineStr">
        <is>
          <t>learning-service</t>
        </is>
      </c>
      <c r="K365" s="11" t="inlineStr">
        <is>
          <t>Stored id only; no SQL foreign key (cross-service or polymorphic).</t>
        </is>
      </c>
    </row>
    <row r="366" ht="26.4" customHeight="1" s="31">
      <c r="A366" s="11" t="inlineStr">
        <is>
          <t>Exercise Submission (lesson_exercise_submissions)</t>
        </is>
      </c>
      <c r="B366" s="11" t="inlineStr">
        <is>
          <t>request_id</t>
        </is>
      </c>
      <c r="C366" s="11" t="inlineStr">
        <is>
          <t>UUID</t>
        </is>
      </c>
      <c r="D366" s="11" t="inlineStr">
        <is>
          <t>—</t>
        </is>
      </c>
      <c r="E366" s="11" t="inlineStr">
        <is>
          <t>No</t>
        </is>
      </c>
      <c r="F366" s="11" t="inlineStr">
        <is>
          <t>Yes</t>
        </is>
      </c>
      <c r="G366" s="11" t="inlineStr">
        <is>
          <t>—</t>
        </is>
      </c>
      <c r="H366" s="11" t="inlineStr">
        <is>
          <t>—</t>
        </is>
      </c>
      <c r="I366" s="11" t="inlineStr">
        <is>
          <t>While the account exists; anonymised 30 days after closure (SRS 4.3).</t>
        </is>
      </c>
      <c r="J366" s="11" t="inlineStr">
        <is>
          <t>learning-service</t>
        </is>
      </c>
      <c r="K366" s="11" t="n"/>
    </row>
    <row r="367" ht="26.4" customHeight="1" s="31">
      <c r="A367" s="11" t="inlineStr">
        <is>
          <t>Exercise Submission (lesson_exercise_submissions)</t>
        </is>
      </c>
      <c r="B367" s="11" t="inlineStr">
        <is>
          <t>answers</t>
        </is>
      </c>
      <c r="C367" s="11" t="inlineStr">
        <is>
          <t>JSONB</t>
        </is>
      </c>
      <c r="D367" s="11" t="inlineStr">
        <is>
          <t>—</t>
        </is>
      </c>
      <c r="E367" s="11" t="inlineStr">
        <is>
          <t>No</t>
        </is>
      </c>
      <c r="F367" s="11" t="inlineStr">
        <is>
          <t>No</t>
        </is>
      </c>
      <c r="G367" s="11" t="inlineStr">
        <is>
          <t>—</t>
        </is>
      </c>
      <c r="H367" s="11" t="inlineStr">
        <is>
          <t>—</t>
        </is>
      </c>
      <c r="I367" s="11" t="inlineStr">
        <is>
          <t>While the account exists; anonymised 30 days after closure (SRS 4.3).</t>
        </is>
      </c>
      <c r="J367" s="11" t="inlineStr">
        <is>
          <t>learning-service</t>
        </is>
      </c>
      <c r="K367" s="11" t="n"/>
    </row>
    <row r="368" ht="26.4" customHeight="1" s="31">
      <c r="A368" s="11" t="inlineStr">
        <is>
          <t>Exercise Submission (lesson_exercise_submissions)</t>
        </is>
      </c>
      <c r="B368" s="11" t="inlineStr">
        <is>
          <t>block_passed</t>
        </is>
      </c>
      <c r="C368" s="11" t="inlineStr">
        <is>
          <t>BOOLEAN</t>
        </is>
      </c>
      <c r="D368" s="11" t="inlineStr">
        <is>
          <t>—</t>
        </is>
      </c>
      <c r="E368" s="11" t="inlineStr">
        <is>
          <t>No</t>
        </is>
      </c>
      <c r="F368" s="11" t="inlineStr">
        <is>
          <t>No</t>
        </is>
      </c>
      <c r="G368" s="11" t="inlineStr">
        <is>
          <t>—</t>
        </is>
      </c>
      <c r="H368" s="11" t="inlineStr">
        <is>
          <t>—</t>
        </is>
      </c>
      <c r="I368" s="11" t="inlineStr">
        <is>
          <t>While the account exists; anonymised 30 days after closure (SRS 4.3).</t>
        </is>
      </c>
      <c r="J368" s="11" t="inlineStr">
        <is>
          <t>learning-service</t>
        </is>
      </c>
      <c r="K368" s="11" t="n"/>
    </row>
    <row r="369" ht="26.4" customHeight="1" s="31">
      <c r="A369" s="11" t="inlineStr">
        <is>
          <t>Exercise Submission (lesson_exercise_submissions)</t>
        </is>
      </c>
      <c r="B369" s="11" t="inlineStr">
        <is>
          <t>response</t>
        </is>
      </c>
      <c r="C369" s="11" t="inlineStr">
        <is>
          <t>JSONB</t>
        </is>
      </c>
      <c r="D369" s="11" t="inlineStr">
        <is>
          <t>—</t>
        </is>
      </c>
      <c r="E369" s="11" t="inlineStr">
        <is>
          <t>No</t>
        </is>
      </c>
      <c r="F369" s="11" t="inlineStr">
        <is>
          <t>No</t>
        </is>
      </c>
      <c r="G369" s="11" t="inlineStr">
        <is>
          <t>—</t>
        </is>
      </c>
      <c r="H369" s="11" t="inlineStr">
        <is>
          <t>—</t>
        </is>
      </c>
      <c r="I369" s="11" t="inlineStr">
        <is>
          <t>While the account exists; anonymised 30 days after closure (SRS 4.3).</t>
        </is>
      </c>
      <c r="J369" s="11" t="inlineStr">
        <is>
          <t>learning-service</t>
        </is>
      </c>
      <c r="K369" s="11" t="n"/>
    </row>
    <row r="370" ht="26.4" customHeight="1" s="31">
      <c r="A370" s="11" t="inlineStr">
        <is>
          <t>Exercise Submission (lesson_exercise_submissions)</t>
        </is>
      </c>
      <c r="B370" s="11" t="inlineStr">
        <is>
          <t>submitted_at</t>
        </is>
      </c>
      <c r="C370" s="11" t="inlineStr">
        <is>
          <t>TIMESTAMPTZ</t>
        </is>
      </c>
      <c r="D370" s="11" t="inlineStr">
        <is>
          <t>—</t>
        </is>
      </c>
      <c r="E370" s="11" t="inlineStr">
        <is>
          <t>No</t>
        </is>
      </c>
      <c r="F370" s="11" t="inlineStr">
        <is>
          <t>No</t>
        </is>
      </c>
      <c r="G370" s="11" t="inlineStr">
        <is>
          <t>CURRENT_TIMESTAMP</t>
        </is>
      </c>
      <c r="H370" s="11" t="inlineStr">
        <is>
          <t>—</t>
        </is>
      </c>
      <c r="I370" s="11" t="inlineStr">
        <is>
          <t>While the account exists; anonymised 30 days after closure (SRS 4.3).</t>
        </is>
      </c>
      <c r="J370" s="11" t="inlineStr">
        <is>
          <t>learning-service</t>
        </is>
      </c>
      <c r="K370" s="11" t="n"/>
    </row>
    <row r="371" ht="26.4" customHeight="1" s="31">
      <c r="A371" s="13" t="inlineStr">
        <is>
          <t>Writing Submission (lesson_writing_submissions)</t>
        </is>
      </c>
      <c r="B371" s="12" t="inlineStr">
        <is>
          <t>id</t>
        </is>
      </c>
      <c r="C371" s="13" t="inlineStr">
        <is>
          <t>UUID</t>
        </is>
      </c>
      <c r="D371" s="13" t="inlineStr">
        <is>
          <t>PK</t>
        </is>
      </c>
      <c r="E371" s="13" t="inlineStr">
        <is>
          <t>No</t>
        </is>
      </c>
      <c r="F371" s="13" t="inlineStr">
        <is>
          <t>Yes</t>
        </is>
      </c>
      <c r="G371" s="13" t="inlineStr">
        <is>
          <t>—</t>
        </is>
      </c>
      <c r="H371" s="13" t="inlineStr">
        <is>
          <t>—</t>
        </is>
      </c>
      <c r="I371" s="13" t="inlineStr">
        <is>
          <t>While the account exists; essay text and feedback deleted 30 days after closure, band and pass result anonymised (SRS 4.3).</t>
        </is>
      </c>
      <c r="J371" s="13" t="inlineStr">
        <is>
          <t>learning-service</t>
        </is>
      </c>
      <c r="K371" s="13" t="inlineStr">
        <is>
          <t>Records an essay, its grading outcome and point-debit reference. Table lesson_writing_submissions; owner learning-service; created in V2__lesson_writing.sql.</t>
        </is>
      </c>
    </row>
    <row r="372" ht="26.4" customHeight="1" s="31">
      <c r="A372" s="13" t="inlineStr">
        <is>
          <t>Writing Submission (lesson_writing_submissions)</t>
        </is>
      </c>
      <c r="B372" s="13" t="inlineStr">
        <is>
          <t>user_id</t>
        </is>
      </c>
      <c r="C372" s="13" t="inlineStr">
        <is>
          <t>UUID</t>
        </is>
      </c>
      <c r="D372" s="13" t="inlineStr">
        <is>
          <t>Ref→User (no FK)</t>
        </is>
      </c>
      <c r="E372" s="13" t="inlineStr">
        <is>
          <t>No</t>
        </is>
      </c>
      <c r="F372" s="13" t="inlineStr">
        <is>
          <t>Partial (user_id, block_id) WHERE status = 'GRADING'</t>
        </is>
      </c>
      <c r="G372" s="13" t="inlineStr">
        <is>
          <t>—</t>
        </is>
      </c>
      <c r="H372" s="13" t="inlineStr">
        <is>
          <t>—</t>
        </is>
      </c>
      <c r="I372" s="13" t="inlineStr">
        <is>
          <t>While the account exists; essay text and feedback deleted 30 days after closure, band and pass result anonymised (SRS 4.3).</t>
        </is>
      </c>
      <c r="J372" s="13" t="inlineStr">
        <is>
          <t>learning-service</t>
        </is>
      </c>
      <c r="K372" s="13" t="inlineStr">
        <is>
          <t>Stored id only; no SQL foreign key (cross-service or polymorphic).</t>
        </is>
      </c>
    </row>
    <row r="373" ht="26.4" customHeight="1" s="31">
      <c r="A373" s="13" t="inlineStr">
        <is>
          <t>Writing Submission (lesson_writing_submissions)</t>
        </is>
      </c>
      <c r="B373" s="13" t="inlineStr">
        <is>
          <t>lesson_id</t>
        </is>
      </c>
      <c r="C373" s="13" t="inlineStr">
        <is>
          <t>UUID</t>
        </is>
      </c>
      <c r="D373" s="13" t="inlineStr">
        <is>
          <t>Ref→Lesson (no FK)</t>
        </is>
      </c>
      <c r="E373" s="13" t="inlineStr">
        <is>
          <t>No</t>
        </is>
      </c>
      <c r="F373" s="13" t="inlineStr">
        <is>
          <t>No</t>
        </is>
      </c>
      <c r="G373" s="13" t="inlineStr">
        <is>
          <t>—</t>
        </is>
      </c>
      <c r="H373" s="13" t="inlineStr">
        <is>
          <t>—</t>
        </is>
      </c>
      <c r="I373" s="13" t="inlineStr">
        <is>
          <t>While the account exists; essay text and feedback deleted 30 days after closure, band and pass result anonymised (SRS 4.3).</t>
        </is>
      </c>
      <c r="J373" s="13" t="inlineStr">
        <is>
          <t>learning-service</t>
        </is>
      </c>
      <c r="K373" s="13" t="inlineStr">
        <is>
          <t>Stored id only; no SQL foreign key (cross-service or polymorphic).</t>
        </is>
      </c>
    </row>
    <row r="374" ht="26.4" customHeight="1" s="31">
      <c r="A374" s="13" t="inlineStr">
        <is>
          <t>Writing Submission (lesson_writing_submissions)</t>
        </is>
      </c>
      <c r="B374" s="13" t="inlineStr">
        <is>
          <t>block_id</t>
        </is>
      </c>
      <c r="C374" s="13" t="inlineStr">
        <is>
          <t>UUID</t>
        </is>
      </c>
      <c r="D374" s="13" t="inlineStr">
        <is>
          <t>Ref→Lesson Block (no FK)</t>
        </is>
      </c>
      <c r="E374" s="13" t="inlineStr">
        <is>
          <t>No</t>
        </is>
      </c>
      <c r="F374" s="13" t="inlineStr">
        <is>
          <t>Partial (user_id, block_id) WHERE status = 'GRADING'</t>
        </is>
      </c>
      <c r="G374" s="13" t="inlineStr">
        <is>
          <t>—</t>
        </is>
      </c>
      <c r="H374" s="13" t="inlineStr">
        <is>
          <t>—</t>
        </is>
      </c>
      <c r="I374" s="13" t="inlineStr">
        <is>
          <t>While the account exists; essay text and feedback deleted 30 days after closure, band and pass result anonymised (SRS 4.3).</t>
        </is>
      </c>
      <c r="J374" s="13" t="inlineStr">
        <is>
          <t>learning-service</t>
        </is>
      </c>
      <c r="K374" s="13" t="inlineStr">
        <is>
          <t>Stored id only; no SQL foreign key (cross-service or polymorphic).</t>
        </is>
      </c>
    </row>
    <row r="375" ht="52.8" customHeight="1" s="31">
      <c r="A375" s="13" t="inlineStr">
        <is>
          <t>Writing Submission (lesson_writing_submissions)</t>
        </is>
      </c>
      <c r="B375" s="13" t="inlineStr">
        <is>
          <t>question_version_id</t>
        </is>
      </c>
      <c r="C375" s="13" t="inlineStr">
        <is>
          <t>UUID</t>
        </is>
      </c>
      <c r="D375" s="13" t="inlineStr">
        <is>
          <t>Ref→Question Version (no FK)</t>
        </is>
      </c>
      <c r="E375" s="13" t="inlineStr">
        <is>
          <t>No</t>
        </is>
      </c>
      <c r="F375" s="13" t="inlineStr">
        <is>
          <t>No</t>
        </is>
      </c>
      <c r="G375" s="13" t="inlineStr">
        <is>
          <t>—</t>
        </is>
      </c>
      <c r="H375" s="13" t="inlineStr">
        <is>
          <t>—</t>
        </is>
      </c>
      <c r="I375" s="13" t="inlineStr">
        <is>
          <t>While the account exists; essay text and feedback deleted 30 days after closure, band and pass result anonymised (SRS 4.3).</t>
        </is>
      </c>
      <c r="J375" s="13" t="inlineStr">
        <is>
          <t>learning-service</t>
        </is>
      </c>
      <c r="K375" s="13" t="inlineStr">
        <is>
          <t>Stored id only; no SQL foreign key (cross-service or polymorphic).</t>
        </is>
      </c>
    </row>
    <row r="376" ht="26.4" customHeight="1" s="31">
      <c r="A376" s="13" t="inlineStr">
        <is>
          <t>Writing Submission (lesson_writing_submissions)</t>
        </is>
      </c>
      <c r="B376" s="13" t="inlineStr">
        <is>
          <t>knowledge_point_ids</t>
        </is>
      </c>
      <c r="C376" s="13" t="inlineStr">
        <is>
          <t>UUID[]</t>
        </is>
      </c>
      <c r="D376" s="13" t="inlineStr">
        <is>
          <t>—</t>
        </is>
      </c>
      <c r="E376" s="13" t="inlineStr">
        <is>
          <t>No</t>
        </is>
      </c>
      <c r="F376" s="13" t="inlineStr">
        <is>
          <t>No</t>
        </is>
      </c>
      <c r="G376" s="13" t="inlineStr">
        <is>
          <t>—</t>
        </is>
      </c>
      <c r="H376" s="13" t="inlineStr">
        <is>
          <t>—</t>
        </is>
      </c>
      <c r="I376" s="13" t="inlineStr">
        <is>
          <t>While the account exists; essay text and feedback deleted 30 days after closure, band and pass result anonymised (SRS 4.3).</t>
        </is>
      </c>
      <c r="J376" s="13" t="inlineStr">
        <is>
          <t>learning-service</t>
        </is>
      </c>
      <c r="K376" s="13" t="n"/>
    </row>
    <row r="377" ht="39.6" customHeight="1" s="31">
      <c r="A377" s="13" t="inlineStr">
        <is>
          <t>Writing Submission (lesson_writing_submissions)</t>
        </is>
      </c>
      <c r="B377" s="13" t="inlineStr">
        <is>
          <t>request_id</t>
        </is>
      </c>
      <c r="C377" s="13" t="inlineStr">
        <is>
          <t>UUID</t>
        </is>
      </c>
      <c r="D377" s="13" t="inlineStr">
        <is>
          <t>—</t>
        </is>
      </c>
      <c r="E377" s="13" t="inlineStr">
        <is>
          <t>No</t>
        </is>
      </c>
      <c r="F377" s="13" t="inlineStr">
        <is>
          <t>Yes</t>
        </is>
      </c>
      <c r="G377" s="13" t="inlineStr">
        <is>
          <t>—</t>
        </is>
      </c>
      <c r="H377" s="13" t="inlineStr">
        <is>
          <t>—</t>
        </is>
      </c>
      <c r="I377" s="13" t="inlineStr">
        <is>
          <t>While the account exists; essay text and feedback deleted 30 days after closure, band and pass result anonymised (SRS 4.3).</t>
        </is>
      </c>
      <c r="J377" s="13" t="inlineStr">
        <is>
          <t>learning-service</t>
        </is>
      </c>
      <c r="K377" s="13" t="n"/>
    </row>
    <row r="378" ht="26.4" customHeight="1" s="31">
      <c r="A378" s="13" t="inlineStr">
        <is>
          <t>Writing Submission (lesson_writing_submissions)</t>
        </is>
      </c>
      <c r="B378" s="13" t="inlineStr">
        <is>
          <t>essay_text</t>
        </is>
      </c>
      <c r="C378" s="13" t="inlineStr">
        <is>
          <t>TEXT</t>
        </is>
      </c>
      <c r="D378" s="13" t="inlineStr">
        <is>
          <t>—</t>
        </is>
      </c>
      <c r="E378" s="13" t="inlineStr">
        <is>
          <t>No</t>
        </is>
      </c>
      <c r="F378" s="13" t="inlineStr">
        <is>
          <t>No</t>
        </is>
      </c>
      <c r="G378" s="13" t="inlineStr">
        <is>
          <t>—</t>
        </is>
      </c>
      <c r="H378" s="13" t="inlineStr">
        <is>
          <t>—</t>
        </is>
      </c>
      <c r="I378" s="13" t="inlineStr">
        <is>
          <t>While the account exists; essay text and feedback deleted 30 days after closure, band and pass result anonymised (SRS 4.3).</t>
        </is>
      </c>
      <c r="J378" s="13" t="inlineStr">
        <is>
          <t>learning-service</t>
        </is>
      </c>
      <c r="K378" s="13" t="n"/>
    </row>
    <row r="379" ht="39.6" customHeight="1" s="31">
      <c r="A379" s="13" t="inlineStr">
        <is>
          <t>Writing Submission (lesson_writing_submissions)</t>
        </is>
      </c>
      <c r="B379" s="13" t="inlineStr">
        <is>
          <t>word_count</t>
        </is>
      </c>
      <c r="C379" s="13" t="inlineStr">
        <is>
          <t>INTEGER</t>
        </is>
      </c>
      <c r="D379" s="13" t="inlineStr">
        <is>
          <t>—</t>
        </is>
      </c>
      <c r="E379" s="13" t="inlineStr">
        <is>
          <t>No</t>
        </is>
      </c>
      <c r="F379" s="13" t="inlineStr">
        <is>
          <t>No</t>
        </is>
      </c>
      <c r="G379" s="13" t="inlineStr">
        <is>
          <t>—</t>
        </is>
      </c>
      <c r="H379" s="13" t="inlineStr">
        <is>
          <t>CHECK (word_count &gt;= 0)</t>
        </is>
      </c>
      <c r="I379" s="13" t="inlineStr">
        <is>
          <t>While the account exists; essay text and feedback deleted 30 days after closure, band and pass result anonymised (SRS 4.3).</t>
        </is>
      </c>
      <c r="J379" s="13" t="inlineStr">
        <is>
          <t>learning-service</t>
        </is>
      </c>
      <c r="K379" s="13" t="n"/>
    </row>
    <row r="380" ht="52.8" customHeight="1" s="31">
      <c r="A380" s="13" t="inlineStr">
        <is>
          <t>Writing Submission (lesson_writing_submissions)</t>
        </is>
      </c>
      <c r="B380" s="13" t="inlineStr">
        <is>
          <t>prompt_snapshot</t>
        </is>
      </c>
      <c r="C380" s="13" t="inlineStr">
        <is>
          <t>JSONB</t>
        </is>
      </c>
      <c r="D380" s="13" t="inlineStr">
        <is>
          <t>—</t>
        </is>
      </c>
      <c r="E380" s="13" t="inlineStr">
        <is>
          <t>No</t>
        </is>
      </c>
      <c r="F380" s="13" t="inlineStr">
        <is>
          <t>No</t>
        </is>
      </c>
      <c r="G380" s="13" t="inlineStr">
        <is>
          <t>—</t>
        </is>
      </c>
      <c r="H380" s="13" t="inlineStr">
        <is>
          <t>—</t>
        </is>
      </c>
      <c r="I380" s="13" t="inlineStr">
        <is>
          <t>While the account exists; essay text and feedback deleted 30 days after closure, band and pass result anonymised (SRS 4.3).</t>
        </is>
      </c>
      <c r="J380" s="13" t="inlineStr">
        <is>
          <t>learning-service</t>
        </is>
      </c>
      <c r="K380" s="13" t="n"/>
    </row>
    <row r="381" ht="52.8" customHeight="1" s="31">
      <c r="A381" s="13" t="inlineStr">
        <is>
          <t>Writing Submission (lesson_writing_submissions)</t>
        </is>
      </c>
      <c r="B381" s="13" t="inlineStr">
        <is>
          <t>status</t>
        </is>
      </c>
      <c r="C381" s="13" t="inlineStr">
        <is>
          <t>VARCHAR(20)</t>
        </is>
      </c>
      <c r="D381" s="13" t="inlineStr">
        <is>
          <t>—</t>
        </is>
      </c>
      <c r="E381" s="13" t="inlineStr">
        <is>
          <t>No</t>
        </is>
      </c>
      <c r="F381" s="13" t="inlineStr">
        <is>
          <t>No</t>
        </is>
      </c>
      <c r="G381" s="13" t="inlineStr">
        <is>
          <t>—</t>
        </is>
      </c>
      <c r="H381" s="13" t="inlineStr">
        <is>
          <t>CHECK (status IN ('GRADING', 'GRADED', 'FAILED', 'PAYMENT_PENDING')); CHECK (status &lt;&gt; 'PAYMENT_PENDING' OR (result IS NOT NULL AND passed IS NOT NULL))</t>
        </is>
      </c>
      <c r="I381" s="13" t="inlineStr">
        <is>
          <t>While the account exists; essay text and feedback deleted 30 days after closure, band and pass result anonymised (SRS 4.3).</t>
        </is>
      </c>
      <c r="J381" s="13" t="inlineStr">
        <is>
          <t>learning-service</t>
        </is>
      </c>
      <c r="K381" s="13" t="n"/>
    </row>
    <row r="382" ht="26.4" customHeight="1" s="31">
      <c r="A382" s="13" t="inlineStr">
        <is>
          <t>Writing Submission (lesson_writing_submissions)</t>
        </is>
      </c>
      <c r="B382" s="13" t="inlineStr">
        <is>
          <t>point_cost</t>
        </is>
      </c>
      <c r="C382" s="13" t="inlineStr">
        <is>
          <t>INTEGER</t>
        </is>
      </c>
      <c r="D382" s="13" t="inlineStr">
        <is>
          <t>—</t>
        </is>
      </c>
      <c r="E382" s="13" t="inlineStr">
        <is>
          <t>No</t>
        </is>
      </c>
      <c r="F382" s="13" t="inlineStr">
        <is>
          <t>No</t>
        </is>
      </c>
      <c r="G382" s="13" t="inlineStr">
        <is>
          <t>—</t>
        </is>
      </c>
      <c r="H382" s="13" t="inlineStr">
        <is>
          <t>CHECK (point_cost &gt; 0)</t>
        </is>
      </c>
      <c r="I382" s="13" t="inlineStr">
        <is>
          <t>While the account exists; essay text and feedback deleted 30 days after closure, band and pass result anonymised (SRS 4.3).</t>
        </is>
      </c>
      <c r="J382" s="13" t="inlineStr">
        <is>
          <t>learning-service</t>
        </is>
      </c>
      <c r="K382" s="13" t="n"/>
    </row>
    <row r="383" ht="26.4" customHeight="1" s="31">
      <c r="A383" s="13" t="inlineStr">
        <is>
          <t>Writing Submission (lesson_writing_submissions)</t>
        </is>
      </c>
      <c r="B383" s="13" t="inlineStr">
        <is>
          <t>debit_ledger_entry_id</t>
        </is>
      </c>
      <c r="C383" s="13" t="inlineStr">
        <is>
          <t>UUID</t>
        </is>
      </c>
      <c r="D383" s="13" t="inlineStr">
        <is>
          <t>Ref→Point Ledger Entry (no FK)</t>
        </is>
      </c>
      <c r="E383" s="13" t="inlineStr">
        <is>
          <t>Yes</t>
        </is>
      </c>
      <c r="F383" s="13" t="inlineStr">
        <is>
          <t>No</t>
        </is>
      </c>
      <c r="G383" s="13" t="inlineStr">
        <is>
          <t>NULL</t>
        </is>
      </c>
      <c r="H383" s="13" t="inlineStr">
        <is>
          <t>CHECK (status &lt;&gt; 'GRADED' OR (result IS NOT NULL AND overall_band IS NOT NULL AND passed IS NOT NULL AND debit_ledger_entry_id IS NOT NULL))</t>
        </is>
      </c>
      <c r="I383" s="13" t="inlineStr">
        <is>
          <t>While the account exists; essay text and feedback deleted 30 days after closure, band and pass result anonymised (SRS 4.3).</t>
        </is>
      </c>
      <c r="J383" s="13" t="inlineStr">
        <is>
          <t>learning-service</t>
        </is>
      </c>
      <c r="K383" s="13" t="inlineStr">
        <is>
          <t>Stored id only; no SQL foreign key (cross-service or polymorphic).</t>
        </is>
      </c>
    </row>
    <row r="384" ht="26.4" customHeight="1" s="31">
      <c r="A384" s="13" t="inlineStr">
        <is>
          <t>Writing Submission (lesson_writing_submissions)</t>
        </is>
      </c>
      <c r="B384" s="13" t="inlineStr">
        <is>
          <t>failure_code</t>
        </is>
      </c>
      <c r="C384" s="13" t="inlineStr">
        <is>
          <t>VARCHAR(50)</t>
        </is>
      </c>
      <c r="D384" s="13" t="inlineStr">
        <is>
          <t>—</t>
        </is>
      </c>
      <c r="E384" s="13" t="inlineStr">
        <is>
          <t>Yes</t>
        </is>
      </c>
      <c r="F384" s="13" t="inlineStr">
        <is>
          <t>No</t>
        </is>
      </c>
      <c r="G384" s="13" t="inlineStr">
        <is>
          <t>NULL</t>
        </is>
      </c>
      <c r="H384" s="13" t="inlineStr">
        <is>
          <t>—</t>
        </is>
      </c>
      <c r="I384" s="13" t="inlineStr">
        <is>
          <t>While the account exists; essay text and feedback deleted 30 days after closure, band and pass result anonymised (SRS 4.3).</t>
        </is>
      </c>
      <c r="J384" s="13" t="inlineStr">
        <is>
          <t>learning-service</t>
        </is>
      </c>
      <c r="K384" s="13" t="n"/>
    </row>
    <row r="385" ht="26.4" customHeight="1" s="31">
      <c r="A385" s="13" t="inlineStr">
        <is>
          <t>Writing Submission (lesson_writing_submissions)</t>
        </is>
      </c>
      <c r="B385" s="13" t="inlineStr">
        <is>
          <t>result</t>
        </is>
      </c>
      <c r="C385" s="13" t="inlineStr">
        <is>
          <t>JSONB</t>
        </is>
      </c>
      <c r="D385" s="13" t="inlineStr">
        <is>
          <t>—</t>
        </is>
      </c>
      <c r="E385" s="13" t="inlineStr">
        <is>
          <t>Yes</t>
        </is>
      </c>
      <c r="F385" s="13" t="inlineStr">
        <is>
          <t>No</t>
        </is>
      </c>
      <c r="G385" s="13" t="inlineStr">
        <is>
          <t>NULL</t>
        </is>
      </c>
      <c r="H385" s="13" t="inlineStr">
        <is>
          <t>CHECK (status &lt;&gt; 'PAYMENT_PENDING' OR (result IS NOT NULL AND passed IS NOT NULL))</t>
        </is>
      </c>
      <c r="I385" s="13" t="inlineStr">
        <is>
          <t>While the account exists; essay text and feedback deleted 30 days after closure, band and pass result anonymised (SRS 4.3).</t>
        </is>
      </c>
      <c r="J385" s="13" t="inlineStr">
        <is>
          <t>learning-service</t>
        </is>
      </c>
      <c r="K385" s="13" t="n"/>
    </row>
    <row r="386" ht="26.4" customHeight="1" s="31">
      <c r="A386" s="13" t="inlineStr">
        <is>
          <t>Writing Submission (lesson_writing_submissions)</t>
        </is>
      </c>
      <c r="B386" s="13" t="inlineStr">
        <is>
          <t>overall_band</t>
        </is>
      </c>
      <c r="C386" s="13" t="inlineStr">
        <is>
          <t>NUMERIC(2,1)</t>
        </is>
      </c>
      <c r="D386" s="13" t="inlineStr">
        <is>
          <t>—</t>
        </is>
      </c>
      <c r="E386" s="13" t="inlineStr">
        <is>
          <t>Yes</t>
        </is>
      </c>
      <c r="F386" s="13" t="inlineStr">
        <is>
          <t>No</t>
        </is>
      </c>
      <c r="G386" s="13" t="inlineStr">
        <is>
          <t>NULL</t>
        </is>
      </c>
      <c r="H386" s="13" t="inlineStr">
        <is>
          <t>CHECK (overall_band BETWEEN 0 AND 9); CHECK (status &lt;&gt; 'GRADED' OR (result IS NOT NULL AND overall_band IS NOT NULL AND passed IS NOT NULL AND debit_ledger_entry_id IS NOT NULL))</t>
        </is>
      </c>
      <c r="I386" s="13" t="inlineStr">
        <is>
          <t>While the account exists; essay text and feedback deleted 30 days after closure, band and pass result anonymised (SRS 4.3).</t>
        </is>
      </c>
      <c r="J386" s="13" t="inlineStr">
        <is>
          <t>learning-service</t>
        </is>
      </c>
      <c r="K386" s="13" t="n"/>
    </row>
    <row r="387" ht="26.4" customHeight="1" s="31">
      <c r="A387" s="13" t="inlineStr">
        <is>
          <t>Writing Submission (lesson_writing_submissions)</t>
        </is>
      </c>
      <c r="B387" s="13" t="inlineStr">
        <is>
          <t>passed</t>
        </is>
      </c>
      <c r="C387" s="13" t="inlineStr">
        <is>
          <t>BOOLEAN</t>
        </is>
      </c>
      <c r="D387" s="13" t="inlineStr">
        <is>
          <t>—</t>
        </is>
      </c>
      <c r="E387" s="13" t="inlineStr">
        <is>
          <t>Yes</t>
        </is>
      </c>
      <c r="F387" s="13" t="inlineStr">
        <is>
          <t>No</t>
        </is>
      </c>
      <c r="G387" s="13" t="inlineStr">
        <is>
          <t>NULL</t>
        </is>
      </c>
      <c r="H387" s="13" t="inlineStr">
        <is>
          <t>CHECK (status &lt;&gt; 'PAYMENT_PENDING' OR (result IS NOT NULL AND passed IS NOT NULL))</t>
        </is>
      </c>
      <c r="I387" s="13" t="inlineStr">
        <is>
          <t>While the account exists; essay text and feedback deleted 30 days after closure, band and pass result anonymised (SRS 4.3).</t>
        </is>
      </c>
      <c r="J387" s="13" t="inlineStr">
        <is>
          <t>learning-service</t>
        </is>
      </c>
      <c r="K387" s="13" t="n"/>
    </row>
    <row r="388" ht="26.4" customHeight="1" s="31">
      <c r="A388" s="13" t="inlineStr">
        <is>
          <t>Writing Submission (lesson_writing_submissions)</t>
        </is>
      </c>
      <c r="B388" s="13" t="inlineStr">
        <is>
          <t>grading_started_at</t>
        </is>
      </c>
      <c r="C388" s="13" t="inlineStr">
        <is>
          <t>TIMESTAMPTZ</t>
        </is>
      </c>
      <c r="D388" s="13" t="inlineStr">
        <is>
          <t>—</t>
        </is>
      </c>
      <c r="E388" s="13" t="inlineStr">
        <is>
          <t>No</t>
        </is>
      </c>
      <c r="F388" s="13" t="inlineStr">
        <is>
          <t>No</t>
        </is>
      </c>
      <c r="G388" s="13" t="inlineStr">
        <is>
          <t>—</t>
        </is>
      </c>
      <c r="H388" s="13" t="inlineStr">
        <is>
          <t>—</t>
        </is>
      </c>
      <c r="I388" s="13" t="inlineStr">
        <is>
          <t>While the account exists; essay text and feedback deleted 30 days after closure, band and pass result anonymised (SRS 4.3).</t>
        </is>
      </c>
      <c r="J388" s="13" t="inlineStr">
        <is>
          <t>learning-service</t>
        </is>
      </c>
      <c r="K388" s="13" t="n"/>
    </row>
    <row r="389" ht="26.4" customHeight="1" s="31">
      <c r="A389" s="13" t="inlineStr">
        <is>
          <t>Writing Submission (lesson_writing_submissions)</t>
        </is>
      </c>
      <c r="B389" s="13" t="inlineStr">
        <is>
          <t>submitted_at</t>
        </is>
      </c>
      <c r="C389" s="13" t="inlineStr">
        <is>
          <t>TIMESTAMPTZ</t>
        </is>
      </c>
      <c r="D389" s="13" t="inlineStr">
        <is>
          <t>—</t>
        </is>
      </c>
      <c r="E389" s="13" t="inlineStr">
        <is>
          <t>No</t>
        </is>
      </c>
      <c r="F389" s="13" t="inlineStr">
        <is>
          <t>No</t>
        </is>
      </c>
      <c r="G389" s="13" t="inlineStr">
        <is>
          <t>—</t>
        </is>
      </c>
      <c r="H389" s="13" t="inlineStr">
        <is>
          <t>—</t>
        </is>
      </c>
      <c r="I389" s="13" t="inlineStr">
        <is>
          <t>While the account exists; essay text and feedback deleted 30 days after closure, band and pass result anonymised (SRS 4.3).</t>
        </is>
      </c>
      <c r="J389" s="13" t="inlineStr">
        <is>
          <t>learning-service</t>
        </is>
      </c>
      <c r="K389" s="13" t="n"/>
    </row>
    <row r="390" ht="26.4" customHeight="1" s="31">
      <c r="A390" s="13" t="inlineStr">
        <is>
          <t>Writing Submission (lesson_writing_submissions)</t>
        </is>
      </c>
      <c r="B390" s="13" t="inlineStr">
        <is>
          <t>graded_at</t>
        </is>
      </c>
      <c r="C390" s="13" t="inlineStr">
        <is>
          <t>TIMESTAMPTZ</t>
        </is>
      </c>
      <c r="D390" s="13" t="inlineStr">
        <is>
          <t>—</t>
        </is>
      </c>
      <c r="E390" s="13" t="inlineStr">
        <is>
          <t>Yes</t>
        </is>
      </c>
      <c r="F390" s="13" t="inlineStr">
        <is>
          <t>No</t>
        </is>
      </c>
      <c r="G390" s="13" t="inlineStr">
        <is>
          <t>NULL</t>
        </is>
      </c>
      <c r="H390" s="13" t="inlineStr">
        <is>
          <t>—</t>
        </is>
      </c>
      <c r="I390" s="13" t="inlineStr">
        <is>
          <t>While the account exists; essay text and feedback deleted 30 days after closure, band and pass result anonymised (SRS 4.3).</t>
        </is>
      </c>
      <c r="J390" s="13" t="inlineStr">
        <is>
          <t>learning-service</t>
        </is>
      </c>
      <c r="K390" s="13" t="n"/>
    </row>
    <row r="391" ht="26.4" customHeight="1" s="31">
      <c r="A391" s="11" t="inlineStr">
        <is>
          <t>Writing Submission (lesson_writing_submissions)</t>
        </is>
      </c>
      <c r="B391" s="11" t="inlineStr">
        <is>
          <t>source</t>
        </is>
      </c>
      <c r="C391" s="11" t="inlineStr">
        <is>
          <t>VARCHAR(20)</t>
        </is>
      </c>
      <c r="D391" s="11" t="inlineStr">
        <is>
          <t>—</t>
        </is>
      </c>
      <c r="E391" s="11" t="inlineStr">
        <is>
          <t>No</t>
        </is>
      </c>
      <c r="F391" s="11" t="inlineStr">
        <is>
          <t>No</t>
        </is>
      </c>
      <c r="G391" s="11" t="inlineStr">
        <is>
          <t>'LESSON_BLOCK'</t>
        </is>
      </c>
      <c r="H391" s="11" t="inlineStr">
        <is>
          <t>CHECK (source IN ('LESSON_BLOCK', 'PRACTICE_ITEM'))</t>
        </is>
      </c>
      <c r="I391" s="11" t="inlineStr">
        <is>
          <t>While the account exists; essay text and feedback deleted 30 days after closure, band and pass result anonymised (SRS 4.3).</t>
        </is>
      </c>
      <c r="J391" s="11" t="inlineStr">
        <is>
          <t>learning-service</t>
        </is>
      </c>
      <c r="K391" s="11" t="inlineStr">
        <is>
          <t>Added in V10__practice_essays.sql; a submission comes from exactly one source (DC-44).</t>
        </is>
      </c>
    </row>
    <row r="392" ht="39.6" customHeight="1" s="31">
      <c r="A392" s="11" t="inlineStr">
        <is>
          <t>Writing Submission (lesson_writing_submissions)</t>
        </is>
      </c>
      <c r="B392" s="11" t="inlineStr">
        <is>
          <t>practice_attempt_id</t>
        </is>
      </c>
      <c r="C392" s="11" t="inlineStr">
        <is>
          <t>UUID</t>
        </is>
      </c>
      <c r="D392" s="11" t="inlineStr">
        <is>
          <t>Ref→Practice Attempt</t>
        </is>
      </c>
      <c r="E392" s="11" t="inlineStr">
        <is>
          <t>Yes</t>
        </is>
      </c>
      <c r="F392" s="11" t="inlineStr">
        <is>
          <t>No</t>
        </is>
      </c>
      <c r="G392" s="11" t="inlineStr">
        <is>
          <t>NULL</t>
        </is>
      </c>
      <c r="H392" s="11" t="inlineStr">
        <is>
          <t>CHECK ((source = 'LESSON_BLOCK' AND block_id IS NOT NULL AND practice_attempt_id IS NULL) OR (source = 'PRACTICE_ITEM' AND block_id IS NULL AND practice_attempt_id IS NOT NULL))</t>
        </is>
      </c>
      <c r="I392" s="11" t="inlineStr">
        <is>
          <t>While the account exists; essay text and feedback deleted 30 days after closure, band and pass result anonymised (SRS 4.3).</t>
        </is>
      </c>
      <c r="J392" s="11" t="inlineStr">
        <is>
          <t>learning-service</t>
        </is>
      </c>
      <c r="K392" s="11" t="inlineStr">
        <is>
          <t>Added in V10__practice_essays.sql.</t>
        </is>
      </c>
    </row>
    <row r="393" ht="39.6" customHeight="1" s="31">
      <c r="A393" s="11" t="inlineStr">
        <is>
          <t>Practice Attempt (practice_attempts)</t>
        </is>
      </c>
      <c r="B393" s="10" t="inlineStr">
        <is>
          <t>id</t>
        </is>
      </c>
      <c r="C393" s="11" t="inlineStr">
        <is>
          <t>UUID</t>
        </is>
      </c>
      <c r="D393" s="11" t="inlineStr">
        <is>
          <t>PK</t>
        </is>
      </c>
      <c r="E393" s="11" t="inlineStr">
        <is>
          <t>No</t>
        </is>
      </c>
      <c r="F393" s="11" t="inlineStr">
        <is>
          <t>Yes</t>
        </is>
      </c>
      <c r="G393" s="11" t="inlineStr">
        <is>
          <t>—</t>
        </is>
      </c>
      <c r="H393" s="11" t="inlineStr">
        <is>
          <t>—</t>
        </is>
      </c>
      <c r="I393" s="11" t="inlineStr">
        <is>
          <t>While the account exists; anonymised 30 days after closure (SRS 4.3).</t>
        </is>
      </c>
      <c r="J393" s="11" t="inlineStr">
        <is>
          <t>learning-service</t>
        </is>
      </c>
      <c r="K393" s="11" t="inlineStr">
        <is>
          <t>Records a user's attempt at a lesson practice package. Table practice_attempts; owner learning-service; created in V4__practice_attempts.sql.</t>
        </is>
      </c>
    </row>
    <row r="394" ht="26.4" customHeight="1" s="31">
      <c r="A394" s="11" t="inlineStr">
        <is>
          <t>Practice Attempt (practice_attempts)</t>
        </is>
      </c>
      <c r="B394" s="11" t="inlineStr">
        <is>
          <t>user_id</t>
        </is>
      </c>
      <c r="C394" s="11" t="inlineStr">
        <is>
          <t>UUID</t>
        </is>
      </c>
      <c r="D394" s="11" t="inlineStr">
        <is>
          <t>Ref→User (no FK)</t>
        </is>
      </c>
      <c r="E394" s="11" t="inlineStr">
        <is>
          <t>No</t>
        </is>
      </c>
      <c r="F394" s="11" t="inlineStr">
        <is>
          <t>Partial (user_id, package_id) WHERE submitted_at IS NULL</t>
        </is>
      </c>
      <c r="G394" s="11" t="inlineStr">
        <is>
          <t>—</t>
        </is>
      </c>
      <c r="H394" s="11" t="inlineStr">
        <is>
          <t>—</t>
        </is>
      </c>
      <c r="I394" s="11" t="inlineStr">
        <is>
          <t>While the account exists; anonymised 30 days after closure (SRS 4.3).</t>
        </is>
      </c>
      <c r="J394" s="11" t="inlineStr">
        <is>
          <t>learning-service</t>
        </is>
      </c>
      <c r="K394" s="11" t="inlineStr">
        <is>
          <t>Stored id only; no SQL foreign key (cross-service or polymorphic).</t>
        </is>
      </c>
    </row>
    <row r="395" ht="26.4" customHeight="1" s="31">
      <c r="A395" s="11" t="inlineStr">
        <is>
          <t>Practice Attempt (practice_attempts)</t>
        </is>
      </c>
      <c r="B395" s="11" t="inlineStr">
        <is>
          <t>lesson_id</t>
        </is>
      </c>
      <c r="C395" s="11" t="inlineStr">
        <is>
          <t>UUID</t>
        </is>
      </c>
      <c r="D395" s="11" t="inlineStr">
        <is>
          <t>Ref→Lesson (no FK)</t>
        </is>
      </c>
      <c r="E395" s="11" t="inlineStr">
        <is>
          <t>No</t>
        </is>
      </c>
      <c r="F395" s="11" t="inlineStr">
        <is>
          <t>No</t>
        </is>
      </c>
      <c r="G395" s="11" t="inlineStr">
        <is>
          <t>—</t>
        </is>
      </c>
      <c r="H395" s="11" t="inlineStr">
        <is>
          <t>—</t>
        </is>
      </c>
      <c r="I395" s="11" t="inlineStr">
        <is>
          <t>While the account exists; anonymised 30 days after closure (SRS 4.3).</t>
        </is>
      </c>
      <c r="J395" s="11" t="inlineStr">
        <is>
          <t>learning-service</t>
        </is>
      </c>
      <c r="K395" s="11" t="inlineStr">
        <is>
          <t>Stored id only; no SQL foreign key (cross-service or polymorphic).</t>
        </is>
      </c>
    </row>
    <row r="396" ht="26.4" customHeight="1" s="31">
      <c r="A396" s="11" t="inlineStr">
        <is>
          <t>Practice Attempt (practice_attempts)</t>
        </is>
      </c>
      <c r="B396" s="11" t="inlineStr">
        <is>
          <t>skill</t>
        </is>
      </c>
      <c r="C396" s="11" t="inlineStr">
        <is>
          <t>VARCHAR(20)</t>
        </is>
      </c>
      <c r="D396" s="11" t="inlineStr">
        <is>
          <t>—</t>
        </is>
      </c>
      <c r="E396" s="11" t="inlineStr">
        <is>
          <t>No</t>
        </is>
      </c>
      <c r="F396" s="11" t="inlineStr">
        <is>
          <t>No</t>
        </is>
      </c>
      <c r="G396" s="11" t="inlineStr">
        <is>
          <t>—</t>
        </is>
      </c>
      <c r="H396" s="11" t="inlineStr">
        <is>
          <t>—</t>
        </is>
      </c>
      <c r="I396" s="11" t="inlineStr">
        <is>
          <t>While the account exists; anonymised 30 days after closure (SRS 4.3).</t>
        </is>
      </c>
      <c r="J396" s="11" t="inlineStr">
        <is>
          <t>learning-service</t>
        </is>
      </c>
      <c r="K396" s="11" t="n"/>
    </row>
    <row r="397" ht="26.4" customHeight="1" s="31">
      <c r="A397" s="11" t="inlineStr">
        <is>
          <t>Practice Attempt (practice_attempts)</t>
        </is>
      </c>
      <c r="B397" s="11" t="inlineStr">
        <is>
          <t>package_id</t>
        </is>
      </c>
      <c r="C397" s="11" t="inlineStr">
        <is>
          <t>UUID</t>
        </is>
      </c>
      <c r="D397" s="11" t="inlineStr">
        <is>
          <t>Ref→Content Package (no FK)</t>
        </is>
      </c>
      <c r="E397" s="11" t="inlineStr">
        <is>
          <t>No</t>
        </is>
      </c>
      <c r="F397" s="11" t="inlineStr">
        <is>
          <t>Partial (user_id, package_id) WHERE submitted_at IS NULL</t>
        </is>
      </c>
      <c r="G397" s="11" t="inlineStr">
        <is>
          <t>—</t>
        </is>
      </c>
      <c r="H397" s="11" t="inlineStr">
        <is>
          <t>—</t>
        </is>
      </c>
      <c r="I397" s="11" t="inlineStr">
        <is>
          <t>While the account exists; anonymised 30 days after closure (SRS 4.3).</t>
        </is>
      </c>
      <c r="J397" s="11" t="inlineStr">
        <is>
          <t>learning-service</t>
        </is>
      </c>
      <c r="K397" s="11" t="inlineStr">
        <is>
          <t>Stored id only; no SQL foreign key (cross-service or polymorphic).</t>
        </is>
      </c>
    </row>
    <row r="398" ht="26.4" customHeight="1" s="31">
      <c r="A398" s="11" t="inlineStr">
        <is>
          <t>Practice Attempt (practice_attempts)</t>
        </is>
      </c>
      <c r="B398" s="11" t="inlineStr">
        <is>
          <t>package_version_id</t>
        </is>
      </c>
      <c r="C398" s="11" t="inlineStr">
        <is>
          <t>UUID</t>
        </is>
      </c>
      <c r="D398" s="11" t="inlineStr">
        <is>
          <t>Ref→Package Version (no FK)</t>
        </is>
      </c>
      <c r="E398" s="11" t="inlineStr">
        <is>
          <t>No</t>
        </is>
      </c>
      <c r="F398" s="11" t="inlineStr">
        <is>
          <t>No</t>
        </is>
      </c>
      <c r="G398" s="11" t="inlineStr">
        <is>
          <t>—</t>
        </is>
      </c>
      <c r="H398" s="11" t="inlineStr">
        <is>
          <t>—</t>
        </is>
      </c>
      <c r="I398" s="11" t="inlineStr">
        <is>
          <t>While the account exists; anonymised 30 days after closure (SRS 4.3).</t>
        </is>
      </c>
      <c r="J398" s="11" t="inlineStr">
        <is>
          <t>learning-service</t>
        </is>
      </c>
      <c r="K398" s="11" t="inlineStr">
        <is>
          <t>Stored id only; no SQL foreign key (cross-service or polymorphic).</t>
        </is>
      </c>
    </row>
    <row r="399" ht="26.4" customHeight="1" s="31">
      <c r="A399" s="11" t="inlineStr">
        <is>
          <t>Practice Attempt (practice_attempts)</t>
        </is>
      </c>
      <c r="B399" s="11" t="inlineStr">
        <is>
          <t>started_at</t>
        </is>
      </c>
      <c r="C399" s="11" t="inlineStr">
        <is>
          <t>TIMESTAMPTZ</t>
        </is>
      </c>
      <c r="D399" s="11" t="inlineStr">
        <is>
          <t>—</t>
        </is>
      </c>
      <c r="E399" s="11" t="inlineStr">
        <is>
          <t>No</t>
        </is>
      </c>
      <c r="F399" s="11" t="inlineStr">
        <is>
          <t>No</t>
        </is>
      </c>
      <c r="G399" s="11" t="inlineStr">
        <is>
          <t>CURRENT_TIMESTAMP</t>
        </is>
      </c>
      <c r="H399" s="11" t="inlineStr">
        <is>
          <t>—</t>
        </is>
      </c>
      <c r="I399" s="11" t="inlineStr">
        <is>
          <t>While the account exists; anonymised 30 days after closure (SRS 4.3).</t>
        </is>
      </c>
      <c r="J399" s="11" t="inlineStr">
        <is>
          <t>learning-service</t>
        </is>
      </c>
      <c r="K399" s="11" t="n"/>
    </row>
    <row r="400" ht="26.4" customHeight="1" s="31">
      <c r="A400" s="11" t="inlineStr">
        <is>
          <t>Practice Attempt (practice_attempts)</t>
        </is>
      </c>
      <c r="B400" s="11" t="inlineStr">
        <is>
          <t>submitted_at</t>
        </is>
      </c>
      <c r="C400" s="11" t="inlineStr">
        <is>
          <t>TIMESTAMPTZ</t>
        </is>
      </c>
      <c r="D400" s="11" t="inlineStr">
        <is>
          <t>—</t>
        </is>
      </c>
      <c r="E400" s="11" t="inlineStr">
        <is>
          <t>Yes</t>
        </is>
      </c>
      <c r="F400" s="11" t="inlineStr">
        <is>
          <t>No</t>
        </is>
      </c>
      <c r="G400" s="11" t="inlineStr">
        <is>
          <t>NULL</t>
        </is>
      </c>
      <c r="H400" s="11" t="inlineStr">
        <is>
          <t>CHECK ((submitted_at IS NULL) = (request_id IS NULL))</t>
        </is>
      </c>
      <c r="I400" s="11" t="inlineStr">
        <is>
          <t>While the account exists; anonymised 30 days after closure (SRS 4.3).</t>
        </is>
      </c>
      <c r="J400" s="11" t="inlineStr">
        <is>
          <t>learning-service</t>
        </is>
      </c>
      <c r="K400" s="11" t="n"/>
    </row>
    <row r="401" ht="26.4" customHeight="1" s="31">
      <c r="A401" s="11" t="inlineStr">
        <is>
          <t>Practice Attempt (practice_attempts)</t>
        </is>
      </c>
      <c r="B401" s="11" t="inlineStr">
        <is>
          <t>request_id</t>
        </is>
      </c>
      <c r="C401" s="11" t="inlineStr">
        <is>
          <t>UUID</t>
        </is>
      </c>
      <c r="D401" s="11" t="inlineStr">
        <is>
          <t>—</t>
        </is>
      </c>
      <c r="E401" s="11" t="inlineStr">
        <is>
          <t>Yes</t>
        </is>
      </c>
      <c r="F401" s="11" t="inlineStr">
        <is>
          <t>Yes</t>
        </is>
      </c>
      <c r="G401" s="11" t="inlineStr">
        <is>
          <t>NULL</t>
        </is>
      </c>
      <c r="H401" s="11" t="inlineStr">
        <is>
          <t>CHECK ((submitted_at IS NULL) = (request_id IS NULL))</t>
        </is>
      </c>
      <c r="I401" s="11" t="inlineStr">
        <is>
          <t>While the account exists; anonymised 30 days after closure (SRS 4.3).</t>
        </is>
      </c>
      <c r="J401" s="11" t="inlineStr">
        <is>
          <t>learning-service</t>
        </is>
      </c>
      <c r="K401" s="11" t="n"/>
    </row>
    <row r="402" ht="26.4" customHeight="1" s="31">
      <c r="A402" s="11" t="inlineStr">
        <is>
          <t>Practice Attempt (practice_attempts)</t>
        </is>
      </c>
      <c r="B402" s="11" t="inlineStr">
        <is>
          <t>correct_count</t>
        </is>
      </c>
      <c r="C402" s="11" t="inlineStr">
        <is>
          <t>INTEGER</t>
        </is>
      </c>
      <c r="D402" s="11" t="inlineStr">
        <is>
          <t>—</t>
        </is>
      </c>
      <c r="E402" s="11" t="inlineStr">
        <is>
          <t>Yes</t>
        </is>
      </c>
      <c r="F402" s="11" t="inlineStr">
        <is>
          <t>No</t>
        </is>
      </c>
      <c r="G402" s="11" t="inlineStr">
        <is>
          <t>NULL</t>
        </is>
      </c>
      <c r="H402" s="11" t="inlineStr">
        <is>
          <t>—</t>
        </is>
      </c>
      <c r="I402" s="11" t="inlineStr">
        <is>
          <t>While the account exists; anonymised 30 days after closure (SRS 4.3).</t>
        </is>
      </c>
      <c r="J402" s="11" t="inlineStr">
        <is>
          <t>learning-service</t>
        </is>
      </c>
      <c r="K402" s="11" t="n"/>
    </row>
    <row r="403" ht="26.4" customHeight="1" s="31">
      <c r="A403" s="11" t="inlineStr">
        <is>
          <t>Practice Attempt (practice_attempts)</t>
        </is>
      </c>
      <c r="B403" s="11" t="inlineStr">
        <is>
          <t>total_count</t>
        </is>
      </c>
      <c r="C403" s="11" t="inlineStr">
        <is>
          <t>INTEGER</t>
        </is>
      </c>
      <c r="D403" s="11" t="inlineStr">
        <is>
          <t>—</t>
        </is>
      </c>
      <c r="E403" s="11" t="inlineStr">
        <is>
          <t>Yes</t>
        </is>
      </c>
      <c r="F403" s="11" t="inlineStr">
        <is>
          <t>No</t>
        </is>
      </c>
      <c r="G403" s="11" t="inlineStr">
        <is>
          <t>NULL</t>
        </is>
      </c>
      <c r="H403" s="11" t="inlineStr">
        <is>
          <t>—</t>
        </is>
      </c>
      <c r="I403" s="11" t="inlineStr">
        <is>
          <t>While the account exists; anonymised 30 days after closure (SRS 4.3).</t>
        </is>
      </c>
      <c r="J403" s="11" t="inlineStr">
        <is>
          <t>learning-service</t>
        </is>
      </c>
      <c r="K403" s="11" t="n"/>
    </row>
    <row r="404" ht="39.6" customHeight="1" s="31">
      <c r="A404" s="11" t="inlineStr">
        <is>
          <t>Practice Attempt (practice_attempts)</t>
        </is>
      </c>
      <c r="B404" s="11" t="inlineStr">
        <is>
          <t>passed</t>
        </is>
      </c>
      <c r="C404" s="11" t="inlineStr">
        <is>
          <t>BOOLEAN</t>
        </is>
      </c>
      <c r="D404" s="11" t="inlineStr">
        <is>
          <t>—</t>
        </is>
      </c>
      <c r="E404" s="11" t="inlineStr">
        <is>
          <t>Yes</t>
        </is>
      </c>
      <c r="F404" s="11" t="inlineStr">
        <is>
          <t>No</t>
        </is>
      </c>
      <c r="G404" s="11" t="inlineStr">
        <is>
          <t>NULL</t>
        </is>
      </c>
      <c r="H404" s="11" t="inlineStr">
        <is>
          <t>—</t>
        </is>
      </c>
      <c r="I404" s="11" t="inlineStr">
        <is>
          <t>While the account exists; anonymised 30 days after closure (SRS 4.3).</t>
        </is>
      </c>
      <c r="J404" s="11" t="inlineStr">
        <is>
          <t>learning-service</t>
        </is>
      </c>
      <c r="K404" s="11" t="n"/>
    </row>
    <row r="405" ht="26.4" customHeight="1" s="31">
      <c r="A405" s="11" t="inlineStr">
        <is>
          <t>Practice Attempt (practice_attempts)</t>
        </is>
      </c>
      <c r="B405" s="11" t="inlineStr">
        <is>
          <t>counted_as_evidence</t>
        </is>
      </c>
      <c r="C405" s="11" t="inlineStr">
        <is>
          <t>BOOLEAN</t>
        </is>
      </c>
      <c r="D405" s="11" t="inlineStr">
        <is>
          <t>—</t>
        </is>
      </c>
      <c r="E405" s="11" t="inlineStr">
        <is>
          <t>No</t>
        </is>
      </c>
      <c r="F405" s="11" t="inlineStr">
        <is>
          <t>No</t>
        </is>
      </c>
      <c r="G405" s="11" t="inlineStr">
        <is>
          <t>FALSE</t>
        </is>
      </c>
      <c r="H405" s="11" t="inlineStr">
        <is>
          <t>—</t>
        </is>
      </c>
      <c r="I405" s="11" t="inlineStr">
        <is>
          <t>While the account exists; anonymised 30 days after closure (SRS 4.3).</t>
        </is>
      </c>
      <c r="J405" s="11" t="inlineStr">
        <is>
          <t>learning-service</t>
        </is>
      </c>
      <c r="K405" s="11" t="n"/>
    </row>
    <row r="406" ht="26.4" customHeight="1" s="31">
      <c r="A406" s="11" t="inlineStr">
        <is>
          <t>Practice Attempt (practice_attempts)</t>
        </is>
      </c>
      <c r="B406" s="11" t="inlineStr">
        <is>
          <t>response</t>
        </is>
      </c>
      <c r="C406" s="11" t="inlineStr">
        <is>
          <t>JSONB</t>
        </is>
      </c>
      <c r="D406" s="11" t="inlineStr">
        <is>
          <t>—</t>
        </is>
      </c>
      <c r="E406" s="11" t="inlineStr">
        <is>
          <t>Yes</t>
        </is>
      </c>
      <c r="F406" s="11" t="inlineStr">
        <is>
          <t>No</t>
        </is>
      </c>
      <c r="G406" s="11" t="inlineStr">
        <is>
          <t>NULL</t>
        </is>
      </c>
      <c r="H406" s="11" t="inlineStr">
        <is>
          <t>—</t>
        </is>
      </c>
      <c r="I406" s="11" t="inlineStr">
        <is>
          <t>While the account exists; anonymised 30 days after closure (SRS 4.3).</t>
        </is>
      </c>
      <c r="J406" s="11" t="inlineStr">
        <is>
          <t>learning-service</t>
        </is>
      </c>
      <c r="K406" s="11" t="n"/>
    </row>
    <row r="407" ht="26.4" customHeight="1" s="31">
      <c r="A407" s="11" t="inlineStr">
        <is>
          <t>Practice Attempt (practice_attempts)</t>
        </is>
      </c>
      <c r="B407" s="11" t="inlineStr">
        <is>
          <t>skills</t>
        </is>
      </c>
      <c r="C407" s="11" t="inlineStr">
        <is>
          <t>VARCHAR(20)[]</t>
        </is>
      </c>
      <c r="D407" s="11" t="inlineStr">
        <is>
          <t>—</t>
        </is>
      </c>
      <c r="E407" s="11" t="inlineStr">
        <is>
          <t>No</t>
        </is>
      </c>
      <c r="F407" s="11" t="inlineStr">
        <is>
          <t>No</t>
        </is>
      </c>
      <c r="G407" s="11" t="inlineStr">
        <is>
          <t>'{}'</t>
        </is>
      </c>
      <c r="H407" s="11" t="inlineStr">
        <is>
          <t>—</t>
        </is>
      </c>
      <c r="I407" s="11" t="inlineStr">
        <is>
          <t>While the account exists; anonymised 30 days after closure (SRS 4.3).</t>
        </is>
      </c>
      <c r="J407" s="11" t="inlineStr">
        <is>
          <t>learning-service</t>
        </is>
      </c>
      <c r="K407" s="11" t="inlineStr">
        <is>
          <t>Skills the set measures; added in V9__practice_skills.sql.</t>
        </is>
      </c>
    </row>
    <row r="408" ht="26.4" customHeight="1" s="31">
      <c r="A408" s="11" t="inlineStr">
        <is>
          <t>Practice Attempt (practice_attempts)</t>
        </is>
      </c>
      <c r="B408" s="11" t="inlineStr">
        <is>
          <t>passed_skills</t>
        </is>
      </c>
      <c r="C408" s="11" t="inlineStr">
        <is>
          <t>VARCHAR(20)[]</t>
        </is>
      </c>
      <c r="D408" s="11" t="inlineStr">
        <is>
          <t>—</t>
        </is>
      </c>
      <c r="E408" s="11" t="inlineStr">
        <is>
          <t>No</t>
        </is>
      </c>
      <c r="F408" s="11" t="inlineStr">
        <is>
          <t>No</t>
        </is>
      </c>
      <c r="G408" s="11" t="inlineStr">
        <is>
          <t>'{}'</t>
        </is>
      </c>
      <c r="H408" s="11" t="inlineStr">
        <is>
          <t>—</t>
        </is>
      </c>
      <c r="I408" s="11" t="inlineStr">
        <is>
          <t>While the account exists; anonymised 30 days after closure (SRS 4.3).</t>
        </is>
      </c>
      <c r="J408" s="11" t="inlineStr">
        <is>
          <t>learning-service</t>
        </is>
      </c>
      <c r="K408" s="11" t="inlineStr">
        <is>
          <t>Skills that reached 70% in this attempt; added in V9__practice_skills.sql.</t>
        </is>
      </c>
    </row>
    <row r="409" ht="26.4" customHeight="1" s="31">
      <c r="A409" s="13" t="inlineStr">
        <is>
          <t>Practice Pass (lesson_practice_passes)</t>
        </is>
      </c>
      <c r="B409" s="12" t="inlineStr">
        <is>
          <t>user_id</t>
        </is>
      </c>
      <c r="C409" s="13" t="inlineStr">
        <is>
          <t>UUID</t>
        </is>
      </c>
      <c r="D409" s="13" t="inlineStr">
        <is>
          <t>PK (user_id, lesson_id), Ref→User (no FK)</t>
        </is>
      </c>
      <c r="E409" s="13" t="inlineStr">
        <is>
          <t>No</t>
        </is>
      </c>
      <c r="F409" s="13" t="inlineStr">
        <is>
          <t>No</t>
        </is>
      </c>
      <c r="G409" s="13" t="inlineStr">
        <is>
          <t>—</t>
        </is>
      </c>
      <c r="H409" s="13" t="inlineStr">
        <is>
          <t>—</t>
        </is>
      </c>
      <c r="I409" s="13" t="inlineStr">
        <is>
          <t>While the account exists; anonymised 30 days after closure (SRS 4.3).</t>
        </is>
      </c>
      <c r="J409" s="13" t="inlineStr">
        <is>
          <t>learning-service</t>
        </is>
      </c>
      <c r="K409" s="13" t="inlineStr">
        <is>
          <t>Records that one user has satisfied a lesson's practice gate. Table lesson_practice_passes; owner learning-service; created in V4__practice_attempts.sql. Stored id only; no SQL foreign key (cross-service or polymorphic).</t>
        </is>
      </c>
    </row>
    <row r="410" ht="26.4" customHeight="1" s="31">
      <c r="A410" s="13" t="inlineStr">
        <is>
          <t>Practice Pass (lesson_practice_passes)</t>
        </is>
      </c>
      <c r="B410" s="12" t="inlineStr">
        <is>
          <t>lesson_id</t>
        </is>
      </c>
      <c r="C410" s="13" t="inlineStr">
        <is>
          <t>UUID</t>
        </is>
      </c>
      <c r="D410" s="13" t="inlineStr">
        <is>
          <t>PK (user_id, lesson_id), Ref→Lesson (no FK)</t>
        </is>
      </c>
      <c r="E410" s="13" t="inlineStr">
        <is>
          <t>No</t>
        </is>
      </c>
      <c r="F410" s="13" t="inlineStr">
        <is>
          <t>No</t>
        </is>
      </c>
      <c r="G410" s="13" t="inlineStr">
        <is>
          <t>—</t>
        </is>
      </c>
      <c r="H410" s="13" t="inlineStr">
        <is>
          <t>—</t>
        </is>
      </c>
      <c r="I410" s="13" t="inlineStr">
        <is>
          <t>While the account exists; anonymised 30 days after closure (SRS 4.3).</t>
        </is>
      </c>
      <c r="J410" s="13" t="inlineStr">
        <is>
          <t>learning-service</t>
        </is>
      </c>
      <c r="K410" s="13" t="inlineStr">
        <is>
          <t>Stored id only; no SQL foreign key (cross-service or polymorphic).</t>
        </is>
      </c>
    </row>
    <row r="411" ht="26.4" customHeight="1" s="31">
      <c r="A411" s="13" t="inlineStr">
        <is>
          <t>Practice Pass (lesson_practice_passes)</t>
        </is>
      </c>
      <c r="B411" s="13" t="inlineStr">
        <is>
          <t>reason</t>
        </is>
      </c>
      <c r="C411" s="13" t="inlineStr">
        <is>
          <t>VARCHAR(30)</t>
        </is>
      </c>
      <c r="D411" s="13" t="inlineStr">
        <is>
          <t>—</t>
        </is>
      </c>
      <c r="E411" s="13" t="inlineStr">
        <is>
          <t>No</t>
        </is>
      </c>
      <c r="F411" s="13" t="inlineStr">
        <is>
          <t>No</t>
        </is>
      </c>
      <c r="G411" s="13" t="inlineStr">
        <is>
          <t>—</t>
        </is>
      </c>
      <c r="H411" s="13" t="inlineStr">
        <is>
          <t>CHECK (reason IN ('FIRST_SUBMISSION', 'REVIEW_FINISHED', 'ALL_SETS_ATTEMPTED', 'NO_PRACTICE'))</t>
        </is>
      </c>
      <c r="I411" s="13" t="inlineStr">
        <is>
          <t>While the account exists; anonymised 30 days after closure (SRS 4.3).</t>
        </is>
      </c>
      <c r="J411" s="13" t="inlineStr">
        <is>
          <t>learning-service</t>
        </is>
      </c>
      <c r="K411" s="13" t="n"/>
    </row>
    <row r="412" ht="26.4" customHeight="1" s="31">
      <c r="A412" s="13" t="inlineStr">
        <is>
          <t>Practice Pass (lesson_practice_passes)</t>
        </is>
      </c>
      <c r="B412" s="13" t="inlineStr">
        <is>
          <t>passed_at</t>
        </is>
      </c>
      <c r="C412" s="13" t="inlineStr">
        <is>
          <t>TIMESTAMPTZ</t>
        </is>
      </c>
      <c r="D412" s="13" t="inlineStr">
        <is>
          <t>—</t>
        </is>
      </c>
      <c r="E412" s="13" t="inlineStr">
        <is>
          <t>No</t>
        </is>
      </c>
      <c r="F412" s="13" t="inlineStr">
        <is>
          <t>No</t>
        </is>
      </c>
      <c r="G412" s="13" t="inlineStr">
        <is>
          <t>CURRENT_TIMESTAMP</t>
        </is>
      </c>
      <c r="H412" s="13" t="inlineStr">
        <is>
          <t>—</t>
        </is>
      </c>
      <c r="I412" s="13" t="inlineStr">
        <is>
          <t>While the account exists; anonymised 30 days after closure (SRS 4.3).</t>
        </is>
      </c>
      <c r="J412" s="13" t="inlineStr">
        <is>
          <t>learning-service</t>
        </is>
      </c>
      <c r="K412" s="13" t="n"/>
    </row>
    <row r="413" ht="26.4" customHeight="1" s="31">
      <c r="A413" s="11" t="inlineStr">
        <is>
          <t>Review Item (review_items)</t>
        </is>
      </c>
      <c r="B413" s="10" t="inlineStr">
        <is>
          <t>id</t>
        </is>
      </c>
      <c r="C413" s="11" t="inlineStr">
        <is>
          <t>UUID</t>
        </is>
      </c>
      <c r="D413" s="11" t="inlineStr">
        <is>
          <t>PK</t>
        </is>
      </c>
      <c r="E413" s="11" t="inlineStr">
        <is>
          <t>No</t>
        </is>
      </c>
      <c r="F413" s="11" t="inlineStr">
        <is>
          <t>Yes</t>
        </is>
      </c>
      <c r="G413" s="11" t="inlineStr">
        <is>
          <t>—</t>
        </is>
      </c>
      <c r="H413" s="11" t="inlineStr">
        <is>
          <t>—</t>
        </is>
      </c>
      <c r="I413" s="11" t="inlineStr">
        <is>
          <t>While the account exists; anonymised 30 days after closure (SRS 4.3).</t>
        </is>
      </c>
      <c r="J413" s="11" t="inlineStr">
        <is>
          <t>learning-service</t>
        </is>
      </c>
      <c r="K413" s="11" t="inlineStr">
        <is>
          <t>Tracks a user's remediation for a knowledge point and lesson. Table review_items; owner learning-service; created in V1__learning_schema.sql.</t>
        </is>
      </c>
    </row>
    <row r="414" ht="52.8" customHeight="1" s="31">
      <c r="A414" s="11" t="inlineStr">
        <is>
          <t>Review Item (review_items)</t>
        </is>
      </c>
      <c r="B414" s="11" t="inlineStr">
        <is>
          <t>user_id</t>
        </is>
      </c>
      <c r="C414" s="11" t="inlineStr">
        <is>
          <t>UUID</t>
        </is>
      </c>
      <c r="D414" s="11" t="inlineStr">
        <is>
          <t>Ref→User (no FK)</t>
        </is>
      </c>
      <c r="E414" s="11" t="inlineStr">
        <is>
          <t>No</t>
        </is>
      </c>
      <c r="F414" s="11" t="inlineStr">
        <is>
          <t>Partial (user_id, knowledge_point_id) WHERE status = 'PENDING'</t>
        </is>
      </c>
      <c r="G414" s="11" t="inlineStr">
        <is>
          <t>—</t>
        </is>
      </c>
      <c r="H414" s="11" t="inlineStr">
        <is>
          <t>—</t>
        </is>
      </c>
      <c r="I414" s="11" t="inlineStr">
        <is>
          <t>While the account exists; anonymised 30 days after closure (SRS 4.3).</t>
        </is>
      </c>
      <c r="J414" s="11" t="inlineStr">
        <is>
          <t>learning-service</t>
        </is>
      </c>
      <c r="K414" s="11" t="inlineStr">
        <is>
          <t>Stored id only; no SQL foreign key (cross-service or polymorphic).</t>
        </is>
      </c>
    </row>
    <row r="415" ht="39.6" customHeight="1" s="31">
      <c r="A415" s="11" t="inlineStr">
        <is>
          <t>Review Item (review_items)</t>
        </is>
      </c>
      <c r="B415" s="11" t="inlineStr">
        <is>
          <t>knowledge_point_id</t>
        </is>
      </c>
      <c r="C415" s="11" t="inlineStr">
        <is>
          <t>UUID</t>
        </is>
      </c>
      <c r="D415" s="11" t="inlineStr">
        <is>
          <t>Ref→Knowledge Point (no FK)</t>
        </is>
      </c>
      <c r="E415" s="11" t="inlineStr">
        <is>
          <t>No</t>
        </is>
      </c>
      <c r="F415" s="11" t="inlineStr">
        <is>
          <t>Partial (user_id, knowledge_point_id) WHERE status = 'PENDING'</t>
        </is>
      </c>
      <c r="G415" s="11" t="inlineStr">
        <is>
          <t>—</t>
        </is>
      </c>
      <c r="H415" s="11" t="inlineStr">
        <is>
          <t>—</t>
        </is>
      </c>
      <c r="I415" s="11" t="inlineStr">
        <is>
          <t>While the account exists; anonymised 30 days after closure (SRS 4.3).</t>
        </is>
      </c>
      <c r="J415" s="11" t="inlineStr">
        <is>
          <t>learning-service</t>
        </is>
      </c>
      <c r="K415" s="11" t="inlineStr">
        <is>
          <t>Stored id only; no SQL foreign key (cross-service or polymorphic).</t>
        </is>
      </c>
    </row>
    <row r="416" ht="39.6" customHeight="1" s="31">
      <c r="A416" s="11" t="inlineStr">
        <is>
          <t>Review Item (review_items)</t>
        </is>
      </c>
      <c r="B416" s="11" t="inlineStr">
        <is>
          <t>lesson_id</t>
        </is>
      </c>
      <c r="C416" s="11" t="inlineStr">
        <is>
          <t>UUID</t>
        </is>
      </c>
      <c r="D416" s="11" t="inlineStr">
        <is>
          <t>Ref→Lesson (no FK)</t>
        </is>
      </c>
      <c r="E416" s="11" t="inlineStr">
        <is>
          <t>No</t>
        </is>
      </c>
      <c r="F416" s="11" t="inlineStr">
        <is>
          <t>No</t>
        </is>
      </c>
      <c r="G416" s="11" t="inlineStr">
        <is>
          <t>—</t>
        </is>
      </c>
      <c r="H416" s="11" t="inlineStr">
        <is>
          <t>—</t>
        </is>
      </c>
      <c r="I416" s="11" t="inlineStr">
        <is>
          <t>While the account exists; anonymised 30 days after closure (SRS 4.3).</t>
        </is>
      </c>
      <c r="J416" s="11" t="inlineStr">
        <is>
          <t>learning-service</t>
        </is>
      </c>
      <c r="K416" s="11" t="inlineStr">
        <is>
          <t>Stored id only; no SQL foreign key (cross-service or polymorphic).</t>
        </is>
      </c>
    </row>
    <row r="417" ht="26.4" customHeight="1" s="31">
      <c r="A417" s="11" t="inlineStr">
        <is>
          <t>Review Item (review_items)</t>
        </is>
      </c>
      <c r="B417" s="11" t="inlineStr">
        <is>
          <t>status</t>
        </is>
      </c>
      <c r="C417" s="11" t="inlineStr">
        <is>
          <t>VARCHAR(20)</t>
        </is>
      </c>
      <c r="D417" s="11" t="inlineStr">
        <is>
          <t>—</t>
        </is>
      </c>
      <c r="E417" s="11" t="inlineStr">
        <is>
          <t>No</t>
        </is>
      </c>
      <c r="F417" s="11" t="inlineStr">
        <is>
          <t>No</t>
        </is>
      </c>
      <c r="G417" s="11" t="inlineStr">
        <is>
          <t>—</t>
        </is>
      </c>
      <c r="H417" s="11" t="inlineStr">
        <is>
          <t>CHECK (status IN ('PENDING', 'DONE', 'SKIPPED'))</t>
        </is>
      </c>
      <c r="I417" s="11" t="inlineStr">
        <is>
          <t>While the account exists; anonymised 30 days after closure (SRS 4.3).</t>
        </is>
      </c>
      <c r="J417" s="11" t="inlineStr">
        <is>
          <t>learning-service</t>
        </is>
      </c>
      <c r="K417" s="11" t="n"/>
    </row>
    <row r="418" ht="26.4" customHeight="1" s="31">
      <c r="A418" s="11" t="inlineStr">
        <is>
          <t>Review Item (review_items)</t>
        </is>
      </c>
      <c r="B418" s="11" t="inlineStr">
        <is>
          <t>created_at</t>
        </is>
      </c>
      <c r="C418" s="11" t="inlineStr">
        <is>
          <t>TIMESTAMPTZ</t>
        </is>
      </c>
      <c r="D418" s="11" t="inlineStr">
        <is>
          <t>—</t>
        </is>
      </c>
      <c r="E418" s="11" t="inlineStr">
        <is>
          <t>No</t>
        </is>
      </c>
      <c r="F418" s="11" t="inlineStr">
        <is>
          <t>No</t>
        </is>
      </c>
      <c r="G418" s="11" t="inlineStr">
        <is>
          <t>CURRENT_TIMESTAMP</t>
        </is>
      </c>
      <c r="H418" s="11" t="inlineStr">
        <is>
          <t>—</t>
        </is>
      </c>
      <c r="I418" s="11" t="inlineStr">
        <is>
          <t>While the account exists; anonymised 30 days after closure (SRS 4.3).</t>
        </is>
      </c>
      <c r="J418" s="11" t="inlineStr">
        <is>
          <t>learning-service</t>
        </is>
      </c>
      <c r="K418" s="11" t="n"/>
    </row>
    <row r="419" ht="26.4" customHeight="1" s="31">
      <c r="A419" s="11" t="inlineStr">
        <is>
          <t>Review Item (review_items)</t>
        </is>
      </c>
      <c r="B419" s="11" t="inlineStr">
        <is>
          <t>done_at</t>
        </is>
      </c>
      <c r="C419" s="11" t="inlineStr">
        <is>
          <t>TIMESTAMPTZ</t>
        </is>
      </c>
      <c r="D419" s="11" t="inlineStr">
        <is>
          <t>—</t>
        </is>
      </c>
      <c r="E419" s="11" t="inlineStr">
        <is>
          <t>Yes</t>
        </is>
      </c>
      <c r="F419" s="11" t="inlineStr">
        <is>
          <t>No</t>
        </is>
      </c>
      <c r="G419" s="11" t="inlineStr">
        <is>
          <t>NULL</t>
        </is>
      </c>
      <c r="H419" s="11" t="inlineStr">
        <is>
          <t>—</t>
        </is>
      </c>
      <c r="I419" s="11" t="inlineStr">
        <is>
          <t>While the account exists; anonymised 30 days after closure (SRS 4.3).</t>
        </is>
      </c>
      <c r="J419" s="11" t="inlineStr">
        <is>
          <t>learning-service</t>
        </is>
      </c>
      <c r="K419" s="11" t="n"/>
    </row>
    <row r="420" ht="26.4" customHeight="1" s="31">
      <c r="A420" s="11" t="inlineStr">
        <is>
          <t>Review Item (review_items)</t>
        </is>
      </c>
      <c r="B420" s="11" t="inlineStr">
        <is>
          <t>skill</t>
        </is>
      </c>
      <c r="C420" s="11" t="inlineStr">
        <is>
          <t>VARCHAR(20)</t>
        </is>
      </c>
      <c r="D420" s="11" t="inlineStr">
        <is>
          <t>—</t>
        </is>
      </c>
      <c r="E420" s="11" t="inlineStr">
        <is>
          <t>Yes</t>
        </is>
      </c>
      <c r="F420" s="11" t="inlineStr">
        <is>
          <t>No</t>
        </is>
      </c>
      <c r="G420" s="11" t="inlineStr">
        <is>
          <t>NULL</t>
        </is>
      </c>
      <c r="H420" s="11" t="inlineStr">
        <is>
          <t>—</t>
        </is>
      </c>
      <c r="I420" s="11" t="inlineStr">
        <is>
          <t>While the account exists; anonymised 30 days after closure (SRS 4.3).</t>
        </is>
      </c>
      <c r="J420" s="11" t="inlineStr">
        <is>
          <t>learning-service</t>
        </is>
      </c>
      <c r="K420" s="11" t="n"/>
    </row>
    <row r="421" ht="26.4" customHeight="1" s="31">
      <c r="A421" s="11" t="inlineStr">
        <is>
          <t>Review Item (review_items)</t>
        </is>
      </c>
      <c r="B421" s="11" t="inlineStr">
        <is>
          <t>trigger_kind</t>
        </is>
      </c>
      <c r="C421" s="11" t="inlineStr">
        <is>
          <t>VARCHAR(20)</t>
        </is>
      </c>
      <c r="D421" s="11" t="inlineStr">
        <is>
          <t>—</t>
        </is>
      </c>
      <c r="E421" s="11" t="inlineStr">
        <is>
          <t>Yes</t>
        </is>
      </c>
      <c r="F421" s="11" t="inlineStr">
        <is>
          <t>No</t>
        </is>
      </c>
      <c r="G421" s="11" t="inlineStr">
        <is>
          <t>NULL</t>
        </is>
      </c>
      <c r="H421" s="11" t="inlineStr">
        <is>
          <t>CHECK (trigger_kind IN ('PRACTICE', 'ASSESSMENT'))</t>
        </is>
      </c>
      <c r="I421" s="11" t="inlineStr">
        <is>
          <t>While the account exists; anonymised 30 days after closure (SRS 4.3).</t>
        </is>
      </c>
      <c r="J421" s="11" t="inlineStr">
        <is>
          <t>learning-service</t>
        </is>
      </c>
      <c r="K421" s="11" t="n"/>
    </row>
    <row r="422" ht="26.4" customHeight="1" s="31">
      <c r="A422" s="11" t="inlineStr">
        <is>
          <t>Review Item (review_items)</t>
        </is>
      </c>
      <c r="B422" s="11" t="inlineStr">
        <is>
          <t>source_attempt_id</t>
        </is>
      </c>
      <c r="C422" s="11" t="inlineStr">
        <is>
          <t>UUID</t>
        </is>
      </c>
      <c r="D422" s="11" t="inlineStr">
        <is>
          <t>FK→Practice Attempt.id</t>
        </is>
      </c>
      <c r="E422" s="11" t="inlineStr">
        <is>
          <t>Yes</t>
        </is>
      </c>
      <c r="F422" s="11" t="inlineStr">
        <is>
          <t>No</t>
        </is>
      </c>
      <c r="G422" s="11" t="inlineStr">
        <is>
          <t>NULL</t>
        </is>
      </c>
      <c r="H422" s="11" t="inlineStr">
        <is>
          <t>—</t>
        </is>
      </c>
      <c r="I422" s="11" t="inlineStr">
        <is>
          <t>While the account exists; anonymised 30 days after closure (SRS 4.3).</t>
        </is>
      </c>
      <c r="J422" s="11" t="inlineStr">
        <is>
          <t>learning-service</t>
        </is>
      </c>
      <c r="K422" s="11" t="n"/>
    </row>
    <row r="423" ht="39.6" customHeight="1" s="31">
      <c r="A423" s="11" t="inlineStr">
        <is>
          <t>Review Item (review_items)</t>
        </is>
      </c>
      <c r="B423" s="11" t="inlineStr">
        <is>
          <t>stage</t>
        </is>
      </c>
      <c r="C423" s="11" t="inlineStr">
        <is>
          <t>VARCHAR(10)</t>
        </is>
      </c>
      <c r="D423" s="11" t="inlineStr">
        <is>
          <t>—</t>
        </is>
      </c>
      <c r="E423" s="11" t="inlineStr">
        <is>
          <t>No</t>
        </is>
      </c>
      <c r="F423" s="11" t="inlineStr">
        <is>
          <t>No</t>
        </is>
      </c>
      <c r="G423" s="11" t="inlineStr">
        <is>
          <t>'PRACTICE'</t>
        </is>
      </c>
      <c r="H423" s="11" t="inlineStr">
        <is>
          <t>CHECK (stage IN ('PRACTICE', 'THEORY'))</t>
        </is>
      </c>
      <c r="I423" s="11" t="inlineStr">
        <is>
          <t>While the account exists; anonymised 30 days after closure (SRS 4.3).</t>
        </is>
      </c>
      <c r="J423" s="11" t="inlineStr">
        <is>
          <t>learning-service</t>
        </is>
      </c>
      <c r="K423" s="11" t="n"/>
    </row>
    <row r="424" ht="26.4" customHeight="1" s="31">
      <c r="A424" s="11" t="inlineStr">
        <is>
          <t>Review Item (review_items)</t>
        </is>
      </c>
      <c r="B424" s="11" t="inlineStr">
        <is>
          <t>theory_reason</t>
        </is>
      </c>
      <c r="C424" s="11" t="inlineStr">
        <is>
          <t>VARCHAR(30)</t>
        </is>
      </c>
      <c r="D424" s="11" t="inlineStr">
        <is>
          <t>—</t>
        </is>
      </c>
      <c r="E424" s="11" t="inlineStr">
        <is>
          <t>Yes</t>
        </is>
      </c>
      <c r="F424" s="11" t="inlineStr">
        <is>
          <t>No</t>
        </is>
      </c>
      <c r="G424" s="11" t="inlineStr">
        <is>
          <t>NULL</t>
        </is>
      </c>
      <c r="H424" s="11" t="inlineStr">
        <is>
          <t>CHECK (theory_reason IN ('SECOND_FAIL', 'LOW_SCORE', 'WRONG_IN_LESSON'))</t>
        </is>
      </c>
      <c r="I424" s="11" t="inlineStr">
        <is>
          <t>While the account exists; anonymised 30 days after closure (SRS 4.3).</t>
        </is>
      </c>
      <c r="J424" s="11" t="inlineStr">
        <is>
          <t>learning-service</t>
        </is>
      </c>
      <c r="K424" s="11" t="n"/>
    </row>
    <row r="425" ht="39.6" customHeight="1" s="31">
      <c r="A425" s="11" t="inlineStr">
        <is>
          <t>Review Item (review_items)</t>
        </is>
      </c>
      <c r="B425" s="11" t="inlineStr">
        <is>
          <t>theory_completed_count</t>
        </is>
      </c>
      <c r="C425" s="11" t="inlineStr">
        <is>
          <t>INTEGER</t>
        </is>
      </c>
      <c r="D425" s="11" t="inlineStr">
        <is>
          <t>—</t>
        </is>
      </c>
      <c r="E425" s="11" t="inlineStr">
        <is>
          <t>No</t>
        </is>
      </c>
      <c r="F425" s="11" t="inlineStr">
        <is>
          <t>No</t>
        </is>
      </c>
      <c r="G425" s="11" t="inlineStr">
        <is>
          <t>0</t>
        </is>
      </c>
      <c r="H425" s="11" t="inlineStr">
        <is>
          <t>—</t>
        </is>
      </c>
      <c r="I425" s="11" t="inlineStr">
        <is>
          <t>While the account exists; anonymised 30 days after closure (SRS 4.3).</t>
        </is>
      </c>
      <c r="J425" s="11" t="inlineStr">
        <is>
          <t>learning-service</t>
        </is>
      </c>
      <c r="K425" s="11" t="n"/>
    </row>
    <row r="426" ht="26.4" customHeight="1" s="31">
      <c r="A426" s="13" t="inlineStr">
        <is>
          <t>Review Set (review_sets)</t>
        </is>
      </c>
      <c r="B426" s="12" t="inlineStr">
        <is>
          <t>id</t>
        </is>
      </c>
      <c r="C426" s="13" t="inlineStr">
        <is>
          <t>UUID</t>
        </is>
      </c>
      <c r="D426" s="13" t="inlineStr">
        <is>
          <t>PK</t>
        </is>
      </c>
      <c r="E426" s="13" t="inlineStr">
        <is>
          <t>No</t>
        </is>
      </c>
      <c r="F426" s="13" t="inlineStr">
        <is>
          <t>Yes</t>
        </is>
      </c>
      <c r="G426" s="13" t="inlineStr">
        <is>
          <t>—</t>
        </is>
      </c>
      <c r="H426" s="13" t="inlineStr">
        <is>
          <t>—</t>
        </is>
      </c>
      <c r="I426" s="13" t="inlineStr">
        <is>
          <t>While the account exists; anonymised 30 days after closure (SRS 4.3).</t>
        </is>
      </c>
      <c r="J426" s="13" t="inlineStr">
        <is>
          <t>learning-service</t>
        </is>
      </c>
      <c r="K426" s="13" t="inlineStr">
        <is>
          <t>Records a package version assigned as a set within a review item. Table review_sets; owner learning-service; created in V1__learning_schema.sql.</t>
        </is>
      </c>
    </row>
    <row r="427" ht="26.4" customHeight="1" s="31">
      <c r="A427" s="13" t="inlineStr">
        <is>
          <t>Review Set (review_sets)</t>
        </is>
      </c>
      <c r="B427" s="13" t="inlineStr">
        <is>
          <t>review_item_id</t>
        </is>
      </c>
      <c r="C427" s="13" t="inlineStr">
        <is>
          <t>UUID</t>
        </is>
      </c>
      <c r="D427" s="13" t="inlineStr">
        <is>
          <t>FK→Review Item.id</t>
        </is>
      </c>
      <c r="E427" s="13" t="inlineStr">
        <is>
          <t>No</t>
        </is>
      </c>
      <c r="F427" s="13" t="inlineStr">
        <is>
          <t>Partial (review_item_id) WHERE submitted_at IS NULL</t>
        </is>
      </c>
      <c r="G427" s="13" t="inlineStr">
        <is>
          <t>—</t>
        </is>
      </c>
      <c r="H427" s="13" t="inlineStr">
        <is>
          <t>—</t>
        </is>
      </c>
      <c r="I427" s="13" t="inlineStr">
        <is>
          <t>While the account exists; anonymised 30 days after closure (SRS 4.3).</t>
        </is>
      </c>
      <c r="J427" s="13" t="inlineStr">
        <is>
          <t>learning-service</t>
        </is>
      </c>
      <c r="K427" s="13" t="n"/>
    </row>
    <row r="428" ht="39.6" customHeight="1" s="31">
      <c r="A428" s="13" t="inlineStr">
        <is>
          <t>Review Set (review_sets)</t>
        </is>
      </c>
      <c r="B428" s="13" t="inlineStr">
        <is>
          <t>user_id</t>
        </is>
      </c>
      <c r="C428" s="13" t="inlineStr">
        <is>
          <t>UUID</t>
        </is>
      </c>
      <c r="D428" s="13" t="inlineStr">
        <is>
          <t>Ref→User (no FK)</t>
        </is>
      </c>
      <c r="E428" s="13" t="inlineStr">
        <is>
          <t>No</t>
        </is>
      </c>
      <c r="F428" s="13" t="inlineStr">
        <is>
          <t>No</t>
        </is>
      </c>
      <c r="G428" s="13" t="inlineStr">
        <is>
          <t>—</t>
        </is>
      </c>
      <c r="H428" s="13" t="inlineStr">
        <is>
          <t>—</t>
        </is>
      </c>
      <c r="I428" s="13" t="inlineStr">
        <is>
          <t>While the account exists; anonymised 30 days after closure (SRS 4.3).</t>
        </is>
      </c>
      <c r="J428" s="13" t="inlineStr">
        <is>
          <t>learning-service</t>
        </is>
      </c>
      <c r="K428" s="13" t="inlineStr">
        <is>
          <t>Stored id only; no SQL foreign key (cross-service or polymorphic).</t>
        </is>
      </c>
    </row>
    <row r="429" ht="39.6" customHeight="1" s="31">
      <c r="A429" s="13" t="inlineStr">
        <is>
          <t>Review Set (review_sets)</t>
        </is>
      </c>
      <c r="B429" s="13" t="inlineStr">
        <is>
          <t>package_id</t>
        </is>
      </c>
      <c r="C429" s="13" t="inlineStr">
        <is>
          <t>UUID</t>
        </is>
      </c>
      <c r="D429" s="13" t="inlineStr">
        <is>
          <t>Ref→Content Package (no FK)</t>
        </is>
      </c>
      <c r="E429" s="13" t="inlineStr">
        <is>
          <t>No</t>
        </is>
      </c>
      <c r="F429" s="13" t="inlineStr">
        <is>
          <t>No</t>
        </is>
      </c>
      <c r="G429" s="13" t="inlineStr">
        <is>
          <t>—</t>
        </is>
      </c>
      <c r="H429" s="13" t="inlineStr">
        <is>
          <t>—</t>
        </is>
      </c>
      <c r="I429" s="13" t="inlineStr">
        <is>
          <t>While the account exists; anonymised 30 days after closure (SRS 4.3).</t>
        </is>
      </c>
      <c r="J429" s="13" t="inlineStr">
        <is>
          <t>learning-service</t>
        </is>
      </c>
      <c r="K429" s="13" t="inlineStr">
        <is>
          <t>Stored id only; no SQL foreign key (cross-service or polymorphic).</t>
        </is>
      </c>
    </row>
    <row r="430" ht="26.4" customHeight="1" s="31">
      <c r="A430" s="13" t="inlineStr">
        <is>
          <t>Review Set (review_sets)</t>
        </is>
      </c>
      <c r="B430" s="13" t="inlineStr">
        <is>
          <t>package_version_id</t>
        </is>
      </c>
      <c r="C430" s="13" t="inlineStr">
        <is>
          <t>UUID</t>
        </is>
      </c>
      <c r="D430" s="13" t="inlineStr">
        <is>
          <t>Ref→Package Version (no FK)</t>
        </is>
      </c>
      <c r="E430" s="13" t="inlineStr">
        <is>
          <t>No</t>
        </is>
      </c>
      <c r="F430" s="13" t="inlineStr">
        <is>
          <t>No</t>
        </is>
      </c>
      <c r="G430" s="13" t="inlineStr">
        <is>
          <t>—</t>
        </is>
      </c>
      <c r="H430" s="13" t="inlineStr">
        <is>
          <t>—</t>
        </is>
      </c>
      <c r="I430" s="13" t="inlineStr">
        <is>
          <t>While the account exists; anonymised 30 days after closure (SRS 4.3).</t>
        </is>
      </c>
      <c r="J430" s="13" t="inlineStr">
        <is>
          <t>learning-service</t>
        </is>
      </c>
      <c r="K430" s="13" t="inlineStr">
        <is>
          <t>Stored id only; no SQL foreign key (cross-service or polymorphic).</t>
        </is>
      </c>
    </row>
    <row r="431" ht="26.4" customHeight="1" s="31">
      <c r="A431" s="13" t="inlineStr">
        <is>
          <t>Review Set (review_sets)</t>
        </is>
      </c>
      <c r="B431" s="13" t="inlineStr">
        <is>
          <t>assigned_at</t>
        </is>
      </c>
      <c r="C431" s="13" t="inlineStr">
        <is>
          <t>TIMESTAMPTZ</t>
        </is>
      </c>
      <c r="D431" s="13" t="inlineStr">
        <is>
          <t>—</t>
        </is>
      </c>
      <c r="E431" s="13" t="inlineStr">
        <is>
          <t>No</t>
        </is>
      </c>
      <c r="F431" s="13" t="inlineStr">
        <is>
          <t>No</t>
        </is>
      </c>
      <c r="G431" s="13" t="inlineStr">
        <is>
          <t>CURRENT_TIMESTAMP</t>
        </is>
      </c>
      <c r="H431" s="13" t="inlineStr">
        <is>
          <t>—</t>
        </is>
      </c>
      <c r="I431" s="13" t="inlineStr">
        <is>
          <t>While the account exists; anonymised 30 days after closure (SRS 4.3).</t>
        </is>
      </c>
      <c r="J431" s="13" t="inlineStr">
        <is>
          <t>learning-service</t>
        </is>
      </c>
      <c r="K431" s="13" t="n"/>
    </row>
    <row r="432" ht="26.4" customHeight="1" s="31">
      <c r="A432" s="13" t="inlineStr">
        <is>
          <t>Review Set (review_sets)</t>
        </is>
      </c>
      <c r="B432" s="13" t="inlineStr">
        <is>
          <t>submitted_at</t>
        </is>
      </c>
      <c r="C432" s="13" t="inlineStr">
        <is>
          <t>TIMESTAMPTZ</t>
        </is>
      </c>
      <c r="D432" s="13" t="inlineStr">
        <is>
          <t>—</t>
        </is>
      </c>
      <c r="E432" s="13" t="inlineStr">
        <is>
          <t>Yes</t>
        </is>
      </c>
      <c r="F432" s="13" t="inlineStr">
        <is>
          <t>No</t>
        </is>
      </c>
      <c r="G432" s="13" t="inlineStr">
        <is>
          <t>NULL</t>
        </is>
      </c>
      <c r="H432" s="13" t="inlineStr">
        <is>
          <t>—</t>
        </is>
      </c>
      <c r="I432" s="13" t="inlineStr">
        <is>
          <t>While the account exists; anonymised 30 days after closure (SRS 4.3).</t>
        </is>
      </c>
      <c r="J432" s="13" t="inlineStr">
        <is>
          <t>learning-service</t>
        </is>
      </c>
      <c r="K432" s="13" t="n"/>
    </row>
    <row r="433" ht="39.6" customHeight="1" s="31">
      <c r="A433" s="13" t="inlineStr">
        <is>
          <t>Review Set (review_sets)</t>
        </is>
      </c>
      <c r="B433" s="13" t="inlineStr">
        <is>
          <t>passed</t>
        </is>
      </c>
      <c r="C433" s="13" t="inlineStr">
        <is>
          <t>BOOLEAN</t>
        </is>
      </c>
      <c r="D433" s="13" t="inlineStr">
        <is>
          <t>—</t>
        </is>
      </c>
      <c r="E433" s="13" t="inlineStr">
        <is>
          <t>Yes</t>
        </is>
      </c>
      <c r="F433" s="13" t="inlineStr">
        <is>
          <t>No</t>
        </is>
      </c>
      <c r="G433" s="13" t="inlineStr">
        <is>
          <t>NULL</t>
        </is>
      </c>
      <c r="H433" s="13" t="inlineStr">
        <is>
          <t>—</t>
        </is>
      </c>
      <c r="I433" s="13" t="inlineStr">
        <is>
          <t>While the account exists; anonymised 30 days after closure (SRS 4.3).</t>
        </is>
      </c>
      <c r="J433" s="13" t="inlineStr">
        <is>
          <t>learning-service</t>
        </is>
      </c>
      <c r="K433" s="13" t="n"/>
    </row>
    <row r="434" ht="26.4" customHeight="1" s="31">
      <c r="A434" s="13" t="inlineStr">
        <is>
          <t>Review Set (review_sets)</t>
        </is>
      </c>
      <c r="B434" s="13" t="inlineStr">
        <is>
          <t>request_id</t>
        </is>
      </c>
      <c r="C434" s="13" t="inlineStr">
        <is>
          <t>UUID</t>
        </is>
      </c>
      <c r="D434" s="13" t="inlineStr">
        <is>
          <t>—</t>
        </is>
      </c>
      <c r="E434" s="13" t="inlineStr">
        <is>
          <t>Yes</t>
        </is>
      </c>
      <c r="F434" s="13" t="inlineStr">
        <is>
          <t>Yes</t>
        </is>
      </c>
      <c r="G434" s="13" t="inlineStr">
        <is>
          <t>NULL</t>
        </is>
      </c>
      <c r="H434" s="13" t="inlineStr">
        <is>
          <t>—</t>
        </is>
      </c>
      <c r="I434" s="13" t="inlineStr">
        <is>
          <t>While the account exists; anonymised 30 days after closure (SRS 4.3).</t>
        </is>
      </c>
      <c r="J434" s="13" t="inlineStr">
        <is>
          <t>learning-service</t>
        </is>
      </c>
      <c r="K434" s="13" t="n"/>
    </row>
    <row r="435" ht="26.4" customHeight="1" s="31">
      <c r="A435" s="13" t="inlineStr">
        <is>
          <t>Review Set (review_sets)</t>
        </is>
      </c>
      <c r="B435" s="13" t="inlineStr">
        <is>
          <t>response</t>
        </is>
      </c>
      <c r="C435" s="13" t="inlineStr">
        <is>
          <t>JSONB</t>
        </is>
      </c>
      <c r="D435" s="13" t="inlineStr">
        <is>
          <t>—</t>
        </is>
      </c>
      <c r="E435" s="13" t="inlineStr">
        <is>
          <t>Yes</t>
        </is>
      </c>
      <c r="F435" s="13" t="inlineStr">
        <is>
          <t>No</t>
        </is>
      </c>
      <c r="G435" s="13" t="inlineStr">
        <is>
          <t>NULL</t>
        </is>
      </c>
      <c r="H435" s="13" t="inlineStr">
        <is>
          <t>—</t>
        </is>
      </c>
      <c r="I435" s="13" t="inlineStr">
        <is>
          <t>While the account exists; anonymised 30 days after closure (SRS 4.3).</t>
        </is>
      </c>
      <c r="J435" s="13" t="inlineStr">
        <is>
          <t>learning-service</t>
        </is>
      </c>
      <c r="K435" s="13" t="n"/>
    </row>
    <row r="436" ht="39.6" customHeight="1" s="31">
      <c r="A436" s="13" t="inlineStr">
        <is>
          <t>Review Set (review_sets)</t>
        </is>
      </c>
      <c r="B436" s="13" t="inlineStr">
        <is>
          <t>correct_count</t>
        </is>
      </c>
      <c r="C436" s="13" t="inlineStr">
        <is>
          <t>INTEGER</t>
        </is>
      </c>
      <c r="D436" s="13" t="inlineStr">
        <is>
          <t>—</t>
        </is>
      </c>
      <c r="E436" s="13" t="inlineStr">
        <is>
          <t>Yes</t>
        </is>
      </c>
      <c r="F436" s="13" t="inlineStr">
        <is>
          <t>No</t>
        </is>
      </c>
      <c r="G436" s="13" t="inlineStr">
        <is>
          <t>NULL</t>
        </is>
      </c>
      <c r="H436" s="13" t="inlineStr">
        <is>
          <t>—</t>
        </is>
      </c>
      <c r="I436" s="13" t="inlineStr">
        <is>
          <t>While the account exists; anonymised 30 days after closure (SRS 4.3).</t>
        </is>
      </c>
      <c r="J436" s="13" t="inlineStr">
        <is>
          <t>learning-service</t>
        </is>
      </c>
      <c r="K436" s="13" t="n"/>
    </row>
    <row r="437" ht="26.4" customHeight="1" s="31">
      <c r="A437" s="13" t="inlineStr">
        <is>
          <t>Review Set (review_sets)</t>
        </is>
      </c>
      <c r="B437" s="13" t="inlineStr">
        <is>
          <t>total_count</t>
        </is>
      </c>
      <c r="C437" s="13" t="inlineStr">
        <is>
          <t>INTEGER</t>
        </is>
      </c>
      <c r="D437" s="13" t="inlineStr">
        <is>
          <t>—</t>
        </is>
      </c>
      <c r="E437" s="13" t="inlineStr">
        <is>
          <t>Yes</t>
        </is>
      </c>
      <c r="F437" s="13" t="inlineStr">
        <is>
          <t>No</t>
        </is>
      </c>
      <c r="G437" s="13" t="inlineStr">
        <is>
          <t>NULL</t>
        </is>
      </c>
      <c r="H437" s="13" t="inlineStr">
        <is>
          <t>—</t>
        </is>
      </c>
      <c r="I437" s="13" t="inlineStr">
        <is>
          <t>While the account exists; anonymised 30 days after closure (SRS 4.3).</t>
        </is>
      </c>
      <c r="J437" s="13" t="inlineStr">
        <is>
          <t>learning-service</t>
        </is>
      </c>
      <c r="K437" s="13" t="n"/>
    </row>
    <row r="438" ht="26.4" customHeight="1" s="31">
      <c r="A438" s="11" t="inlineStr">
        <is>
          <t>Theory Check (review_theory_checks)</t>
        </is>
      </c>
      <c r="B438" s="10" t="inlineStr">
        <is>
          <t>id</t>
        </is>
      </c>
      <c r="C438" s="11" t="inlineStr">
        <is>
          <t>UUID</t>
        </is>
      </c>
      <c r="D438" s="11" t="inlineStr">
        <is>
          <t>PK</t>
        </is>
      </c>
      <c r="E438" s="11" t="inlineStr">
        <is>
          <t>No</t>
        </is>
      </c>
      <c r="F438" s="11" t="inlineStr">
        <is>
          <t>Yes</t>
        </is>
      </c>
      <c r="G438" s="11" t="inlineStr">
        <is>
          <t>—</t>
        </is>
      </c>
      <c r="H438" s="11" t="inlineStr">
        <is>
          <t>—</t>
        </is>
      </c>
      <c r="I438" s="11" t="inlineStr">
        <is>
          <t>While the account exists; anonymised 30 days after closure (SRS 4.3).</t>
        </is>
      </c>
      <c r="J438" s="11" t="inlineStr">
        <is>
          <t>learning-service</t>
        </is>
      </c>
      <c r="K438" s="11" t="inlineStr">
        <is>
          <t>Records the answers and result of a review theory quick-check. Table review_theory_checks; owner learning-service; created in V5__review_ladder.sql.</t>
        </is>
      </c>
    </row>
    <row r="439" ht="39.6" customHeight="1" s="31">
      <c r="A439" s="11" t="inlineStr">
        <is>
          <t>Theory Check (review_theory_checks)</t>
        </is>
      </c>
      <c r="B439" s="11" t="inlineStr">
        <is>
          <t>review_item_id</t>
        </is>
      </c>
      <c r="C439" s="11" t="inlineStr">
        <is>
          <t>UUID</t>
        </is>
      </c>
      <c r="D439" s="11" t="inlineStr">
        <is>
          <t>FK→Review Item.id</t>
        </is>
      </c>
      <c r="E439" s="11" t="inlineStr">
        <is>
          <t>No</t>
        </is>
      </c>
      <c r="F439" s="11" t="inlineStr">
        <is>
          <t>No</t>
        </is>
      </c>
      <c r="G439" s="11" t="inlineStr">
        <is>
          <t>—</t>
        </is>
      </c>
      <c r="H439" s="11" t="inlineStr">
        <is>
          <t>—</t>
        </is>
      </c>
      <c r="I439" s="11" t="inlineStr">
        <is>
          <t>While the account exists; anonymised 30 days after closure (SRS 4.3).</t>
        </is>
      </c>
      <c r="J439" s="11" t="inlineStr">
        <is>
          <t>learning-service</t>
        </is>
      </c>
      <c r="K439" s="11" t="n"/>
    </row>
    <row r="440" ht="26.4" customHeight="1" s="31">
      <c r="A440" s="11" t="inlineStr">
        <is>
          <t>Theory Check (review_theory_checks)</t>
        </is>
      </c>
      <c r="B440" s="11" t="inlineStr">
        <is>
          <t>user_id</t>
        </is>
      </c>
      <c r="C440" s="11" t="inlineStr">
        <is>
          <t>UUID</t>
        </is>
      </c>
      <c r="D440" s="11" t="inlineStr">
        <is>
          <t>Ref→User (no FK)</t>
        </is>
      </c>
      <c r="E440" s="11" t="inlineStr">
        <is>
          <t>No</t>
        </is>
      </c>
      <c r="F440" s="11" t="inlineStr">
        <is>
          <t>No</t>
        </is>
      </c>
      <c r="G440" s="11" t="inlineStr">
        <is>
          <t>—</t>
        </is>
      </c>
      <c r="H440" s="11" t="inlineStr">
        <is>
          <t>—</t>
        </is>
      </c>
      <c r="I440" s="11" t="inlineStr">
        <is>
          <t>While the account exists; anonymised 30 days after closure (SRS 4.3).</t>
        </is>
      </c>
      <c r="J440" s="11" t="inlineStr">
        <is>
          <t>learning-service</t>
        </is>
      </c>
      <c r="K440" s="11" t="inlineStr">
        <is>
          <t>Stored id only; no SQL foreign key (cross-service or polymorphic).</t>
        </is>
      </c>
    </row>
    <row r="441" ht="26.4" customHeight="1" s="31">
      <c r="A441" s="11" t="inlineStr">
        <is>
          <t>Theory Check (review_theory_checks)</t>
        </is>
      </c>
      <c r="B441" s="11" t="inlineStr">
        <is>
          <t>request_id</t>
        </is>
      </c>
      <c r="C441" s="11" t="inlineStr">
        <is>
          <t>UUID</t>
        </is>
      </c>
      <c r="D441" s="11" t="inlineStr">
        <is>
          <t>—</t>
        </is>
      </c>
      <c r="E441" s="11" t="inlineStr">
        <is>
          <t>No</t>
        </is>
      </c>
      <c r="F441" s="11" t="inlineStr">
        <is>
          <t>Yes</t>
        </is>
      </c>
      <c r="G441" s="11" t="inlineStr">
        <is>
          <t>—</t>
        </is>
      </c>
      <c r="H441" s="11" t="inlineStr">
        <is>
          <t>—</t>
        </is>
      </c>
      <c r="I441" s="11" t="inlineStr">
        <is>
          <t>While the account exists; anonymised 30 days after closure (SRS 4.3).</t>
        </is>
      </c>
      <c r="J441" s="11" t="inlineStr">
        <is>
          <t>learning-service</t>
        </is>
      </c>
      <c r="K441" s="11" t="n"/>
    </row>
    <row r="442" ht="26.4" customHeight="1" s="31">
      <c r="A442" s="11" t="inlineStr">
        <is>
          <t>Theory Check (review_theory_checks)</t>
        </is>
      </c>
      <c r="B442" s="11" t="inlineStr">
        <is>
          <t>question_version_ids</t>
        </is>
      </c>
      <c r="C442" s="11" t="inlineStr">
        <is>
          <t>UUID[]</t>
        </is>
      </c>
      <c r="D442" s="11" t="inlineStr">
        <is>
          <t>—</t>
        </is>
      </c>
      <c r="E442" s="11" t="inlineStr">
        <is>
          <t>No</t>
        </is>
      </c>
      <c r="F442" s="11" t="inlineStr">
        <is>
          <t>No</t>
        </is>
      </c>
      <c r="G442" s="11" t="inlineStr">
        <is>
          <t>—</t>
        </is>
      </c>
      <c r="H442" s="11" t="inlineStr">
        <is>
          <t>—</t>
        </is>
      </c>
      <c r="I442" s="11" t="inlineStr">
        <is>
          <t>While the account exists; anonymised 30 days after closure (SRS 4.3).</t>
        </is>
      </c>
      <c r="J442" s="11" t="inlineStr">
        <is>
          <t>learning-service</t>
        </is>
      </c>
      <c r="K442" s="11" t="n"/>
    </row>
    <row r="443" ht="26.4" customHeight="1" s="31">
      <c r="A443" s="11" t="inlineStr">
        <is>
          <t>Theory Check (review_theory_checks)</t>
        </is>
      </c>
      <c r="B443" s="11" t="inlineStr">
        <is>
          <t>answers</t>
        </is>
      </c>
      <c r="C443" s="11" t="inlineStr">
        <is>
          <t>JSONB</t>
        </is>
      </c>
      <c r="D443" s="11" t="inlineStr">
        <is>
          <t>—</t>
        </is>
      </c>
      <c r="E443" s="11" t="inlineStr">
        <is>
          <t>No</t>
        </is>
      </c>
      <c r="F443" s="11" t="inlineStr">
        <is>
          <t>No</t>
        </is>
      </c>
      <c r="G443" s="11" t="inlineStr">
        <is>
          <t>—</t>
        </is>
      </c>
      <c r="H443" s="11" t="inlineStr">
        <is>
          <t>—</t>
        </is>
      </c>
      <c r="I443" s="11" t="inlineStr">
        <is>
          <t>While the account exists; anonymised 30 days after closure (SRS 4.3).</t>
        </is>
      </c>
      <c r="J443" s="11" t="inlineStr">
        <is>
          <t>learning-service</t>
        </is>
      </c>
      <c r="K443" s="11" t="n"/>
    </row>
    <row r="444" ht="26.4" customHeight="1" s="31">
      <c r="A444" s="11" t="inlineStr">
        <is>
          <t>Theory Check (review_theory_checks)</t>
        </is>
      </c>
      <c r="B444" s="11" t="inlineStr">
        <is>
          <t>correct_count</t>
        </is>
      </c>
      <c r="C444" s="11" t="inlineStr">
        <is>
          <t>INTEGER</t>
        </is>
      </c>
      <c r="D444" s="11" t="inlineStr">
        <is>
          <t>—</t>
        </is>
      </c>
      <c r="E444" s="11" t="inlineStr">
        <is>
          <t>No</t>
        </is>
      </c>
      <c r="F444" s="11" t="inlineStr">
        <is>
          <t>No</t>
        </is>
      </c>
      <c r="G444" s="11" t="inlineStr">
        <is>
          <t>—</t>
        </is>
      </c>
      <c r="H444" s="11" t="inlineStr">
        <is>
          <t>—</t>
        </is>
      </c>
      <c r="I444" s="11" t="inlineStr">
        <is>
          <t>While the account exists; anonymised 30 days after closure (SRS 4.3).</t>
        </is>
      </c>
      <c r="J444" s="11" t="inlineStr">
        <is>
          <t>learning-service</t>
        </is>
      </c>
      <c r="K444" s="11" t="n"/>
    </row>
    <row r="445" ht="26.4" customHeight="1" s="31">
      <c r="A445" s="11" t="inlineStr">
        <is>
          <t>Theory Check (review_theory_checks)</t>
        </is>
      </c>
      <c r="B445" s="11" t="inlineStr">
        <is>
          <t>total_count</t>
        </is>
      </c>
      <c r="C445" s="11" t="inlineStr">
        <is>
          <t>INTEGER</t>
        </is>
      </c>
      <c r="D445" s="11" t="inlineStr">
        <is>
          <t>—</t>
        </is>
      </c>
      <c r="E445" s="11" t="inlineStr">
        <is>
          <t>No</t>
        </is>
      </c>
      <c r="F445" s="11" t="inlineStr">
        <is>
          <t>No</t>
        </is>
      </c>
      <c r="G445" s="11" t="inlineStr">
        <is>
          <t>—</t>
        </is>
      </c>
      <c r="H445" s="11" t="inlineStr">
        <is>
          <t>—</t>
        </is>
      </c>
      <c r="I445" s="11" t="inlineStr">
        <is>
          <t>While the account exists; anonymised 30 days after closure (SRS 4.3).</t>
        </is>
      </c>
      <c r="J445" s="11" t="inlineStr">
        <is>
          <t>learning-service</t>
        </is>
      </c>
      <c r="K445" s="11" t="n"/>
    </row>
    <row r="446" ht="26.4" customHeight="1" s="31">
      <c r="A446" s="11" t="inlineStr">
        <is>
          <t>Theory Check (review_theory_checks)</t>
        </is>
      </c>
      <c r="B446" s="11" t="inlineStr">
        <is>
          <t>response</t>
        </is>
      </c>
      <c r="C446" s="11" t="inlineStr">
        <is>
          <t>JSONB</t>
        </is>
      </c>
      <c r="D446" s="11" t="inlineStr">
        <is>
          <t>—</t>
        </is>
      </c>
      <c r="E446" s="11" t="inlineStr">
        <is>
          <t>No</t>
        </is>
      </c>
      <c r="F446" s="11" t="inlineStr">
        <is>
          <t>No</t>
        </is>
      </c>
      <c r="G446" s="11" t="inlineStr">
        <is>
          <t>—</t>
        </is>
      </c>
      <c r="H446" s="11" t="inlineStr">
        <is>
          <t>—</t>
        </is>
      </c>
      <c r="I446" s="11" t="inlineStr">
        <is>
          <t>While the account exists; anonymised 30 days after closure (SRS 4.3).</t>
        </is>
      </c>
      <c r="J446" s="11" t="inlineStr">
        <is>
          <t>learning-service</t>
        </is>
      </c>
      <c r="K446" s="11" t="n"/>
    </row>
    <row r="447" ht="39.6" customHeight="1" s="31">
      <c r="A447" s="11" t="inlineStr">
        <is>
          <t>Theory Check (review_theory_checks)</t>
        </is>
      </c>
      <c r="B447" s="11" t="inlineStr">
        <is>
          <t>submitted_at</t>
        </is>
      </c>
      <c r="C447" s="11" t="inlineStr">
        <is>
          <t>TIMESTAMPTZ</t>
        </is>
      </c>
      <c r="D447" s="11" t="inlineStr">
        <is>
          <t>—</t>
        </is>
      </c>
      <c r="E447" s="11" t="inlineStr">
        <is>
          <t>No</t>
        </is>
      </c>
      <c r="F447" s="11" t="inlineStr">
        <is>
          <t>No</t>
        </is>
      </c>
      <c r="G447" s="11" t="inlineStr">
        <is>
          <t>CURRENT_TIMESTAMP</t>
        </is>
      </c>
      <c r="H447" s="11" t="inlineStr">
        <is>
          <t>—</t>
        </is>
      </c>
      <c r="I447" s="11" t="inlineStr">
        <is>
          <t>While the account exists; anonymised 30 days after closure (SRS 4.3).</t>
        </is>
      </c>
      <c r="J447" s="11" t="inlineStr">
        <is>
          <t>learning-service</t>
        </is>
      </c>
      <c r="K447" s="11" t="n"/>
    </row>
    <row r="448" ht="26.4" customHeight="1" s="31">
      <c r="A448" s="13" t="inlineStr">
        <is>
          <t>Topic Test Assignment (topic_test_assignments)</t>
        </is>
      </c>
      <c r="B448" s="12" t="inlineStr">
        <is>
          <t>id</t>
        </is>
      </c>
      <c r="C448" s="13" t="inlineStr">
        <is>
          <t>UUID</t>
        </is>
      </c>
      <c r="D448" s="13" t="inlineStr">
        <is>
          <t>PK</t>
        </is>
      </c>
      <c r="E448" s="13" t="inlineStr">
        <is>
          <t>No</t>
        </is>
      </c>
      <c r="F448" s="13" t="inlineStr">
        <is>
          <t>Yes</t>
        </is>
      </c>
      <c r="G448" s="13" t="inlineStr">
        <is>
          <t>—</t>
        </is>
      </c>
      <c r="H448" s="13" t="inlineStr">
        <is>
          <t>—</t>
        </is>
      </c>
      <c r="I448" s="13" t="inlineStr">
        <is>
          <t>While the account exists; anonymised 30 days after closure (SRS 4.3).</t>
        </is>
      </c>
      <c r="J448" s="13" t="inlineStr">
        <is>
          <t>learning-service</t>
        </is>
      </c>
      <c r="K448" s="13" t="inlineStr">
        <is>
          <t>Records a topic test package version assigned to a user and its consumed attempt. Table topic_test_assignments; owner learning-service; created in V1__learning_schema.sql.</t>
        </is>
      </c>
    </row>
    <row r="449" ht="26.4" customHeight="1" s="31">
      <c r="A449" s="13" t="inlineStr">
        <is>
          <t>Topic Test Assignment (topic_test_assignments)</t>
        </is>
      </c>
      <c r="B449" s="13" t="inlineStr">
        <is>
          <t>user_id</t>
        </is>
      </c>
      <c r="C449" s="13" t="inlineStr">
        <is>
          <t>UUID</t>
        </is>
      </c>
      <c r="D449" s="13" t="inlineStr">
        <is>
          <t>Ref→User (no FK)</t>
        </is>
      </c>
      <c r="E449" s="13" t="inlineStr">
        <is>
          <t>No</t>
        </is>
      </c>
      <c r="F449" s="13" t="inlineStr">
        <is>
          <t>Partial (user_id, topic_id) WHERE consumed_at IS NULL</t>
        </is>
      </c>
      <c r="G449" s="13" t="inlineStr">
        <is>
          <t>—</t>
        </is>
      </c>
      <c r="H449" s="13" t="inlineStr">
        <is>
          <t>—</t>
        </is>
      </c>
      <c r="I449" s="13" t="inlineStr">
        <is>
          <t>While the account exists; anonymised 30 days after closure (SRS 4.3).</t>
        </is>
      </c>
      <c r="J449" s="13" t="inlineStr">
        <is>
          <t>learning-service</t>
        </is>
      </c>
      <c r="K449" s="13" t="inlineStr">
        <is>
          <t>Stored id only; no SQL foreign key (cross-service or polymorphic).</t>
        </is>
      </c>
    </row>
    <row r="450" ht="26.4" customHeight="1" s="31">
      <c r="A450" s="13" t="inlineStr">
        <is>
          <t>Topic Test Assignment (topic_test_assignments)</t>
        </is>
      </c>
      <c r="B450" s="13" t="inlineStr">
        <is>
          <t>topic_id</t>
        </is>
      </c>
      <c r="C450" s="13" t="inlineStr">
        <is>
          <t>UUID</t>
        </is>
      </c>
      <c r="D450" s="13" t="inlineStr">
        <is>
          <t>Ref→Topic (no FK)</t>
        </is>
      </c>
      <c r="E450" s="13" t="inlineStr">
        <is>
          <t>No</t>
        </is>
      </c>
      <c r="F450" s="13" t="inlineStr">
        <is>
          <t>Partial (user_id, topic_id) WHERE consumed_at IS NULL</t>
        </is>
      </c>
      <c r="G450" s="13" t="inlineStr">
        <is>
          <t>—</t>
        </is>
      </c>
      <c r="H450" s="13" t="inlineStr">
        <is>
          <t>—</t>
        </is>
      </c>
      <c r="I450" s="13" t="inlineStr">
        <is>
          <t>While the account exists; anonymised 30 days after closure (SRS 4.3).</t>
        </is>
      </c>
      <c r="J450" s="13" t="inlineStr">
        <is>
          <t>learning-service</t>
        </is>
      </c>
      <c r="K450" s="13" t="inlineStr">
        <is>
          <t>Stored id only; no SQL foreign key (cross-service or polymorphic).</t>
        </is>
      </c>
    </row>
    <row r="451" ht="26.4" customHeight="1" s="31">
      <c r="A451" s="13" t="inlineStr">
        <is>
          <t>Topic Test Assignment (topic_test_assignments)</t>
        </is>
      </c>
      <c r="B451" s="13" t="inlineStr">
        <is>
          <t>package_id</t>
        </is>
      </c>
      <c r="C451" s="13" t="inlineStr">
        <is>
          <t>UUID</t>
        </is>
      </c>
      <c r="D451" s="13" t="inlineStr">
        <is>
          <t>Ref→Content Package (no FK)</t>
        </is>
      </c>
      <c r="E451" s="13" t="inlineStr">
        <is>
          <t>No</t>
        </is>
      </c>
      <c r="F451" s="13" t="inlineStr">
        <is>
          <t>No</t>
        </is>
      </c>
      <c r="G451" s="13" t="inlineStr">
        <is>
          <t>—</t>
        </is>
      </c>
      <c r="H451" s="13" t="inlineStr">
        <is>
          <t>—</t>
        </is>
      </c>
      <c r="I451" s="13" t="inlineStr">
        <is>
          <t>While the account exists; anonymised 30 days after closure (SRS 4.3).</t>
        </is>
      </c>
      <c r="J451" s="13" t="inlineStr">
        <is>
          <t>learning-service</t>
        </is>
      </c>
      <c r="K451" s="13" t="inlineStr">
        <is>
          <t>Stored id only; no SQL foreign key (cross-service or polymorphic).</t>
        </is>
      </c>
    </row>
    <row r="452" ht="26.4" customHeight="1" s="31">
      <c r="A452" s="13" t="inlineStr">
        <is>
          <t>Topic Test Assignment (topic_test_assignments)</t>
        </is>
      </c>
      <c r="B452" s="13" t="inlineStr">
        <is>
          <t>package_version_id</t>
        </is>
      </c>
      <c r="C452" s="13" t="inlineStr">
        <is>
          <t>UUID</t>
        </is>
      </c>
      <c r="D452" s="13" t="inlineStr">
        <is>
          <t>Ref→Package Version (no FK)</t>
        </is>
      </c>
      <c r="E452" s="13" t="inlineStr">
        <is>
          <t>No</t>
        </is>
      </c>
      <c r="F452" s="13" t="inlineStr">
        <is>
          <t>No</t>
        </is>
      </c>
      <c r="G452" s="13" t="inlineStr">
        <is>
          <t>—</t>
        </is>
      </c>
      <c r="H452" s="13" t="inlineStr">
        <is>
          <t>—</t>
        </is>
      </c>
      <c r="I452" s="13" t="inlineStr">
        <is>
          <t>While the account exists; anonymised 30 days after closure (SRS 4.3).</t>
        </is>
      </c>
      <c r="J452" s="13" t="inlineStr">
        <is>
          <t>learning-service</t>
        </is>
      </c>
      <c r="K452" s="13" t="inlineStr">
        <is>
          <t>Stored id only; no SQL foreign key (cross-service or polymorphic).</t>
        </is>
      </c>
    </row>
    <row r="453" ht="26.4" customHeight="1" s="31">
      <c r="A453" s="13" t="inlineStr">
        <is>
          <t>Topic Test Assignment (topic_test_assignments)</t>
        </is>
      </c>
      <c r="B453" s="13" t="inlineStr">
        <is>
          <t>assigned_at</t>
        </is>
      </c>
      <c r="C453" s="13" t="inlineStr">
        <is>
          <t>TIMESTAMPTZ</t>
        </is>
      </c>
      <c r="D453" s="13" t="inlineStr">
        <is>
          <t>—</t>
        </is>
      </c>
      <c r="E453" s="13" t="inlineStr">
        <is>
          <t>No</t>
        </is>
      </c>
      <c r="F453" s="13" t="inlineStr">
        <is>
          <t>No</t>
        </is>
      </c>
      <c r="G453" s="13" t="inlineStr">
        <is>
          <t>CURRENT_TIMESTAMP</t>
        </is>
      </c>
      <c r="H453" s="13" t="inlineStr">
        <is>
          <t>—</t>
        </is>
      </c>
      <c r="I453" s="13" t="inlineStr">
        <is>
          <t>While the account exists; anonymised 30 days after closure (SRS 4.3).</t>
        </is>
      </c>
      <c r="J453" s="13" t="inlineStr">
        <is>
          <t>learning-service</t>
        </is>
      </c>
      <c r="K453" s="13" t="n"/>
    </row>
    <row r="454" ht="39.6" customHeight="1" s="31">
      <c r="A454" s="13" t="inlineStr">
        <is>
          <t>Topic Test Assignment (topic_test_assignments)</t>
        </is>
      </c>
      <c r="B454" s="13" t="inlineStr">
        <is>
          <t>consumed_attempt_id</t>
        </is>
      </c>
      <c r="C454" s="13" t="inlineStr">
        <is>
          <t>UUID</t>
        </is>
      </c>
      <c r="D454" s="13" t="inlineStr">
        <is>
          <t>Ref→Assessment Attempt (no FK)</t>
        </is>
      </c>
      <c r="E454" s="13" t="inlineStr">
        <is>
          <t>Yes</t>
        </is>
      </c>
      <c r="F454" s="13" t="inlineStr">
        <is>
          <t>No</t>
        </is>
      </c>
      <c r="G454" s="13" t="inlineStr">
        <is>
          <t>NULL</t>
        </is>
      </c>
      <c r="H454" s="13" t="inlineStr">
        <is>
          <t>—</t>
        </is>
      </c>
      <c r="I454" s="13" t="inlineStr">
        <is>
          <t>While the account exists; anonymised 30 days after closure (SRS 4.3).</t>
        </is>
      </c>
      <c r="J454" s="13" t="inlineStr">
        <is>
          <t>learning-service</t>
        </is>
      </c>
      <c r="K454" s="13" t="inlineStr">
        <is>
          <t>Stored id only; no SQL foreign key (cross-service or polymorphic).</t>
        </is>
      </c>
    </row>
    <row r="455" ht="39.6" customHeight="1" s="31">
      <c r="A455" s="13" t="inlineStr">
        <is>
          <t>Topic Test Assignment (topic_test_assignments)</t>
        </is>
      </c>
      <c r="B455" s="13" t="inlineStr">
        <is>
          <t>consumed_at</t>
        </is>
      </c>
      <c r="C455" s="13" t="inlineStr">
        <is>
          <t>TIMESTAMPTZ</t>
        </is>
      </c>
      <c r="D455" s="13" t="inlineStr">
        <is>
          <t>—</t>
        </is>
      </c>
      <c r="E455" s="13" t="inlineStr">
        <is>
          <t>Yes</t>
        </is>
      </c>
      <c r="F455" s="13" t="inlineStr">
        <is>
          <t>No</t>
        </is>
      </c>
      <c r="G455" s="13" t="inlineStr">
        <is>
          <t>NULL</t>
        </is>
      </c>
      <c r="H455" s="13" t="inlineStr">
        <is>
          <t>—</t>
        </is>
      </c>
      <c r="I455" s="13" t="inlineStr">
        <is>
          <t>While the account exists; anonymised 30 days after closure (SRS 4.3).</t>
        </is>
      </c>
      <c r="J455" s="13" t="inlineStr">
        <is>
          <t>learning-service</t>
        </is>
      </c>
      <c r="K455" s="13" t="n"/>
    </row>
    <row r="456" ht="26.4" customHeight="1" s="31">
      <c r="A456" s="13" t="inlineStr">
        <is>
          <t>Topic Test Assignment (topic_test_assignments)</t>
        </is>
      </c>
      <c r="B456" s="13" t="inlineStr">
        <is>
          <t>percent</t>
        </is>
      </c>
      <c r="C456" s="13" t="inlineStr">
        <is>
          <t>DOUBLE PRECISION</t>
        </is>
      </c>
      <c r="D456" s="13" t="inlineStr">
        <is>
          <t>—</t>
        </is>
      </c>
      <c r="E456" s="13" t="inlineStr">
        <is>
          <t>Yes</t>
        </is>
      </c>
      <c r="F456" s="13" t="inlineStr">
        <is>
          <t>No</t>
        </is>
      </c>
      <c r="G456" s="13" t="inlineStr">
        <is>
          <t>NULL</t>
        </is>
      </c>
      <c r="H456" s="13" t="inlineStr">
        <is>
          <t>—</t>
        </is>
      </c>
      <c r="I456" s="13" t="inlineStr">
        <is>
          <t>While the account exists; anonymised 30 days after closure (SRS 4.3).</t>
        </is>
      </c>
      <c r="J456" s="13" t="inlineStr">
        <is>
          <t>learning-service</t>
        </is>
      </c>
      <c r="K456" s="13" t="n"/>
    </row>
    <row r="457" ht="39.6" customHeight="1" s="31">
      <c r="A457" s="11" t="inlineStr">
        <is>
          <t>Course Test Assignment (course_test_assignments)</t>
        </is>
      </c>
      <c r="B457" s="11" t="inlineStr">
        <is>
          <t>id</t>
        </is>
      </c>
      <c r="C457" s="11" t="inlineStr">
        <is>
          <t>UUID</t>
        </is>
      </c>
      <c r="D457" s="11" t="inlineStr">
        <is>
          <t>PK</t>
        </is>
      </c>
      <c r="E457" s="11" t="inlineStr">
        <is>
          <t>No</t>
        </is>
      </c>
      <c r="F457" s="11" t="inlineStr">
        <is>
          <t>Yes</t>
        </is>
      </c>
      <c r="G457" s="11" t="inlineStr">
        <is>
          <t>—</t>
        </is>
      </c>
      <c r="H457" s="11" t="inlineStr">
        <is>
          <t>—</t>
        </is>
      </c>
      <c r="I457" s="11" t="inlineStr">
        <is>
          <t>While the account exists; anonymised 30 days after closure (SRS 4.3).</t>
        </is>
      </c>
      <c r="J457" s="11" t="inlineStr">
        <is>
          <t>learning-service</t>
        </is>
      </c>
      <c r="K457" s="11" t="inlineStr">
        <is>
          <t>A single-use course final test code given to a learner. Table course_test_assignments; owner learning-service; created in V7__course_progress.sql.</t>
        </is>
      </c>
    </row>
    <row r="458" ht="26.4" customHeight="1" s="31">
      <c r="A458" s="11" t="inlineStr">
        <is>
          <t>Course Test Assignment (course_test_assignments)</t>
        </is>
      </c>
      <c r="B458" s="11" t="inlineStr">
        <is>
          <t>user_id</t>
        </is>
      </c>
      <c r="C458" s="11" t="inlineStr">
        <is>
          <t>UUID</t>
        </is>
      </c>
      <c r="D458" s="11" t="inlineStr">
        <is>
          <t>Ref→User (no FK)</t>
        </is>
      </c>
      <c r="E458" s="11" t="inlineStr">
        <is>
          <t>No</t>
        </is>
      </c>
      <c r="F458" s="11" t="inlineStr">
        <is>
          <t>Partial (user_id, course_id) WHERE consumed_at IS NULL</t>
        </is>
      </c>
      <c r="G458" s="11" t="inlineStr">
        <is>
          <t>—</t>
        </is>
      </c>
      <c r="H458" s="11" t="inlineStr">
        <is>
          <t>—</t>
        </is>
      </c>
      <c r="I458" s="11" t="inlineStr">
        <is>
          <t>While the account exists; anonymised 30 days after closure (SRS 4.3).</t>
        </is>
      </c>
      <c r="J458" s="11" t="inlineStr">
        <is>
          <t>learning-service</t>
        </is>
      </c>
      <c r="K458" s="11" t="inlineStr">
        <is>
          <t>Stored id only; no SQL foreign key (cross-service or polymorphic).</t>
        </is>
      </c>
    </row>
    <row r="459" ht="26.4" customHeight="1" s="31">
      <c r="A459" s="11" t="inlineStr">
        <is>
          <t>Course Test Assignment (course_test_assignments)</t>
        </is>
      </c>
      <c r="B459" s="11" t="inlineStr">
        <is>
          <t>course_id</t>
        </is>
      </c>
      <c r="C459" s="11" t="inlineStr">
        <is>
          <t>UUID</t>
        </is>
      </c>
      <c r="D459" s="11" t="inlineStr">
        <is>
          <t>Ref→Course (no FK)</t>
        </is>
      </c>
      <c r="E459" s="11" t="inlineStr">
        <is>
          <t>No</t>
        </is>
      </c>
      <c r="F459" s="11" t="inlineStr">
        <is>
          <t>Partial (user_id, course_id) WHERE consumed_at IS NULL</t>
        </is>
      </c>
      <c r="G459" s="11" t="inlineStr">
        <is>
          <t>—</t>
        </is>
      </c>
      <c r="H459" s="11" t="inlineStr">
        <is>
          <t>—</t>
        </is>
      </c>
      <c r="I459" s="11" t="inlineStr">
        <is>
          <t>While the account exists; anonymised 30 days after closure (SRS 4.3).</t>
        </is>
      </c>
      <c r="J459" s="11" t="inlineStr">
        <is>
          <t>learning-service</t>
        </is>
      </c>
      <c r="K459" s="11" t="inlineStr">
        <is>
          <t>Stored id only; no SQL foreign key (cross-service or polymorphic).</t>
        </is>
      </c>
    </row>
    <row r="460" ht="26.4" customHeight="1" s="31">
      <c r="A460" s="11" t="inlineStr">
        <is>
          <t>Course Test Assignment (course_test_assignments)</t>
        </is>
      </c>
      <c r="B460" s="11" t="inlineStr">
        <is>
          <t>package_id</t>
        </is>
      </c>
      <c r="C460" s="11" t="inlineStr">
        <is>
          <t>UUID</t>
        </is>
      </c>
      <c r="D460" s="11" t="inlineStr">
        <is>
          <t>Ref→Content Package (no FK)</t>
        </is>
      </c>
      <c r="E460" s="11" t="inlineStr">
        <is>
          <t>No</t>
        </is>
      </c>
      <c r="F460" s="11" t="inlineStr">
        <is>
          <t>No</t>
        </is>
      </c>
      <c r="G460" s="11" t="inlineStr">
        <is>
          <t>—</t>
        </is>
      </c>
      <c r="H460" s="11" t="inlineStr">
        <is>
          <t>—</t>
        </is>
      </c>
      <c r="I460" s="11" t="inlineStr">
        <is>
          <t>While the account exists; anonymised 30 days after closure (SRS 4.3).</t>
        </is>
      </c>
      <c r="J460" s="11" t="inlineStr">
        <is>
          <t>learning-service</t>
        </is>
      </c>
      <c r="K460" s="11" t="inlineStr">
        <is>
          <t>Stored id only; no SQL foreign key (cross-service or polymorphic).</t>
        </is>
      </c>
    </row>
    <row r="461" ht="39.6" customHeight="1" s="31">
      <c r="A461" s="11" t="inlineStr">
        <is>
          <t>Course Test Assignment (course_test_assignments)</t>
        </is>
      </c>
      <c r="B461" s="11" t="inlineStr">
        <is>
          <t>package_version_id</t>
        </is>
      </c>
      <c r="C461" s="11" t="inlineStr">
        <is>
          <t>UUID</t>
        </is>
      </c>
      <c r="D461" s="11" t="inlineStr">
        <is>
          <t>Ref→Package Version (no FK)</t>
        </is>
      </c>
      <c r="E461" s="11" t="inlineStr">
        <is>
          <t>No</t>
        </is>
      </c>
      <c r="F461" s="11" t="inlineStr">
        <is>
          <t>No</t>
        </is>
      </c>
      <c r="G461" s="11" t="inlineStr">
        <is>
          <t>—</t>
        </is>
      </c>
      <c r="H461" s="11" t="inlineStr">
        <is>
          <t>—</t>
        </is>
      </c>
      <c r="I461" s="11" t="inlineStr">
        <is>
          <t>While the account exists; anonymised 30 days after closure (SRS 4.3).</t>
        </is>
      </c>
      <c r="J461" s="11" t="inlineStr">
        <is>
          <t>learning-service</t>
        </is>
      </c>
      <c r="K461" s="11" t="inlineStr">
        <is>
          <t>Stored id only; no SQL foreign key (cross-service or polymorphic).</t>
        </is>
      </c>
    </row>
    <row r="462" ht="26.4" customHeight="1" s="31">
      <c r="A462" s="11" t="inlineStr">
        <is>
          <t>Course Test Assignment (course_test_assignments)</t>
        </is>
      </c>
      <c r="B462" s="11" t="inlineStr">
        <is>
          <t>assigned_at</t>
        </is>
      </c>
      <c r="C462" s="11" t="inlineStr">
        <is>
          <t>TIMESTAMPTZ</t>
        </is>
      </c>
      <c r="D462" s="11" t="inlineStr">
        <is>
          <t>—</t>
        </is>
      </c>
      <c r="E462" s="11" t="inlineStr">
        <is>
          <t>No</t>
        </is>
      </c>
      <c r="F462" s="11" t="inlineStr">
        <is>
          <t>No</t>
        </is>
      </c>
      <c r="G462" s="11" t="inlineStr">
        <is>
          <t>clock_timestamp()</t>
        </is>
      </c>
      <c r="H462" s="11" t="inlineStr">
        <is>
          <t>—</t>
        </is>
      </c>
      <c r="I462" s="11" t="inlineStr">
        <is>
          <t>While the account exists; anonymised 30 days after closure (SRS 4.3).</t>
        </is>
      </c>
      <c r="J462" s="11" t="inlineStr">
        <is>
          <t>learning-service</t>
        </is>
      </c>
      <c r="K462" s="11" t="n"/>
    </row>
    <row r="463" ht="26.4" customHeight="1" s="31">
      <c r="A463" s="11" t="inlineStr">
        <is>
          <t>Course Test Assignment (course_test_assignments)</t>
        </is>
      </c>
      <c r="B463" s="11" t="inlineStr">
        <is>
          <t>consumed_attempt_id</t>
        </is>
      </c>
      <c r="C463" s="11" t="inlineStr">
        <is>
          <t>UUID</t>
        </is>
      </c>
      <c r="D463" s="11" t="inlineStr">
        <is>
          <t>Ref→Assessment Attempt (no FK)</t>
        </is>
      </c>
      <c r="E463" s="11" t="inlineStr">
        <is>
          <t>Yes</t>
        </is>
      </c>
      <c r="F463" s="11" t="inlineStr">
        <is>
          <t>No</t>
        </is>
      </c>
      <c r="G463" s="11" t="inlineStr">
        <is>
          <t>NULL</t>
        </is>
      </c>
      <c r="H463" s="11" t="inlineStr">
        <is>
          <t>CHECK ((consumed_attempt_id IS NULL) = (consumed_at IS NULL))</t>
        </is>
      </c>
      <c r="I463" s="11" t="inlineStr">
        <is>
          <t>While the account exists; anonymised 30 days after closure (SRS 4.3).</t>
        </is>
      </c>
      <c r="J463" s="11" t="inlineStr">
        <is>
          <t>learning-service</t>
        </is>
      </c>
      <c r="K463" s="11" t="inlineStr">
        <is>
          <t>Stored id only; no SQL foreign key (cross-service or polymorphic).</t>
        </is>
      </c>
    </row>
    <row r="464" ht="26.4" customHeight="1" s="31">
      <c r="A464" s="11" t="inlineStr">
        <is>
          <t>Course Test Assignment (course_test_assignments)</t>
        </is>
      </c>
      <c r="B464" s="11" t="inlineStr">
        <is>
          <t>consumed_at</t>
        </is>
      </c>
      <c r="C464" s="11" t="inlineStr">
        <is>
          <t>TIMESTAMPTZ</t>
        </is>
      </c>
      <c r="D464" s="11" t="inlineStr">
        <is>
          <t>—</t>
        </is>
      </c>
      <c r="E464" s="11" t="inlineStr">
        <is>
          <t>Yes</t>
        </is>
      </c>
      <c r="F464" s="11" t="inlineStr">
        <is>
          <t>No</t>
        </is>
      </c>
      <c r="G464" s="11" t="inlineStr">
        <is>
          <t>NULL</t>
        </is>
      </c>
      <c r="H464" s="11" t="inlineStr">
        <is>
          <t>CHECK ((consumed_attempt_id IS NULL) = (consumed_at IS NULL))</t>
        </is>
      </c>
      <c r="I464" s="11" t="inlineStr">
        <is>
          <t>While the account exists; anonymised 30 days after closure (SRS 4.3).</t>
        </is>
      </c>
      <c r="J464" s="11" t="inlineStr">
        <is>
          <t>learning-service</t>
        </is>
      </c>
      <c r="K464" s="11" t="n"/>
    </row>
    <row r="465" ht="26.4" customHeight="1" s="31">
      <c r="A465" s="11" t="inlineStr">
        <is>
          <t>Course Test Assignment (course_test_assignments)</t>
        </is>
      </c>
      <c r="B465" s="11" t="inlineStr">
        <is>
          <t>percent</t>
        </is>
      </c>
      <c r="C465" s="11" t="inlineStr">
        <is>
          <t>NUMERIC(5,2)</t>
        </is>
      </c>
      <c r="D465" s="11" t="inlineStr">
        <is>
          <t>—</t>
        </is>
      </c>
      <c r="E465" s="11" t="inlineStr">
        <is>
          <t>Yes</t>
        </is>
      </c>
      <c r="F465" s="11" t="inlineStr">
        <is>
          <t>No</t>
        </is>
      </c>
      <c r="G465" s="11" t="inlineStr">
        <is>
          <t>NULL</t>
        </is>
      </c>
      <c r="H465" s="11" t="inlineStr">
        <is>
          <t>—</t>
        </is>
      </c>
      <c r="I465" s="11" t="inlineStr">
        <is>
          <t>While the account exists; anonymised 30 days after closure (SRS 4.3).</t>
        </is>
      </c>
      <c r="J465" s="11" t="inlineStr">
        <is>
          <t>learning-service</t>
        </is>
      </c>
      <c r="K465" s="11" t="n"/>
    </row>
    <row r="466" ht="26.4" customHeight="1" s="31">
      <c r="A466" s="11" t="inlineStr">
        <is>
          <t>Course Progress (course_progress)</t>
        </is>
      </c>
      <c r="B466" s="11" t="inlineStr">
        <is>
          <t>user_id</t>
        </is>
      </c>
      <c r="C466" s="11" t="inlineStr">
        <is>
          <t>UUID</t>
        </is>
      </c>
      <c r="D466" s="11" t="inlineStr">
        <is>
          <t>PK; Ref→User (no FK)</t>
        </is>
      </c>
      <c r="E466" s="11" t="inlineStr">
        <is>
          <t>No</t>
        </is>
      </c>
      <c r="F466" s="11" t="inlineStr">
        <is>
          <t>Partial (user_id, course_id)</t>
        </is>
      </c>
      <c r="G466" s="11" t="inlineStr">
        <is>
          <t>—</t>
        </is>
      </c>
      <c r="H466" s="11" t="inlineStr">
        <is>
          <t>—</t>
        </is>
      </c>
      <c r="I466" s="11" t="inlineStr">
        <is>
          <t>While the account exists; anonymised 30 days after closure (SRS 4.3).</t>
        </is>
      </c>
      <c r="J466" s="11" t="inlineStr">
        <is>
          <t>learning-service</t>
        </is>
      </c>
      <c r="K466" s="11" t="inlineStr">
        <is>
          <t>The one-way record that a learner passed a course's final test. Table course_progress; owner learning-service; created in V7__course_progress.sql.</t>
        </is>
      </c>
    </row>
    <row r="467" ht="26.4" customHeight="1" s="31">
      <c r="A467" s="11" t="inlineStr">
        <is>
          <t>Course Progress (course_progress)</t>
        </is>
      </c>
      <c r="B467" s="11" t="inlineStr">
        <is>
          <t>course_id</t>
        </is>
      </c>
      <c r="C467" s="11" t="inlineStr">
        <is>
          <t>UUID</t>
        </is>
      </c>
      <c r="D467" s="11" t="inlineStr">
        <is>
          <t>PK; Ref→Course (no FK)</t>
        </is>
      </c>
      <c r="E467" s="11" t="inlineStr">
        <is>
          <t>No</t>
        </is>
      </c>
      <c r="F467" s="11" t="inlineStr">
        <is>
          <t>Partial (user_id, course_id)</t>
        </is>
      </c>
      <c r="G467" s="11" t="inlineStr">
        <is>
          <t>—</t>
        </is>
      </c>
      <c r="H467" s="11" t="inlineStr">
        <is>
          <t>—</t>
        </is>
      </c>
      <c r="I467" s="11" t="inlineStr">
        <is>
          <t>While the account exists; anonymised 30 days after closure (SRS 4.3).</t>
        </is>
      </c>
      <c r="J467" s="11" t="inlineStr">
        <is>
          <t>learning-service</t>
        </is>
      </c>
      <c r="K467" s="11" t="inlineStr">
        <is>
          <t>Stored id only; no SQL foreign key (cross-service or polymorphic).</t>
        </is>
      </c>
    </row>
    <row r="468" ht="26.4" customHeight="1" s="31">
      <c r="A468" s="11" t="inlineStr">
        <is>
          <t>Course Progress (course_progress)</t>
        </is>
      </c>
      <c r="B468" s="11" t="inlineStr">
        <is>
          <t>passed_at</t>
        </is>
      </c>
      <c r="C468" s="11" t="inlineStr">
        <is>
          <t>TIMESTAMPTZ</t>
        </is>
      </c>
      <c r="D468" s="11" t="inlineStr">
        <is>
          <t>—</t>
        </is>
      </c>
      <c r="E468" s="11" t="inlineStr">
        <is>
          <t>No</t>
        </is>
      </c>
      <c r="F468" s="11" t="inlineStr">
        <is>
          <t>No</t>
        </is>
      </c>
      <c r="G468" s="11" t="inlineStr">
        <is>
          <t>—</t>
        </is>
      </c>
      <c r="H468" s="11" t="inlineStr">
        <is>
          <t>—</t>
        </is>
      </c>
      <c r="I468" s="11" t="inlineStr">
        <is>
          <t>While the account exists; anonymised 30 days after closure (SRS 4.3).</t>
        </is>
      </c>
      <c r="J468" s="11" t="inlineStr">
        <is>
          <t>learning-service</t>
        </is>
      </c>
      <c r="K468" s="11" t="inlineStr">
        <is>
          <t>Set once; passing is permanent (BR-37).</t>
        </is>
      </c>
    </row>
    <row r="469" ht="39.6" customHeight="1" s="31">
      <c r="A469" s="11" t="inlineStr">
        <is>
          <t>Learner Placement (learner_placements)</t>
        </is>
      </c>
      <c r="B469" s="11" t="inlineStr">
        <is>
          <t>user_id</t>
        </is>
      </c>
      <c r="C469" s="11" t="inlineStr">
        <is>
          <t>UUID</t>
        </is>
      </c>
      <c r="D469" s="11" t="inlineStr">
        <is>
          <t>PK; Ref→User (no FK)</t>
        </is>
      </c>
      <c r="E469" s="11" t="inlineStr">
        <is>
          <t>No</t>
        </is>
      </c>
      <c r="F469" s="11" t="inlineStr">
        <is>
          <t>Yes</t>
        </is>
      </c>
      <c r="G469" s="11" t="inlineStr">
        <is>
          <t>—</t>
        </is>
      </c>
      <c r="H469" s="11" t="inlineStr">
        <is>
          <t>—</t>
        </is>
      </c>
      <c r="I469" s="11" t="inlineStr">
        <is>
          <t>While the account exists; anonymised 30 days after closure (SRS 4.3).</t>
        </is>
      </c>
      <c r="J469" s="11" t="inlineStr">
        <is>
          <t>learning-service</t>
        </is>
      </c>
      <c r="K469" s="11" t="inlineStr">
        <is>
          <t>A learner's optional one-time placement result and band, used to recommend a course. Table learner_placements; owner learning-service; created in V6__learner_placements.sql.</t>
        </is>
      </c>
    </row>
    <row r="470" ht="26.4" customHeight="1" s="31">
      <c r="A470" s="11" t="inlineStr">
        <is>
          <t>Learner Placement (learner_placements)</t>
        </is>
      </c>
      <c r="B470" s="11" t="inlineStr">
        <is>
          <t>band</t>
        </is>
      </c>
      <c r="C470" s="11" t="inlineStr">
        <is>
          <t>NUMERIC(2,1)</t>
        </is>
      </c>
      <c r="D470" s="11" t="inlineStr">
        <is>
          <t>—</t>
        </is>
      </c>
      <c r="E470" s="11" t="inlineStr">
        <is>
          <t>No</t>
        </is>
      </c>
      <c r="F470" s="11" t="inlineStr">
        <is>
          <t>No</t>
        </is>
      </c>
      <c r="G470" s="11" t="inlineStr">
        <is>
          <t>—</t>
        </is>
      </c>
      <c r="H470" s="11" t="inlineStr">
        <is>
          <t>CHECK (band BETWEEN 0 AND 9 AND band * 2 = trunc(band * 2))</t>
        </is>
      </c>
      <c r="I470" s="11" t="inlineStr">
        <is>
          <t>While the account exists; anonymised 30 days after closure (SRS 4.3).</t>
        </is>
      </c>
      <c r="J470" s="11" t="inlineStr">
        <is>
          <t>learning-service</t>
        </is>
      </c>
      <c r="K470" s="11" t="n"/>
    </row>
    <row r="471" ht="26.4" customHeight="1" s="31">
      <c r="A471" s="11" t="inlineStr">
        <is>
          <t>Learner Placement (learner_placements)</t>
        </is>
      </c>
      <c r="B471" s="11" t="inlineStr">
        <is>
          <t>attempt_id</t>
        </is>
      </c>
      <c r="C471" s="11" t="inlineStr">
        <is>
          <t>UUID</t>
        </is>
      </c>
      <c r="D471" s="11" t="inlineStr">
        <is>
          <t>Ref→Assessment Attempt (no FK)</t>
        </is>
      </c>
      <c r="E471" s="11" t="inlineStr">
        <is>
          <t>No</t>
        </is>
      </c>
      <c r="F471" s="11" t="inlineStr">
        <is>
          <t>No</t>
        </is>
      </c>
      <c r="G471" s="11" t="inlineStr">
        <is>
          <t>—</t>
        </is>
      </c>
      <c r="H471" s="11" t="inlineStr">
        <is>
          <t>—</t>
        </is>
      </c>
      <c r="I471" s="11" t="inlineStr">
        <is>
          <t>While the account exists; anonymised 30 days after closure (SRS 4.3).</t>
        </is>
      </c>
      <c r="J471" s="11" t="inlineStr">
        <is>
          <t>learning-service</t>
        </is>
      </c>
      <c r="K471" s="11" t="inlineStr">
        <is>
          <t>Stored id only; no SQL foreign key (cross-service or polymorphic).</t>
        </is>
      </c>
    </row>
    <row r="472" ht="26.4" customHeight="1" s="31">
      <c r="A472" s="11" t="inlineStr">
        <is>
          <t>Learner Placement (learner_placements)</t>
        </is>
      </c>
      <c r="B472" s="11" t="inlineStr">
        <is>
          <t>completed_at</t>
        </is>
      </c>
      <c r="C472" s="11" t="inlineStr">
        <is>
          <t>TIMESTAMPTZ</t>
        </is>
      </c>
      <c r="D472" s="11" t="inlineStr">
        <is>
          <t>—</t>
        </is>
      </c>
      <c r="E472" s="11" t="inlineStr">
        <is>
          <t>No</t>
        </is>
      </c>
      <c r="F472" s="11" t="inlineStr">
        <is>
          <t>No</t>
        </is>
      </c>
      <c r="G472" s="11" t="inlineStr">
        <is>
          <t>—</t>
        </is>
      </c>
      <c r="H472" s="11" t="inlineStr">
        <is>
          <t>—</t>
        </is>
      </c>
      <c r="I472" s="11" t="inlineStr">
        <is>
          <t>While the account exists; anonymised 30 days after closure (SRS 4.3).</t>
        </is>
      </c>
      <c r="J472" s="11" t="inlineStr">
        <is>
          <t>learning-service</t>
        </is>
      </c>
      <c r="K472" s="11" t="n"/>
    </row>
    <row r="473" ht="26.4" customHeight="1" s="31">
      <c r="A473" s="11" t="inlineStr">
        <is>
          <t>Learner Placement (learner_placements)</t>
        </is>
      </c>
      <c r="B473" s="11" t="inlineStr">
        <is>
          <t>updated_at</t>
        </is>
      </c>
      <c r="C473" s="11" t="inlineStr">
        <is>
          <t>TIMESTAMPTZ</t>
        </is>
      </c>
      <c r="D473" s="11" t="inlineStr">
        <is>
          <t>—</t>
        </is>
      </c>
      <c r="E473" s="11" t="inlineStr">
        <is>
          <t>No</t>
        </is>
      </c>
      <c r="F473" s="11" t="inlineStr">
        <is>
          <t>No</t>
        </is>
      </c>
      <c r="G473" s="11" t="inlineStr">
        <is>
          <t>—</t>
        </is>
      </c>
      <c r="H473" s="11" t="inlineStr">
        <is>
          <t>—</t>
        </is>
      </c>
      <c r="I473" s="11" t="inlineStr">
        <is>
          <t>While the account exists; anonymised 30 days after closure (SRS 4.3).</t>
        </is>
      </c>
      <c r="J473" s="11" t="inlineStr">
        <is>
          <t>learning-service</t>
        </is>
      </c>
      <c r="K473" s="11" t="n"/>
    </row>
    <row r="474" ht="26.4" customHeight="1" s="31">
      <c r="A474" s="11" t="inlineStr">
        <is>
          <t>KP Evidence (kp_evidence)</t>
        </is>
      </c>
      <c r="B474" s="10" t="inlineStr">
        <is>
          <t>id</t>
        </is>
      </c>
      <c r="C474" s="11" t="inlineStr">
        <is>
          <t>UUID</t>
        </is>
      </c>
      <c r="D474" s="11" t="inlineStr">
        <is>
          <t>PK</t>
        </is>
      </c>
      <c r="E474" s="11" t="inlineStr">
        <is>
          <t>No</t>
        </is>
      </c>
      <c r="F474" s="11" t="inlineStr">
        <is>
          <t>Yes</t>
        </is>
      </c>
      <c r="G474" s="11" t="inlineStr">
        <is>
          <t>—</t>
        </is>
      </c>
      <c r="H474" s="11" t="inlineStr">
        <is>
          <t>—</t>
        </is>
      </c>
      <c r="I474" s="11" t="inlineStr">
        <is>
          <t>While the account exists; anonymised 30 days after closure (SRS 4.3).</t>
        </is>
      </c>
      <c r="J474" s="11" t="inlineStr">
        <is>
          <t>learning-service</t>
        </is>
      </c>
      <c r="K474" s="11" t="inlineStr">
        <is>
          <t>Records a user's knowledge-point outcome with its learning or assessment source. Table kp_evidence; owner learning-service; created in V1__learning_schema.sql.</t>
        </is>
      </c>
    </row>
    <row r="475" ht="39.6" customHeight="1" s="31">
      <c r="A475" s="11" t="inlineStr">
        <is>
          <t>KP Evidence (kp_evidence)</t>
        </is>
      </c>
      <c r="B475" s="11" t="inlineStr">
        <is>
          <t>ordinal</t>
        </is>
      </c>
      <c r="C475" s="11" t="inlineStr">
        <is>
          <t>BIGINT</t>
        </is>
      </c>
      <c r="D475" s="11" t="inlineStr">
        <is>
          <t>—</t>
        </is>
      </c>
      <c r="E475" s="11" t="inlineStr">
        <is>
          <t>Yes</t>
        </is>
      </c>
      <c r="F475" s="11" t="inlineStr">
        <is>
          <t>No</t>
        </is>
      </c>
      <c r="G475" s="11" t="inlineStr">
        <is>
          <t>NULL</t>
        </is>
      </c>
      <c r="H475" s="11" t="inlineStr">
        <is>
          <t>—</t>
        </is>
      </c>
      <c r="I475" s="11" t="inlineStr">
        <is>
          <t>While the account exists; anonymised 30 days after closure (SRS 4.3).</t>
        </is>
      </c>
      <c r="J475" s="11" t="inlineStr">
        <is>
          <t>learning-service</t>
        </is>
      </c>
      <c r="K475" s="11" t="n"/>
    </row>
    <row r="476" ht="26.4" customHeight="1" s="31">
      <c r="A476" s="11" t="inlineStr">
        <is>
          <t>KP Evidence (kp_evidence)</t>
        </is>
      </c>
      <c r="B476" s="11" t="inlineStr">
        <is>
          <t>user_id</t>
        </is>
      </c>
      <c r="C476" s="11" t="inlineStr">
        <is>
          <t>UUID</t>
        </is>
      </c>
      <c r="D476" s="11" t="inlineStr">
        <is>
          <t>Ref→User (no FK)</t>
        </is>
      </c>
      <c r="E476" s="11" t="inlineStr">
        <is>
          <t>No</t>
        </is>
      </c>
      <c r="F476" s="11" t="inlineStr">
        <is>
          <t>Composite (user_id, source, source_reference_id)</t>
        </is>
      </c>
      <c r="G476" s="11" t="inlineStr">
        <is>
          <t>—</t>
        </is>
      </c>
      <c r="H476" s="11" t="inlineStr">
        <is>
          <t>—</t>
        </is>
      </c>
      <c r="I476" s="11" t="inlineStr">
        <is>
          <t>While the account exists; anonymised 30 days after closure (SRS 4.3).</t>
        </is>
      </c>
      <c r="J476" s="11" t="inlineStr">
        <is>
          <t>learning-service</t>
        </is>
      </c>
      <c r="K476" s="11" t="inlineStr">
        <is>
          <t>Stored id only; no SQL foreign key (cross-service or polymorphic).</t>
        </is>
      </c>
    </row>
    <row r="477" ht="26.4" customHeight="1" s="31">
      <c r="A477" s="11" t="inlineStr">
        <is>
          <t>KP Evidence (kp_evidence)</t>
        </is>
      </c>
      <c r="B477" s="11" t="inlineStr">
        <is>
          <t>kp_id</t>
        </is>
      </c>
      <c r="C477" s="11" t="inlineStr">
        <is>
          <t>UUID</t>
        </is>
      </c>
      <c r="D477" s="11" t="inlineStr">
        <is>
          <t>Ref→Knowledge Point (no FK)</t>
        </is>
      </c>
      <c r="E477" s="11" t="inlineStr">
        <is>
          <t>No</t>
        </is>
      </c>
      <c r="F477" s="11" t="inlineStr">
        <is>
          <t>No</t>
        </is>
      </c>
      <c r="G477" s="11" t="inlineStr">
        <is>
          <t>—</t>
        </is>
      </c>
      <c r="H477" s="11" t="inlineStr">
        <is>
          <t>—</t>
        </is>
      </c>
      <c r="I477" s="11" t="inlineStr">
        <is>
          <t>While the account exists; anonymised 30 days after closure (SRS 4.3).</t>
        </is>
      </c>
      <c r="J477" s="11" t="inlineStr">
        <is>
          <t>learning-service</t>
        </is>
      </c>
      <c r="K477" s="11" t="inlineStr">
        <is>
          <t>Stored id only; no SQL foreign key (cross-service or polymorphic).</t>
        </is>
      </c>
    </row>
    <row r="478" ht="26.4" customHeight="1" s="31">
      <c r="A478" s="11" t="inlineStr">
        <is>
          <t>KP Evidence (kp_evidence)</t>
        </is>
      </c>
      <c r="B478" s="11" t="inlineStr">
        <is>
          <t>correct</t>
        </is>
      </c>
      <c r="C478" s="11" t="inlineStr">
        <is>
          <t>BOOLEAN</t>
        </is>
      </c>
      <c r="D478" s="11" t="inlineStr">
        <is>
          <t>—</t>
        </is>
      </c>
      <c r="E478" s="11" t="inlineStr">
        <is>
          <t>No</t>
        </is>
      </c>
      <c r="F478" s="11" t="inlineStr">
        <is>
          <t>No</t>
        </is>
      </c>
      <c r="G478" s="11" t="inlineStr">
        <is>
          <t>—</t>
        </is>
      </c>
      <c r="H478" s="11" t="inlineStr">
        <is>
          <t>—</t>
        </is>
      </c>
      <c r="I478" s="11" t="inlineStr">
        <is>
          <t>While the account exists; anonymised 30 days after closure (SRS 4.3).</t>
        </is>
      </c>
      <c r="J478" s="11" t="inlineStr">
        <is>
          <t>learning-service</t>
        </is>
      </c>
      <c r="K478" s="11" t="n"/>
    </row>
    <row r="479" ht="26.4" customHeight="1" s="31">
      <c r="A479" s="11" t="inlineStr">
        <is>
          <t>KP Evidence (kp_evidence)</t>
        </is>
      </c>
      <c r="B479" s="11" t="inlineStr">
        <is>
          <t>source</t>
        </is>
      </c>
      <c r="C479" s="11" t="inlineStr">
        <is>
          <t>VARCHAR(30)</t>
        </is>
      </c>
      <c r="D479" s="11" t="inlineStr">
        <is>
          <t>—</t>
        </is>
      </c>
      <c r="E479" s="11" t="inlineStr">
        <is>
          <t>No</t>
        </is>
      </c>
      <c r="F479" s="11" t="inlineStr">
        <is>
          <t>Composite (user_id, source, source_reference_id)</t>
        </is>
      </c>
      <c r="G479" s="11" t="inlineStr">
        <is>
          <t>—</t>
        </is>
      </c>
      <c r="H479" s="11" t="inlineStr">
        <is>
          <t>CHECK (source IN ('lesson_exercise', 'review_set', 'assessment', 'lesson_writing', 'practice_set'))</t>
        </is>
      </c>
      <c r="I479" s="11" t="inlineStr">
        <is>
          <t>While the account exists; anonymised 30 days after closure (SRS 4.3).</t>
        </is>
      </c>
      <c r="J479" s="11" t="inlineStr">
        <is>
          <t>learning-service</t>
        </is>
      </c>
      <c r="K479" s="11" t="n"/>
    </row>
    <row r="480" ht="26.4" customHeight="1" s="31">
      <c r="A480" s="11" t="inlineStr">
        <is>
          <t>KP Evidence (kp_evidence)</t>
        </is>
      </c>
      <c r="B480" s="11" t="inlineStr">
        <is>
          <t>source_reference_id</t>
        </is>
      </c>
      <c r="C480" s="11" t="inlineStr">
        <is>
          <t>UUID</t>
        </is>
      </c>
      <c r="D480" s="11" t="inlineStr">
        <is>
          <t>—</t>
        </is>
      </c>
      <c r="E480" s="11" t="inlineStr">
        <is>
          <t>No</t>
        </is>
      </c>
      <c r="F480" s="11" t="inlineStr">
        <is>
          <t>Composite (user_id, source, source_reference_id)</t>
        </is>
      </c>
      <c r="G480" s="11" t="inlineStr">
        <is>
          <t>—</t>
        </is>
      </c>
      <c r="H480" s="11" t="inlineStr">
        <is>
          <t>—</t>
        </is>
      </c>
      <c r="I480" s="11" t="inlineStr">
        <is>
          <t>While the account exists; anonymised 30 days after closure (SRS 4.3).</t>
        </is>
      </c>
      <c r="J480" s="11" t="inlineStr">
        <is>
          <t>learning-service</t>
        </is>
      </c>
      <c r="K480" s="11" t="n"/>
    </row>
    <row r="481" ht="26.4" customHeight="1" s="31">
      <c r="A481" s="11" t="inlineStr">
        <is>
          <t>KP Evidence (kp_evidence)</t>
        </is>
      </c>
      <c r="B481" s="11" t="inlineStr">
        <is>
          <t>attempt_id</t>
        </is>
      </c>
      <c r="C481" s="11" t="inlineStr">
        <is>
          <t>UUID</t>
        </is>
      </c>
      <c r="D481" s="11" t="inlineStr">
        <is>
          <t>Ref→Assessment Attempt (no FK)</t>
        </is>
      </c>
      <c r="E481" s="11" t="inlineStr">
        <is>
          <t>Yes</t>
        </is>
      </c>
      <c r="F481" s="11" t="inlineStr">
        <is>
          <t>No</t>
        </is>
      </c>
      <c r="G481" s="11" t="inlineStr">
        <is>
          <t>NULL</t>
        </is>
      </c>
      <c r="H481" s="11" t="inlineStr">
        <is>
          <t>—</t>
        </is>
      </c>
      <c r="I481" s="11" t="inlineStr">
        <is>
          <t>While the account exists; anonymised 30 days after closure (SRS 4.3).</t>
        </is>
      </c>
      <c r="J481" s="11" t="inlineStr">
        <is>
          <t>learning-service</t>
        </is>
      </c>
      <c r="K481" s="11" t="inlineStr">
        <is>
          <t>Stored id only; no SQL foreign key (cross-service or polymorphic).</t>
        </is>
      </c>
    </row>
    <row r="482" ht="39.6" customHeight="1" s="31">
      <c r="A482" s="11" t="inlineStr">
        <is>
          <t>KP Evidence (kp_evidence)</t>
        </is>
      </c>
      <c r="B482" s="11" t="inlineStr">
        <is>
          <t>result_version</t>
        </is>
      </c>
      <c r="C482" s="11" t="inlineStr">
        <is>
          <t>INTEGER</t>
        </is>
      </c>
      <c r="D482" s="11" t="inlineStr">
        <is>
          <t>—</t>
        </is>
      </c>
      <c r="E482" s="11" t="inlineStr">
        <is>
          <t>Yes</t>
        </is>
      </c>
      <c r="F482" s="11" t="inlineStr">
        <is>
          <t>No</t>
        </is>
      </c>
      <c r="G482" s="11" t="inlineStr">
        <is>
          <t>NULL</t>
        </is>
      </c>
      <c r="H482" s="11" t="inlineStr">
        <is>
          <t>—</t>
        </is>
      </c>
      <c r="I482" s="11" t="inlineStr">
        <is>
          <t>While the account exists; anonymised 30 days after closure (SRS 4.3).</t>
        </is>
      </c>
      <c r="J482" s="11" t="inlineStr">
        <is>
          <t>learning-service</t>
        </is>
      </c>
      <c r="K482" s="11" t="n"/>
    </row>
    <row r="483" ht="26.4" customHeight="1" s="31">
      <c r="A483" s="11" t="inlineStr">
        <is>
          <t>KP Evidence (kp_evidence)</t>
        </is>
      </c>
      <c r="B483" s="11" t="inlineStr">
        <is>
          <t>created_at</t>
        </is>
      </c>
      <c r="C483" s="11" t="inlineStr">
        <is>
          <t>TIMESTAMPTZ</t>
        </is>
      </c>
      <c r="D483" s="11" t="inlineStr">
        <is>
          <t>—</t>
        </is>
      </c>
      <c r="E483" s="11" t="inlineStr">
        <is>
          <t>No</t>
        </is>
      </c>
      <c r="F483" s="11" t="inlineStr">
        <is>
          <t>No</t>
        </is>
      </c>
      <c r="G483" s="11" t="inlineStr">
        <is>
          <t>CURRENT_TIMESTAMP</t>
        </is>
      </c>
      <c r="H483" s="11" t="inlineStr">
        <is>
          <t>—</t>
        </is>
      </c>
      <c r="I483" s="11" t="inlineStr">
        <is>
          <t>While the account exists; anonymised 30 days after closure (SRS 4.3).</t>
        </is>
      </c>
      <c r="J483" s="11" t="inlineStr">
        <is>
          <t>learning-service</t>
        </is>
      </c>
      <c r="K483" s="11" t="n"/>
    </row>
    <row r="484" ht="26.4" customHeight="1" s="31">
      <c r="A484" s="13" t="inlineStr">
        <is>
          <t>Assessment Attempt (assessment_attempts)</t>
        </is>
      </c>
      <c r="B484" s="12" t="inlineStr">
        <is>
          <t>id</t>
        </is>
      </c>
      <c r="C484" s="13" t="inlineStr">
        <is>
          <t>UUID</t>
        </is>
      </c>
      <c r="D484" s="13" t="inlineStr">
        <is>
          <t>PK</t>
        </is>
      </c>
      <c r="E484" s="13" t="inlineStr">
        <is>
          <t>No</t>
        </is>
      </c>
      <c r="F484" s="13" t="inlineStr">
        <is>
          <t>Yes</t>
        </is>
      </c>
      <c r="G484" s="13" t="inlineStr">
        <is>
          <t>gen_random_uuid()</t>
        </is>
      </c>
      <c r="H484" s="13" t="inlineStr">
        <is>
          <t>—</t>
        </is>
      </c>
      <c r="I484" s="13" t="inlineStr">
        <is>
          <t>While the account exists; responses and audio references deleted 30 days after closure, scores and results anonymised (SRS 4.3).</t>
        </is>
      </c>
      <c r="J484" s="13" t="inlineStr">
        <is>
          <t>assessment-service</t>
        </is>
      </c>
      <c r="K484" s="13" t="inlineStr">
        <is>
          <t>Records one user's sitting of a content package version. Table assessment_attempts; owner assessment-service; created in V1__create_assessment_tables.sql.</t>
        </is>
      </c>
    </row>
    <row r="485" ht="26.4" customHeight="1" s="31">
      <c r="A485" s="13" t="inlineStr">
        <is>
          <t>Assessment Attempt (assessment_attempts)</t>
        </is>
      </c>
      <c r="B485" s="13" t="inlineStr">
        <is>
          <t>user_id</t>
        </is>
      </c>
      <c r="C485" s="13" t="inlineStr">
        <is>
          <t>UUID</t>
        </is>
      </c>
      <c r="D485" s="13" t="inlineStr">
        <is>
          <t>Ref→User (no FK)</t>
        </is>
      </c>
      <c r="E485" s="13" t="inlineStr">
        <is>
          <t>No</t>
        </is>
      </c>
      <c r="F485" s="13" t="inlineStr">
        <is>
          <t>No</t>
        </is>
      </c>
      <c r="G485" s="13" t="inlineStr">
        <is>
          <t>—</t>
        </is>
      </c>
      <c r="H485" s="13" t="inlineStr">
        <is>
          <t>—</t>
        </is>
      </c>
      <c r="I485" s="13" t="inlineStr">
        <is>
          <t>While the account exists; responses and audio references deleted 30 days after closure, scores and results anonymised (SRS 4.3).</t>
        </is>
      </c>
      <c r="J485" s="13" t="inlineStr">
        <is>
          <t>assessment-service</t>
        </is>
      </c>
      <c r="K485" s="13" t="inlineStr">
        <is>
          <t>Stored id only; no SQL foreign key (cross-service or polymorphic).</t>
        </is>
      </c>
    </row>
    <row r="486" ht="26.4" customHeight="1" s="31">
      <c r="A486" s="13" t="inlineStr">
        <is>
          <t>Assessment Attempt (assessment_attempts)</t>
        </is>
      </c>
      <c r="B486" s="13" t="inlineStr">
        <is>
          <t>package_version_id</t>
        </is>
      </c>
      <c r="C486" s="13" t="inlineStr">
        <is>
          <t>UUID</t>
        </is>
      </c>
      <c r="D486" s="13" t="inlineStr">
        <is>
          <t>Ref→Package Version (no FK)</t>
        </is>
      </c>
      <c r="E486" s="13" t="inlineStr">
        <is>
          <t>No</t>
        </is>
      </c>
      <c r="F486" s="13" t="inlineStr">
        <is>
          <t>No</t>
        </is>
      </c>
      <c r="G486" s="13" t="inlineStr">
        <is>
          <t>—</t>
        </is>
      </c>
      <c r="H486" s="13" t="inlineStr">
        <is>
          <t>—</t>
        </is>
      </c>
      <c r="I486" s="13" t="inlineStr">
        <is>
          <t>While the account exists; responses and audio references deleted 30 days after closure, scores and results anonymised (SRS 4.3).</t>
        </is>
      </c>
      <c r="J486" s="13" t="inlineStr">
        <is>
          <t>assessment-service</t>
        </is>
      </c>
      <c r="K486" s="13" t="inlineStr">
        <is>
          <t>Stored id only; no SQL foreign key (cross-service or polymorphic).</t>
        </is>
      </c>
    </row>
    <row r="487" ht="26.4" customHeight="1" s="31">
      <c r="A487" s="13" t="inlineStr">
        <is>
          <t>Assessment Attempt (assessment_attempts)</t>
        </is>
      </c>
      <c r="B487" s="13" t="inlineStr">
        <is>
          <t>attempt_type</t>
        </is>
      </c>
      <c r="C487" s="13" t="inlineStr">
        <is>
          <t>VARCHAR(40)</t>
        </is>
      </c>
      <c r="D487" s="13" t="inlineStr">
        <is>
          <t>—</t>
        </is>
      </c>
      <c r="E487" s="13" t="inlineStr">
        <is>
          <t>No</t>
        </is>
      </c>
      <c r="F487" s="13" t="inlineStr">
        <is>
          <t>No</t>
        </is>
      </c>
      <c r="G487" s="13" t="inlineStr">
        <is>
          <t>—</t>
        </is>
      </c>
      <c r="H487" s="13" t="inlineStr">
        <is>
          <t>CHECK (attempt_type IN ('PLACEMENT','OFFICIAL_PRACTICE','MOCK','TOPIC_GATE','QUIZ'))</t>
        </is>
      </c>
      <c r="I487" s="13" t="inlineStr">
        <is>
          <t>While the account exists; responses and audio references deleted 30 days after closure, scores and results anonymised (SRS 4.3).</t>
        </is>
      </c>
      <c r="J487" s="13" t="inlineStr">
        <is>
          <t>assessment-service</t>
        </is>
      </c>
      <c r="K487" s="13" t="n"/>
    </row>
    <row r="488" ht="26.4" customHeight="1" s="31">
      <c r="A488" s="13" t="inlineStr">
        <is>
          <t>Assessment Attempt (assessment_attempts)</t>
        </is>
      </c>
      <c r="B488" s="13" t="inlineStr">
        <is>
          <t>mode</t>
        </is>
      </c>
      <c r="C488" s="13" t="inlineStr">
        <is>
          <t>VARCHAR(30)</t>
        </is>
      </c>
      <c r="D488" s="13" t="inlineStr">
        <is>
          <t>—</t>
        </is>
      </c>
      <c r="E488" s="13" t="inlineStr">
        <is>
          <t>No</t>
        </is>
      </c>
      <c r="F488" s="13" t="inlineStr">
        <is>
          <t>No</t>
        </is>
      </c>
      <c r="G488" s="13" t="inlineStr">
        <is>
          <t>—</t>
        </is>
      </c>
      <c r="H488" s="13" t="inlineStr">
        <is>
          <t>CHECK (mode IN ('STANDARD','TIMED'))</t>
        </is>
      </c>
      <c r="I488" s="13" t="inlineStr">
        <is>
          <t>While the account exists; responses and audio references deleted 30 days after closure, scores and results anonymised (SRS 4.3).</t>
        </is>
      </c>
      <c r="J488" s="13" t="inlineStr">
        <is>
          <t>assessment-service</t>
        </is>
      </c>
      <c r="K488" s="13" t="n"/>
    </row>
    <row r="489" ht="26.4" customHeight="1" s="31">
      <c r="A489" s="13" t="inlineStr">
        <is>
          <t>Assessment Attempt (assessment_attempts)</t>
        </is>
      </c>
      <c r="B489" s="13" t="inlineStr">
        <is>
          <t>channel</t>
        </is>
      </c>
      <c r="C489" s="13" t="inlineStr">
        <is>
          <t>VARCHAR(30)</t>
        </is>
      </c>
      <c r="D489" s="13" t="inlineStr">
        <is>
          <t>—</t>
        </is>
      </c>
      <c r="E489" s="13" t="inlineStr">
        <is>
          <t>No</t>
        </is>
      </c>
      <c r="F489" s="13" t="inlineStr">
        <is>
          <t>No</t>
        </is>
      </c>
      <c r="G489" s="13" t="inlineStr">
        <is>
          <t>—</t>
        </is>
      </c>
      <c r="H489" s="13" t="inlineStr">
        <is>
          <t>CHECK (channel IN ('WEB','MOBILE','API'))</t>
        </is>
      </c>
      <c r="I489" s="13" t="inlineStr">
        <is>
          <t>While the account exists; responses and audio references deleted 30 days after closure, scores and results anonymised (SRS 4.3).</t>
        </is>
      </c>
      <c r="J489" s="13" t="inlineStr">
        <is>
          <t>assessment-service</t>
        </is>
      </c>
      <c r="K489" s="13" t="n"/>
    </row>
    <row r="490" ht="52.8" customHeight="1" s="31">
      <c r="A490" s="13" t="inlineStr">
        <is>
          <t>Assessment Attempt (assessment_attempts)</t>
        </is>
      </c>
      <c r="B490" s="13" t="inlineStr">
        <is>
          <t>status</t>
        </is>
      </c>
      <c r="C490" s="13" t="inlineStr">
        <is>
          <t>VARCHAR(30)</t>
        </is>
      </c>
      <c r="D490" s="13" t="inlineStr">
        <is>
          <t>—</t>
        </is>
      </c>
      <c r="E490" s="13" t="inlineStr">
        <is>
          <t>No</t>
        </is>
      </c>
      <c r="F490" s="13" t="inlineStr">
        <is>
          <t>No</t>
        </is>
      </c>
      <c r="G490" s="13" t="inlineStr">
        <is>
          <t>—</t>
        </is>
      </c>
      <c r="H490" s="13" t="inlineStr">
        <is>
          <t>CHECK (status IN ('IN_PROGRESS','SUBMITTED','EXPIRED','CANCELLED'))</t>
        </is>
      </c>
      <c r="I490" s="13" t="inlineStr">
        <is>
          <t>While the account exists; responses and audio references deleted 30 days after closure, scores and results anonymised (SRS 4.3).</t>
        </is>
      </c>
      <c r="J490" s="13" t="inlineStr">
        <is>
          <t>assessment-service</t>
        </is>
      </c>
      <c r="K490" s="13" t="n"/>
    </row>
    <row r="491" ht="26.4" customHeight="1" s="31">
      <c r="A491" s="13" t="inlineStr">
        <is>
          <t>Assessment Attempt (assessment_attempts)</t>
        </is>
      </c>
      <c r="B491" s="13" t="inlineStr">
        <is>
          <t>started_at</t>
        </is>
      </c>
      <c r="C491" s="13" t="inlineStr">
        <is>
          <t>TIMESTAMPTZ</t>
        </is>
      </c>
      <c r="D491" s="13" t="inlineStr">
        <is>
          <t>—</t>
        </is>
      </c>
      <c r="E491" s="13" t="inlineStr">
        <is>
          <t>Yes</t>
        </is>
      </c>
      <c r="F491" s="13" t="inlineStr">
        <is>
          <t>No</t>
        </is>
      </c>
      <c r="G491" s="13" t="inlineStr">
        <is>
          <t>NULL</t>
        </is>
      </c>
      <c r="H491" s="13" t="inlineStr">
        <is>
          <t>—</t>
        </is>
      </c>
      <c r="I491" s="13" t="inlineStr">
        <is>
          <t>While the account exists; responses and audio references deleted 30 days after closure, scores and results anonymised (SRS 4.3).</t>
        </is>
      </c>
      <c r="J491" s="13" t="inlineStr">
        <is>
          <t>assessment-service</t>
        </is>
      </c>
      <c r="K491" s="13" t="n"/>
    </row>
    <row r="492" ht="26.4" customHeight="1" s="31">
      <c r="A492" s="13" t="inlineStr">
        <is>
          <t>Assessment Attempt (assessment_attempts)</t>
        </is>
      </c>
      <c r="B492" s="13" t="inlineStr">
        <is>
          <t>submitted_at</t>
        </is>
      </c>
      <c r="C492" s="13" t="inlineStr">
        <is>
          <t>TIMESTAMPTZ</t>
        </is>
      </c>
      <c r="D492" s="13" t="inlineStr">
        <is>
          <t>—</t>
        </is>
      </c>
      <c r="E492" s="13" t="inlineStr">
        <is>
          <t>Yes</t>
        </is>
      </c>
      <c r="F492" s="13" t="inlineStr">
        <is>
          <t>No</t>
        </is>
      </c>
      <c r="G492" s="13" t="inlineStr">
        <is>
          <t>NULL</t>
        </is>
      </c>
      <c r="H492" s="13" t="inlineStr">
        <is>
          <t>—</t>
        </is>
      </c>
      <c r="I492" s="13" t="inlineStr">
        <is>
          <t>While the account exists; responses and audio references deleted 30 days after closure, scores and results anonymised (SRS 4.3).</t>
        </is>
      </c>
      <c r="J492" s="13" t="inlineStr">
        <is>
          <t>assessment-service</t>
        </is>
      </c>
      <c r="K492" s="13" t="n"/>
    </row>
    <row r="493" ht="26.4" customHeight="1" s="31">
      <c r="A493" s="13" t="inlineStr">
        <is>
          <t>Assessment Attempt (assessment_attempts)</t>
        </is>
      </c>
      <c r="B493" s="13" t="inlineStr">
        <is>
          <t>expires_at</t>
        </is>
      </c>
      <c r="C493" s="13" t="inlineStr">
        <is>
          <t>TIMESTAMPTZ</t>
        </is>
      </c>
      <c r="D493" s="13" t="inlineStr">
        <is>
          <t>—</t>
        </is>
      </c>
      <c r="E493" s="13" t="inlineStr">
        <is>
          <t>Yes</t>
        </is>
      </c>
      <c r="F493" s="13" t="inlineStr">
        <is>
          <t>No</t>
        </is>
      </c>
      <c r="G493" s="13" t="inlineStr">
        <is>
          <t>NULL</t>
        </is>
      </c>
      <c r="H493" s="13" t="inlineStr">
        <is>
          <t>—</t>
        </is>
      </c>
      <c r="I493" s="13" t="inlineStr">
        <is>
          <t>While the account exists; responses and audio references deleted 30 days after closure, scores and results anonymised (SRS 4.3).</t>
        </is>
      </c>
      <c r="J493" s="13" t="inlineStr">
        <is>
          <t>assessment-service</t>
        </is>
      </c>
      <c r="K493" s="13" t="n"/>
    </row>
    <row r="494" ht="26.4" customHeight="1" s="31">
      <c r="A494" s="13" t="inlineStr">
        <is>
          <t>Assessment Attempt (assessment_attempts)</t>
        </is>
      </c>
      <c r="B494" s="13" t="inlineStr">
        <is>
          <t>row_version</t>
        </is>
      </c>
      <c r="C494" s="13" t="inlineStr">
        <is>
          <t>BIGINT</t>
        </is>
      </c>
      <c r="D494" s="13" t="inlineStr">
        <is>
          <t>—</t>
        </is>
      </c>
      <c r="E494" s="13" t="inlineStr">
        <is>
          <t>No</t>
        </is>
      </c>
      <c r="F494" s="13" t="inlineStr">
        <is>
          <t>No</t>
        </is>
      </c>
      <c r="G494" s="13" t="inlineStr">
        <is>
          <t>0</t>
        </is>
      </c>
      <c r="H494" s="13" t="inlineStr">
        <is>
          <t>—</t>
        </is>
      </c>
      <c r="I494" s="13" t="inlineStr">
        <is>
          <t>While the account exists; responses and audio references deleted 30 days after closure, scores and results anonymised (SRS 4.3).</t>
        </is>
      </c>
      <c r="J494" s="13" t="inlineStr">
        <is>
          <t>assessment-service</t>
        </is>
      </c>
      <c r="K494" s="13" t="n"/>
    </row>
    <row r="495" ht="52.8" customHeight="1" s="31">
      <c r="A495" s="13" t="inlineStr">
        <is>
          <t>Assessment Attempt (assessment_attempts)</t>
        </is>
      </c>
      <c r="B495" s="13" t="inlineStr">
        <is>
          <t>created_at</t>
        </is>
      </c>
      <c r="C495" s="13" t="inlineStr">
        <is>
          <t>TIMESTAMPTZ</t>
        </is>
      </c>
      <c r="D495" s="13" t="inlineStr">
        <is>
          <t>—</t>
        </is>
      </c>
      <c r="E495" s="13" t="inlineStr">
        <is>
          <t>No</t>
        </is>
      </c>
      <c r="F495" s="13" t="inlineStr">
        <is>
          <t>No</t>
        </is>
      </c>
      <c r="G495" s="13" t="inlineStr">
        <is>
          <t>CURRENT_TIMESTAMP</t>
        </is>
      </c>
      <c r="H495" s="13" t="inlineStr">
        <is>
          <t>—</t>
        </is>
      </c>
      <c r="I495" s="13" t="inlineStr">
        <is>
          <t>While the account exists; responses and audio references deleted 30 days after closure, scores and results anonymised (SRS 4.3).</t>
        </is>
      </c>
      <c r="J495" s="13" t="inlineStr">
        <is>
          <t>assessment-service</t>
        </is>
      </c>
      <c r="K495" s="13" t="n"/>
    </row>
    <row r="496" ht="26.4" customHeight="1" s="31">
      <c r="A496" s="13" t="inlineStr">
        <is>
          <t>Assessment Attempt (assessment_attempts)</t>
        </is>
      </c>
      <c r="B496" s="13" t="inlineStr">
        <is>
          <t>updated_at</t>
        </is>
      </c>
      <c r="C496" s="13" t="inlineStr">
        <is>
          <t>TIMESTAMPTZ</t>
        </is>
      </c>
      <c r="D496" s="13" t="inlineStr">
        <is>
          <t>—</t>
        </is>
      </c>
      <c r="E496" s="13" t="inlineStr">
        <is>
          <t>No</t>
        </is>
      </c>
      <c r="F496" s="13" t="inlineStr">
        <is>
          <t>No</t>
        </is>
      </c>
      <c r="G496" s="13" t="inlineStr">
        <is>
          <t>CURRENT_TIMESTAMP</t>
        </is>
      </c>
      <c r="H496" s="13" t="inlineStr">
        <is>
          <t>—</t>
        </is>
      </c>
      <c r="I496" s="13" t="inlineStr">
        <is>
          <t>While the account exists; responses and audio references deleted 30 days after closure, scores and results anonymised (SRS 4.3).</t>
        </is>
      </c>
      <c r="J496" s="13" t="inlineStr">
        <is>
          <t>assessment-service</t>
        </is>
      </c>
      <c r="K496" s="13" t="n"/>
    </row>
    <row r="497" ht="26.4" customHeight="1" s="31">
      <c r="A497" s="13" t="inlineStr">
        <is>
          <t>Assessment Attempt (assessment_attempts)</t>
        </is>
      </c>
      <c r="B497" s="13" t="inlineStr">
        <is>
          <t>learning_goal_id</t>
        </is>
      </c>
      <c r="C497" s="13" t="inlineStr">
        <is>
          <t>UUID</t>
        </is>
      </c>
      <c r="D497" s="13" t="inlineStr">
        <is>
          <t>Ref→Learning Goal (no FK)</t>
        </is>
      </c>
      <c r="E497" s="13" t="inlineStr">
        <is>
          <t>Yes</t>
        </is>
      </c>
      <c r="F497" s="13" t="inlineStr">
        <is>
          <t>No</t>
        </is>
      </c>
      <c r="G497" s="13" t="inlineStr">
        <is>
          <t>NULL</t>
        </is>
      </c>
      <c r="H497" s="13" t="inlineStr">
        <is>
          <t>—</t>
        </is>
      </c>
      <c r="I497" s="13" t="inlineStr">
        <is>
          <t>While the account exists; responses and audio references deleted 30 days after closure, scores and results anonymised (SRS 4.3).</t>
        </is>
      </c>
      <c r="J497" s="13" t="inlineStr">
        <is>
          <t>assessment-service</t>
        </is>
      </c>
      <c r="K497" s="13" t="inlineStr">
        <is>
          <t>Stored id only; no SQL foreign key (cross-service or polymorphic).</t>
        </is>
      </c>
    </row>
    <row r="498" ht="26.4" customHeight="1" s="31">
      <c r="A498" s="11" t="inlineStr">
        <is>
          <t>Attempt Section (attempt_sections)</t>
        </is>
      </c>
      <c r="B498" s="10" t="inlineStr">
        <is>
          <t>id</t>
        </is>
      </c>
      <c r="C498" s="11" t="inlineStr">
        <is>
          <t>UUID</t>
        </is>
      </c>
      <c r="D498" s="11" t="inlineStr">
        <is>
          <t>PK</t>
        </is>
      </c>
      <c r="E498" s="11" t="inlineStr">
        <is>
          <t>No</t>
        </is>
      </c>
      <c r="F498" s="11" t="inlineStr">
        <is>
          <t>Yes</t>
        </is>
      </c>
      <c r="G498" s="11" t="inlineStr">
        <is>
          <t>gen_random_uuid()</t>
        </is>
      </c>
      <c r="H498" s="11" t="inlineStr">
        <is>
          <t>—</t>
        </is>
      </c>
      <c r="I498" s="11" t="inlineStr">
        <is>
          <t>While the account exists; responses and audio references deleted 30 days after closure, scores and results anonymised (SRS 4.3).</t>
        </is>
      </c>
      <c r="J498" s="11" t="inlineStr">
        <is>
          <t>assessment-service</t>
        </is>
      </c>
      <c r="K498" s="11" t="inlineStr">
        <is>
          <t>Preserves a content section snapshot within an assessment attempt. Table attempt_sections; owner assessment-service; created in V1__create_assessment_tables.sql.</t>
        </is>
      </c>
    </row>
    <row r="499" ht="66" customHeight="1" s="31">
      <c r="A499" s="11" t="inlineStr">
        <is>
          <t>Attempt Section (attempt_sections)</t>
        </is>
      </c>
      <c r="B499" s="11" t="inlineStr">
        <is>
          <t>attempt_id</t>
        </is>
      </c>
      <c r="C499" s="11" t="inlineStr">
        <is>
          <t>UUID</t>
        </is>
      </c>
      <c r="D499" s="11" t="inlineStr">
        <is>
          <t>FK→Assessment Attempt.id</t>
        </is>
      </c>
      <c r="E499" s="11" t="inlineStr">
        <is>
          <t>No</t>
        </is>
      </c>
      <c r="F499" s="11" t="inlineStr">
        <is>
          <t>Composite (attempt_id, sort_order)</t>
        </is>
      </c>
      <c r="G499" s="11" t="inlineStr">
        <is>
          <t>—</t>
        </is>
      </c>
      <c r="H499" s="11" t="inlineStr">
        <is>
          <t>—</t>
        </is>
      </c>
      <c r="I499" s="11" t="inlineStr">
        <is>
          <t>While the account exists; responses and audio references deleted 30 days after closure, scores and results anonymised (SRS 4.3).</t>
        </is>
      </c>
      <c r="J499" s="11" t="inlineStr">
        <is>
          <t>assessment-service</t>
        </is>
      </c>
      <c r="K499" s="11" t="n"/>
    </row>
    <row r="500" ht="52.8" customHeight="1" s="31">
      <c r="A500" s="11" t="inlineStr">
        <is>
          <t>Attempt Section (attempt_sections)</t>
        </is>
      </c>
      <c r="B500" s="11" t="inlineStr">
        <is>
          <t>content_section_id</t>
        </is>
      </c>
      <c r="C500" s="11" t="inlineStr">
        <is>
          <t>UUID</t>
        </is>
      </c>
      <c r="D500" s="11" t="inlineStr">
        <is>
          <t>Ref→Content Section (no FK)</t>
        </is>
      </c>
      <c r="E500" s="11" t="inlineStr">
        <is>
          <t>No</t>
        </is>
      </c>
      <c r="F500" s="11" t="inlineStr">
        <is>
          <t>No</t>
        </is>
      </c>
      <c r="G500" s="11" t="inlineStr">
        <is>
          <t>—</t>
        </is>
      </c>
      <c r="H500" s="11" t="inlineStr">
        <is>
          <t>—</t>
        </is>
      </c>
      <c r="I500" s="11" t="inlineStr">
        <is>
          <t>While the account exists; responses and audio references deleted 30 days after closure, scores and results anonymised (SRS 4.3).</t>
        </is>
      </c>
      <c r="J500" s="11" t="inlineStr">
        <is>
          <t>assessment-service</t>
        </is>
      </c>
      <c r="K500" s="11" t="inlineStr">
        <is>
          <t>Stored id only; no SQL foreign key (cross-service or polymorphic).</t>
        </is>
      </c>
    </row>
    <row r="501" ht="52.8" customHeight="1" s="31">
      <c r="A501" s="11" t="inlineStr">
        <is>
          <t>Attempt Section (attempt_sections)</t>
        </is>
      </c>
      <c r="B501" s="11" t="inlineStr">
        <is>
          <t>sort_order</t>
        </is>
      </c>
      <c r="C501" s="11" t="inlineStr">
        <is>
          <t>INT</t>
        </is>
      </c>
      <c r="D501" s="11" t="inlineStr">
        <is>
          <t>—</t>
        </is>
      </c>
      <c r="E501" s="11" t="inlineStr">
        <is>
          <t>No</t>
        </is>
      </c>
      <c r="F501" s="11" t="inlineStr">
        <is>
          <t>Composite (attempt_id, sort_order)</t>
        </is>
      </c>
      <c r="G501" s="11" t="inlineStr">
        <is>
          <t>—</t>
        </is>
      </c>
      <c r="H501" s="11" t="inlineStr">
        <is>
          <t>CHECK (sort_order &gt;= 0)</t>
        </is>
      </c>
      <c r="I501" s="11" t="inlineStr">
        <is>
          <t>While the account exists; responses and audio references deleted 30 days after closure, scores and results anonymised (SRS 4.3).</t>
        </is>
      </c>
      <c r="J501" s="11" t="inlineStr">
        <is>
          <t>assessment-service</t>
        </is>
      </c>
      <c r="K501" s="11" t="n"/>
    </row>
    <row r="502" ht="26.4" customHeight="1" s="31">
      <c r="A502" s="11" t="inlineStr">
        <is>
          <t>Attempt Section (attempt_sections)</t>
        </is>
      </c>
      <c r="B502" s="11" t="inlineStr">
        <is>
          <t>section_snapshot</t>
        </is>
      </c>
      <c r="C502" s="11" t="inlineStr">
        <is>
          <t>JSONB</t>
        </is>
      </c>
      <c r="D502" s="11" t="inlineStr">
        <is>
          <t>—</t>
        </is>
      </c>
      <c r="E502" s="11" t="inlineStr">
        <is>
          <t>No</t>
        </is>
      </c>
      <c r="F502" s="11" t="inlineStr">
        <is>
          <t>No</t>
        </is>
      </c>
      <c r="G502" s="11" t="inlineStr">
        <is>
          <t>—</t>
        </is>
      </c>
      <c r="H502" s="11" t="inlineStr">
        <is>
          <t>—</t>
        </is>
      </c>
      <c r="I502" s="11" t="inlineStr">
        <is>
          <t>While the account exists; responses and audio references deleted 30 days after closure, scores and results anonymised (SRS 4.3).</t>
        </is>
      </c>
      <c r="J502" s="11" t="inlineStr">
        <is>
          <t>assessment-service</t>
        </is>
      </c>
      <c r="K502" s="11" t="n"/>
    </row>
    <row r="503" ht="26.4" customHeight="1" s="31">
      <c r="A503" s="11" t="inlineStr">
        <is>
          <t>Attempt Section (attempt_sections)</t>
        </is>
      </c>
      <c r="B503" s="11" t="inlineStr">
        <is>
          <t>started_at</t>
        </is>
      </c>
      <c r="C503" s="11" t="inlineStr">
        <is>
          <t>TIMESTAMPTZ</t>
        </is>
      </c>
      <c r="D503" s="11" t="inlineStr">
        <is>
          <t>—</t>
        </is>
      </c>
      <c r="E503" s="11" t="inlineStr">
        <is>
          <t>Yes</t>
        </is>
      </c>
      <c r="F503" s="11" t="inlineStr">
        <is>
          <t>No</t>
        </is>
      </c>
      <c r="G503" s="11" t="inlineStr">
        <is>
          <t>NULL</t>
        </is>
      </c>
      <c r="H503" s="11" t="inlineStr">
        <is>
          <t>—</t>
        </is>
      </c>
      <c r="I503" s="11" t="inlineStr">
        <is>
          <t>While the account exists; responses and audio references deleted 30 days after closure, scores and results anonymised (SRS 4.3).</t>
        </is>
      </c>
      <c r="J503" s="11" t="inlineStr">
        <is>
          <t>assessment-service</t>
        </is>
      </c>
      <c r="K503" s="11" t="n"/>
    </row>
    <row r="504" ht="26.4" customHeight="1" s="31">
      <c r="A504" s="11" t="inlineStr">
        <is>
          <t>Attempt Section (attempt_sections)</t>
        </is>
      </c>
      <c r="B504" s="11" t="inlineStr">
        <is>
          <t>completed_at</t>
        </is>
      </c>
      <c r="C504" s="11" t="inlineStr">
        <is>
          <t>TIMESTAMPTZ</t>
        </is>
      </c>
      <c r="D504" s="11" t="inlineStr">
        <is>
          <t>—</t>
        </is>
      </c>
      <c r="E504" s="11" t="inlineStr">
        <is>
          <t>Yes</t>
        </is>
      </c>
      <c r="F504" s="11" t="inlineStr">
        <is>
          <t>No</t>
        </is>
      </c>
      <c r="G504" s="11" t="inlineStr">
        <is>
          <t>NULL</t>
        </is>
      </c>
      <c r="H504" s="11" t="inlineStr">
        <is>
          <t>—</t>
        </is>
      </c>
      <c r="I504" s="11" t="inlineStr">
        <is>
          <t>While the account exists; responses and audio references deleted 30 days after closure, scores and results anonymised (SRS 4.3).</t>
        </is>
      </c>
      <c r="J504" s="11" t="inlineStr">
        <is>
          <t>assessment-service</t>
        </is>
      </c>
      <c r="K504" s="11" t="n"/>
    </row>
    <row r="505" ht="52.8" customHeight="1" s="31">
      <c r="A505" s="13" t="inlineStr">
        <is>
          <t>Attempt Item (attempt_items)</t>
        </is>
      </c>
      <c r="B505" s="12" t="inlineStr">
        <is>
          <t>id</t>
        </is>
      </c>
      <c r="C505" s="13" t="inlineStr">
        <is>
          <t>UUID</t>
        </is>
      </c>
      <c r="D505" s="13" t="inlineStr">
        <is>
          <t>PK</t>
        </is>
      </c>
      <c r="E505" s="13" t="inlineStr">
        <is>
          <t>No</t>
        </is>
      </c>
      <c r="F505" s="13" t="inlineStr">
        <is>
          <t>Yes</t>
        </is>
      </c>
      <c r="G505" s="13" t="inlineStr">
        <is>
          <t>gen_random_uuid()</t>
        </is>
      </c>
      <c r="H505" s="13" t="inlineStr">
        <is>
          <t>—</t>
        </is>
      </c>
      <c r="I505" s="13" t="inlineStr">
        <is>
          <t>While the account exists; responses and audio references deleted 30 days after closure, scores and results anonymised (SRS 4.3).</t>
        </is>
      </c>
      <c r="J505" s="13" t="inlineStr">
        <is>
          <t>assessment-service</t>
        </is>
      </c>
      <c r="K505" s="13" t="inlineStr">
        <is>
          <t>Preserves a question version snapshot within an attempt section. Table attempt_items; owner assessment-service; created in V1__create_assessment_tables.sql.</t>
        </is>
      </c>
    </row>
    <row r="506" ht="26.4" customHeight="1" s="31">
      <c r="A506" s="13" t="inlineStr">
        <is>
          <t>Attempt Item (attempt_items)</t>
        </is>
      </c>
      <c r="B506" s="13" t="inlineStr">
        <is>
          <t>attempt_section_id</t>
        </is>
      </c>
      <c r="C506" s="13" t="inlineStr">
        <is>
          <t>UUID</t>
        </is>
      </c>
      <c r="D506" s="13" t="inlineStr">
        <is>
          <t>FK→Attempt Section.id</t>
        </is>
      </c>
      <c r="E506" s="13" t="inlineStr">
        <is>
          <t>No</t>
        </is>
      </c>
      <c r="F506" s="13" t="inlineStr">
        <is>
          <t>Composite (attempt_section_id, sort_order)</t>
        </is>
      </c>
      <c r="G506" s="13" t="inlineStr">
        <is>
          <t>—</t>
        </is>
      </c>
      <c r="H506" s="13" t="inlineStr">
        <is>
          <t>—</t>
        </is>
      </c>
      <c r="I506" s="13" t="inlineStr">
        <is>
          <t>While the account exists; responses and audio references deleted 30 days after closure, scores and results anonymised (SRS 4.3).</t>
        </is>
      </c>
      <c r="J506" s="13" t="inlineStr">
        <is>
          <t>assessment-service</t>
        </is>
      </c>
      <c r="K506" s="13" t="n"/>
    </row>
    <row r="507" ht="26.4" customHeight="1" s="31">
      <c r="A507" s="13" t="inlineStr">
        <is>
          <t>Attempt Item (attempt_items)</t>
        </is>
      </c>
      <c r="B507" s="13" t="inlineStr">
        <is>
          <t>question_version_id</t>
        </is>
      </c>
      <c r="C507" s="13" t="inlineStr">
        <is>
          <t>UUID</t>
        </is>
      </c>
      <c r="D507" s="13" t="inlineStr">
        <is>
          <t>Ref→Question Version (no FK)</t>
        </is>
      </c>
      <c r="E507" s="13" t="inlineStr">
        <is>
          <t>No</t>
        </is>
      </c>
      <c r="F507" s="13" t="inlineStr">
        <is>
          <t>No</t>
        </is>
      </c>
      <c r="G507" s="13" t="inlineStr">
        <is>
          <t>—</t>
        </is>
      </c>
      <c r="H507" s="13" t="inlineStr">
        <is>
          <t>—</t>
        </is>
      </c>
      <c r="I507" s="13" t="inlineStr">
        <is>
          <t>While the account exists; responses and audio references deleted 30 days after closure, scores and results anonymised (SRS 4.3).</t>
        </is>
      </c>
      <c r="J507" s="13" t="inlineStr">
        <is>
          <t>assessment-service</t>
        </is>
      </c>
      <c r="K507" s="13" t="inlineStr">
        <is>
          <t>Stored id only; no SQL foreign key (cross-service or polymorphic).</t>
        </is>
      </c>
    </row>
    <row r="508" ht="26.4" customHeight="1" s="31">
      <c r="A508" s="13" t="inlineStr">
        <is>
          <t>Attempt Item (attempt_items)</t>
        </is>
      </c>
      <c r="B508" s="13" t="inlineStr">
        <is>
          <t>sort_order</t>
        </is>
      </c>
      <c r="C508" s="13" t="inlineStr">
        <is>
          <t>INT</t>
        </is>
      </c>
      <c r="D508" s="13" t="inlineStr">
        <is>
          <t>—</t>
        </is>
      </c>
      <c r="E508" s="13" t="inlineStr">
        <is>
          <t>No</t>
        </is>
      </c>
      <c r="F508" s="13" t="inlineStr">
        <is>
          <t>Composite (attempt_section_id, sort_order)</t>
        </is>
      </c>
      <c r="G508" s="13" t="inlineStr">
        <is>
          <t>—</t>
        </is>
      </c>
      <c r="H508" s="13" t="inlineStr">
        <is>
          <t>CHECK (sort_order &gt;= 0)</t>
        </is>
      </c>
      <c r="I508" s="13" t="inlineStr">
        <is>
          <t>While the account exists; responses and audio references deleted 30 days after closure, scores and results anonymised (SRS 4.3).</t>
        </is>
      </c>
      <c r="J508" s="13" t="inlineStr">
        <is>
          <t>assessment-service</t>
        </is>
      </c>
      <c r="K508" s="13" t="n"/>
    </row>
    <row r="509" ht="52.8" customHeight="1" s="31">
      <c r="A509" s="13" t="inlineStr">
        <is>
          <t>Attempt Item (attempt_items)</t>
        </is>
      </c>
      <c r="B509" s="13" t="inlineStr">
        <is>
          <t>question_snapshot</t>
        </is>
      </c>
      <c r="C509" s="13" t="inlineStr">
        <is>
          <t>JSONB</t>
        </is>
      </c>
      <c r="D509" s="13" t="inlineStr">
        <is>
          <t>—</t>
        </is>
      </c>
      <c r="E509" s="13" t="inlineStr">
        <is>
          <t>No</t>
        </is>
      </c>
      <c r="F509" s="13" t="inlineStr">
        <is>
          <t>No</t>
        </is>
      </c>
      <c r="G509" s="13" t="inlineStr">
        <is>
          <t>—</t>
        </is>
      </c>
      <c r="H509" s="13" t="inlineStr">
        <is>
          <t>—</t>
        </is>
      </c>
      <c r="I509" s="13" t="inlineStr">
        <is>
          <t>While the account exists; responses and audio references deleted 30 days after closure, scores and results anonymised (SRS 4.3).</t>
        </is>
      </c>
      <c r="J509" s="13" t="inlineStr">
        <is>
          <t>assessment-service</t>
        </is>
      </c>
      <c r="K509" s="13" t="n"/>
    </row>
    <row r="510" ht="39.6" customHeight="1" s="31">
      <c r="A510" s="13" t="inlineStr">
        <is>
          <t>Attempt Item (attempt_items)</t>
        </is>
      </c>
      <c r="B510" s="13" t="inlineStr">
        <is>
          <t>answer_snapshot</t>
        </is>
      </c>
      <c r="C510" s="13" t="inlineStr">
        <is>
          <t>JSONB</t>
        </is>
      </c>
      <c r="D510" s="13" t="inlineStr">
        <is>
          <t>—</t>
        </is>
      </c>
      <c r="E510" s="13" t="inlineStr">
        <is>
          <t>Yes</t>
        </is>
      </c>
      <c r="F510" s="13" t="inlineStr">
        <is>
          <t>No</t>
        </is>
      </c>
      <c r="G510" s="13" t="inlineStr">
        <is>
          <t>NULL</t>
        </is>
      </c>
      <c r="H510" s="13" t="inlineStr">
        <is>
          <t>—</t>
        </is>
      </c>
      <c r="I510" s="13" t="inlineStr">
        <is>
          <t>While the account exists; responses and audio references deleted 30 days after closure, scores and results anonymised (SRS 4.3).</t>
        </is>
      </c>
      <c r="J510" s="13" t="inlineStr">
        <is>
          <t>assessment-service</t>
        </is>
      </c>
      <c r="K510" s="13" t="n"/>
    </row>
    <row r="511" ht="66" customHeight="1" s="31">
      <c r="A511" s="13" t="inlineStr">
        <is>
          <t>Attempt Item (attempt_items)</t>
        </is>
      </c>
      <c r="B511" s="13" t="inlineStr">
        <is>
          <t>knowledge_snapshot</t>
        </is>
      </c>
      <c r="C511" s="13" t="inlineStr">
        <is>
          <t>JSONB</t>
        </is>
      </c>
      <c r="D511" s="13" t="inlineStr">
        <is>
          <t>—</t>
        </is>
      </c>
      <c r="E511" s="13" t="inlineStr">
        <is>
          <t>Yes</t>
        </is>
      </c>
      <c r="F511" s="13" t="inlineStr">
        <is>
          <t>No</t>
        </is>
      </c>
      <c r="G511" s="13" t="inlineStr">
        <is>
          <t>NULL</t>
        </is>
      </c>
      <c r="H511" s="13" t="inlineStr">
        <is>
          <t>—</t>
        </is>
      </c>
      <c r="I511" s="13" t="inlineStr">
        <is>
          <t>While the account exists; responses and audio references deleted 30 days after closure, scores and results anonymised (SRS 4.3).</t>
        </is>
      </c>
      <c r="J511" s="13" t="inlineStr">
        <is>
          <t>assessment-service</t>
        </is>
      </c>
      <c r="K511" s="13" t="n"/>
    </row>
    <row r="512" ht="26.4" customHeight="1" s="31">
      <c r="A512" s="11" t="inlineStr">
        <is>
          <t>Attempt Response (attempt_responses)</t>
        </is>
      </c>
      <c r="B512" s="10" t="inlineStr">
        <is>
          <t>id</t>
        </is>
      </c>
      <c r="C512" s="11" t="inlineStr">
        <is>
          <t>UUID</t>
        </is>
      </c>
      <c r="D512" s="11" t="inlineStr">
        <is>
          <t>PK</t>
        </is>
      </c>
      <c r="E512" s="11" t="inlineStr">
        <is>
          <t>No</t>
        </is>
      </c>
      <c r="F512" s="11" t="inlineStr">
        <is>
          <t>Yes</t>
        </is>
      </c>
      <c r="G512" s="11" t="inlineStr">
        <is>
          <t>gen_random_uuid()</t>
        </is>
      </c>
      <c r="H512" s="11" t="inlineStr">
        <is>
          <t>—</t>
        </is>
      </c>
      <c r="I512" s="11" t="inlineStr">
        <is>
          <t>While the account exists; responses and audio references deleted 30 days after closure, scores and results anonymised (SRS 4.3).</t>
        </is>
      </c>
      <c r="J512" s="11" t="inlineStr">
        <is>
          <t>assessment-service</t>
        </is>
      </c>
      <c r="K512" s="11" t="inlineStr">
        <is>
          <t>Stores the current response for an attempt item. Table attempt_responses; owner assessment-service; created in V1__create_assessment_tables.sql.</t>
        </is>
      </c>
    </row>
    <row r="513" ht="26.4" customHeight="1" s="31">
      <c r="A513" s="11" t="inlineStr">
        <is>
          <t>Attempt Response (attempt_responses)</t>
        </is>
      </c>
      <c r="B513" s="11" t="inlineStr">
        <is>
          <t>attempt_item_id</t>
        </is>
      </c>
      <c r="C513" s="11" t="inlineStr">
        <is>
          <t>UUID</t>
        </is>
      </c>
      <c r="D513" s="11" t="inlineStr">
        <is>
          <t>FK→Attempt Item.id</t>
        </is>
      </c>
      <c r="E513" s="11" t="inlineStr">
        <is>
          <t>No</t>
        </is>
      </c>
      <c r="F513" s="11" t="inlineStr">
        <is>
          <t>Yes</t>
        </is>
      </c>
      <c r="G513" s="11" t="inlineStr">
        <is>
          <t>—</t>
        </is>
      </c>
      <c r="H513" s="11" t="inlineStr">
        <is>
          <t>—</t>
        </is>
      </c>
      <c r="I513" s="11" t="inlineStr">
        <is>
          <t>While the account exists; responses and audio references deleted 30 days after closure, scores and results anonymised (SRS 4.3).</t>
        </is>
      </c>
      <c r="J513" s="11" t="inlineStr">
        <is>
          <t>assessment-service</t>
        </is>
      </c>
      <c r="K513" s="11" t="n"/>
    </row>
    <row r="514" ht="26.4" customHeight="1" s="31">
      <c r="A514" s="11" t="inlineStr">
        <is>
          <t>Attempt Response (attempt_responses)</t>
        </is>
      </c>
      <c r="B514" s="11" t="inlineStr">
        <is>
          <t>response_payload</t>
        </is>
      </c>
      <c r="C514" s="11" t="inlineStr">
        <is>
          <t>JSONB</t>
        </is>
      </c>
      <c r="D514" s="11" t="inlineStr">
        <is>
          <t>—</t>
        </is>
      </c>
      <c r="E514" s="11" t="inlineStr">
        <is>
          <t>No</t>
        </is>
      </c>
      <c r="F514" s="11" t="inlineStr">
        <is>
          <t>No</t>
        </is>
      </c>
      <c r="G514" s="11" t="inlineStr">
        <is>
          <t>—</t>
        </is>
      </c>
      <c r="H514" s="11" t="inlineStr">
        <is>
          <t>—</t>
        </is>
      </c>
      <c r="I514" s="11" t="inlineStr">
        <is>
          <t>While the account exists; responses and audio references deleted 30 days after closure, scores and results anonymised (SRS 4.3).</t>
        </is>
      </c>
      <c r="J514" s="11" t="inlineStr">
        <is>
          <t>assessment-service</t>
        </is>
      </c>
      <c r="K514" s="11" t="n"/>
    </row>
    <row r="515" ht="26.4" customHeight="1" s="31">
      <c r="A515" s="11" t="inlineStr">
        <is>
          <t>Attempt Response (attempt_responses)</t>
        </is>
      </c>
      <c r="B515" s="11" t="inlineStr">
        <is>
          <t>schema_version</t>
        </is>
      </c>
      <c r="C515" s="11" t="inlineStr">
        <is>
          <t>INT</t>
        </is>
      </c>
      <c r="D515" s="11" t="inlineStr">
        <is>
          <t>—</t>
        </is>
      </c>
      <c r="E515" s="11" t="inlineStr">
        <is>
          <t>No</t>
        </is>
      </c>
      <c r="F515" s="11" t="inlineStr">
        <is>
          <t>No</t>
        </is>
      </c>
      <c r="G515" s="11" t="inlineStr">
        <is>
          <t>1</t>
        </is>
      </c>
      <c r="H515" s="11" t="inlineStr">
        <is>
          <t>CHECK (schema_version &gt; 0)</t>
        </is>
      </c>
      <c r="I515" s="11" t="inlineStr">
        <is>
          <t>While the account exists; responses and audio references deleted 30 days after closure, scores and results anonymised (SRS 4.3).</t>
        </is>
      </c>
      <c r="J515" s="11" t="inlineStr">
        <is>
          <t>assessment-service</t>
        </is>
      </c>
      <c r="K515" s="11" t="n"/>
    </row>
    <row r="516" ht="26.4" customHeight="1" s="31">
      <c r="A516" s="11" t="inlineStr">
        <is>
          <t>Attempt Response (attempt_responses)</t>
        </is>
      </c>
      <c r="B516" s="11" t="inlineStr">
        <is>
          <t>revision</t>
        </is>
      </c>
      <c r="C516" s="11" t="inlineStr">
        <is>
          <t>BIGINT</t>
        </is>
      </c>
      <c r="D516" s="11" t="inlineStr">
        <is>
          <t>—</t>
        </is>
      </c>
      <c r="E516" s="11" t="inlineStr">
        <is>
          <t>No</t>
        </is>
      </c>
      <c r="F516" s="11" t="inlineStr">
        <is>
          <t>No</t>
        </is>
      </c>
      <c r="G516" s="11" t="inlineStr">
        <is>
          <t>0</t>
        </is>
      </c>
      <c r="H516" s="11" t="inlineStr">
        <is>
          <t>CHECK (revision &gt;= 0)</t>
        </is>
      </c>
      <c r="I516" s="11" t="inlineStr">
        <is>
          <t>While the account exists; responses and audio references deleted 30 days after closure, scores and results anonymised (SRS 4.3).</t>
        </is>
      </c>
      <c r="J516" s="11" t="inlineStr">
        <is>
          <t>assessment-service</t>
        </is>
      </c>
      <c r="K516" s="11" t="n"/>
    </row>
    <row r="517" ht="39.6" customHeight="1" s="31">
      <c r="A517" s="11" t="inlineStr">
        <is>
          <t>Attempt Response (attempt_responses)</t>
        </is>
      </c>
      <c r="B517" s="11" t="inlineStr">
        <is>
          <t>saved_at</t>
        </is>
      </c>
      <c r="C517" s="11" t="inlineStr">
        <is>
          <t>TIMESTAMPTZ</t>
        </is>
      </c>
      <c r="D517" s="11" t="inlineStr">
        <is>
          <t>—</t>
        </is>
      </c>
      <c r="E517" s="11" t="inlineStr">
        <is>
          <t>No</t>
        </is>
      </c>
      <c r="F517" s="11" t="inlineStr">
        <is>
          <t>No</t>
        </is>
      </c>
      <c r="G517" s="11" t="inlineStr">
        <is>
          <t>CURRENT_TIMESTAMP</t>
        </is>
      </c>
      <c r="H517" s="11" t="inlineStr">
        <is>
          <t>—</t>
        </is>
      </c>
      <c r="I517" s="11" t="inlineStr">
        <is>
          <t>While the account exists; responses and audio references deleted 30 days after closure, scores and results anonymised (SRS 4.3).</t>
        </is>
      </c>
      <c r="J517" s="11" t="inlineStr">
        <is>
          <t>assessment-service</t>
        </is>
      </c>
      <c r="K517" s="11" t="n"/>
    </row>
    <row r="518" ht="26.4" customHeight="1" s="31">
      <c r="A518" s="11" t="inlineStr">
        <is>
          <t>Attempt Response (attempt_responses)</t>
        </is>
      </c>
      <c r="B518" s="11" t="inlineStr">
        <is>
          <t>submitted_at</t>
        </is>
      </c>
      <c r="C518" s="11" t="inlineStr">
        <is>
          <t>TIMESTAMPTZ</t>
        </is>
      </c>
      <c r="D518" s="11" t="inlineStr">
        <is>
          <t>—</t>
        </is>
      </c>
      <c r="E518" s="11" t="inlineStr">
        <is>
          <t>Yes</t>
        </is>
      </c>
      <c r="F518" s="11" t="inlineStr">
        <is>
          <t>No</t>
        </is>
      </c>
      <c r="G518" s="11" t="inlineStr">
        <is>
          <t>NULL</t>
        </is>
      </c>
      <c r="H518" s="11" t="inlineStr">
        <is>
          <t>—</t>
        </is>
      </c>
      <c r="I518" s="11" t="inlineStr">
        <is>
          <t>While the account exists; responses and audio references deleted 30 days after closure, scores and results anonymised (SRS 4.3).</t>
        </is>
      </c>
      <c r="J518" s="11" t="inlineStr">
        <is>
          <t>assessment-service</t>
        </is>
      </c>
      <c r="K518" s="11" t="n"/>
    </row>
    <row r="519" ht="26.4" customHeight="1" s="31">
      <c r="A519" s="11" t="inlineStr">
        <is>
          <t>Attempt Response (attempt_responses)</t>
        </is>
      </c>
      <c r="B519" s="11" t="inlineStr">
        <is>
          <t>lock_version</t>
        </is>
      </c>
      <c r="C519" s="11" t="inlineStr">
        <is>
          <t>BIGINT</t>
        </is>
      </c>
      <c r="D519" s="11" t="inlineStr">
        <is>
          <t>—</t>
        </is>
      </c>
      <c r="E519" s="11" t="inlineStr">
        <is>
          <t>No</t>
        </is>
      </c>
      <c r="F519" s="11" t="inlineStr">
        <is>
          <t>No</t>
        </is>
      </c>
      <c r="G519" s="11" t="inlineStr">
        <is>
          <t>0</t>
        </is>
      </c>
      <c r="H519" s="11" t="inlineStr">
        <is>
          <t>—</t>
        </is>
      </c>
      <c r="I519" s="11" t="inlineStr">
        <is>
          <t>While the account exists; responses and audio references deleted 30 days after closure, scores and results anonymised (SRS 4.3).</t>
        </is>
      </c>
      <c r="J519" s="11" t="inlineStr">
        <is>
          <t>assessment-service</t>
        </is>
      </c>
      <c r="K519" s="11" t="n"/>
    </row>
    <row r="520" ht="26.4" customHeight="1" s="31">
      <c r="A520" s="13" t="inlineStr">
        <is>
          <t>Assessment Result (assessment_results)</t>
        </is>
      </c>
      <c r="B520" s="12" t="inlineStr">
        <is>
          <t>id</t>
        </is>
      </c>
      <c r="C520" s="13" t="inlineStr">
        <is>
          <t>UUID</t>
        </is>
      </c>
      <c r="D520" s="13" t="inlineStr">
        <is>
          <t>PK</t>
        </is>
      </c>
      <c r="E520" s="13" t="inlineStr">
        <is>
          <t>No</t>
        </is>
      </c>
      <c r="F520" s="13" t="inlineStr">
        <is>
          <t>Yes</t>
        </is>
      </c>
      <c r="G520" s="13" t="inlineStr">
        <is>
          <t>gen_random_uuid()</t>
        </is>
      </c>
      <c r="H520" s="13" t="inlineStr">
        <is>
          <t>—</t>
        </is>
      </c>
      <c r="I520" s="13" t="inlineStr">
        <is>
          <t>While the account exists; responses and audio references deleted 30 days after closure, scores and results anonymised (SRS 4.3).</t>
        </is>
      </c>
      <c r="J520" s="13" t="inlineStr">
        <is>
          <t>assessment-service</t>
        </is>
      </c>
      <c r="K520" s="13" t="inlineStr">
        <is>
          <t>Represents a numbered result version for an assessment attempt. Table assessment_results; owner assessment-service; created in V1__create_assessment_tables.sql.</t>
        </is>
      </c>
    </row>
    <row r="521" ht="26.4" customHeight="1" s="31">
      <c r="A521" s="13" t="inlineStr">
        <is>
          <t>Assessment Result (assessment_results)</t>
        </is>
      </c>
      <c r="B521" s="13" t="inlineStr">
        <is>
          <t>attempt_id</t>
        </is>
      </c>
      <c r="C521" s="13" t="inlineStr">
        <is>
          <t>UUID</t>
        </is>
      </c>
      <c r="D521" s="13" t="inlineStr">
        <is>
          <t>FK→Assessment Attempt.id</t>
        </is>
      </c>
      <c r="E521" s="13" t="inlineStr">
        <is>
          <t>No</t>
        </is>
      </c>
      <c r="F521" s="13" t="inlineStr">
        <is>
          <t>Composite (attempt_id, result_version)</t>
        </is>
      </c>
      <c r="G521" s="13" t="inlineStr">
        <is>
          <t>—</t>
        </is>
      </c>
      <c r="H521" s="13" t="inlineStr">
        <is>
          <t>—</t>
        </is>
      </c>
      <c r="I521" s="13" t="inlineStr">
        <is>
          <t>While the account exists; responses and audio references deleted 30 days after closure, scores and results anonymised (SRS 4.3).</t>
        </is>
      </c>
      <c r="J521" s="13" t="inlineStr">
        <is>
          <t>assessment-service</t>
        </is>
      </c>
      <c r="K521" s="13" t="n"/>
    </row>
    <row r="522" ht="26.4" customHeight="1" s="31">
      <c r="A522" s="13" t="inlineStr">
        <is>
          <t>Assessment Result (assessment_results)</t>
        </is>
      </c>
      <c r="B522" s="13" t="inlineStr">
        <is>
          <t>result_version</t>
        </is>
      </c>
      <c r="C522" s="13" t="inlineStr">
        <is>
          <t>INT</t>
        </is>
      </c>
      <c r="D522" s="13" t="inlineStr">
        <is>
          <t>—</t>
        </is>
      </c>
      <c r="E522" s="13" t="inlineStr">
        <is>
          <t>No</t>
        </is>
      </c>
      <c r="F522" s="13" t="inlineStr">
        <is>
          <t>Composite (attempt_id, result_version)</t>
        </is>
      </c>
      <c r="G522" s="13" t="inlineStr">
        <is>
          <t>—</t>
        </is>
      </c>
      <c r="H522" s="13" t="inlineStr">
        <is>
          <t>CHECK (result_version &gt; 0)</t>
        </is>
      </c>
      <c r="I522" s="13" t="inlineStr">
        <is>
          <t>While the account exists; responses and audio references deleted 30 days after closure, scores and results anonymised (SRS 4.3).</t>
        </is>
      </c>
      <c r="J522" s="13" t="inlineStr">
        <is>
          <t>assessment-service</t>
        </is>
      </c>
      <c r="K522" s="13" t="n"/>
    </row>
    <row r="523" ht="26.4" customHeight="1" s="31">
      <c r="A523" s="13" t="inlineStr">
        <is>
          <t>Assessment Result (assessment_results)</t>
        </is>
      </c>
      <c r="B523" s="13" t="inlineStr">
        <is>
          <t>status</t>
        </is>
      </c>
      <c r="C523" s="13" t="inlineStr">
        <is>
          <t>VARCHAR(30)</t>
        </is>
      </c>
      <c r="D523" s="13" t="inlineStr">
        <is>
          <t>—</t>
        </is>
      </c>
      <c r="E523" s="13" t="inlineStr">
        <is>
          <t>No</t>
        </is>
      </c>
      <c r="F523" s="13" t="inlineStr">
        <is>
          <t>No</t>
        </is>
      </c>
      <c r="G523" s="13" t="inlineStr">
        <is>
          <t>—</t>
        </is>
      </c>
      <c r="H523" s="13" t="inlineStr">
        <is>
          <t>CHECK (status IN ('DRAFT','PROCESSING','COMPLETED','FAILED'))</t>
        </is>
      </c>
      <c r="I523" s="13" t="inlineStr">
        <is>
          <t>While the account exists; responses and audio references deleted 30 days after closure, scores and results anonymised (SRS 4.3).</t>
        </is>
      </c>
      <c r="J523" s="13" t="inlineStr">
        <is>
          <t>assessment-service</t>
        </is>
      </c>
      <c r="K523" s="13" t="n"/>
    </row>
    <row r="524" ht="26.4" customHeight="1" s="31">
      <c r="A524" s="13" t="inlineStr">
        <is>
          <t>Assessment Result (assessment_results)</t>
        </is>
      </c>
      <c r="B524" s="13" t="inlineStr">
        <is>
          <t>overall_band</t>
        </is>
      </c>
      <c r="C524" s="13" t="inlineStr">
        <is>
          <t>NUMERIC(3,1)</t>
        </is>
      </c>
      <c r="D524" s="13" t="inlineStr">
        <is>
          <t>—</t>
        </is>
      </c>
      <c r="E524" s="13" t="inlineStr">
        <is>
          <t>Yes</t>
        </is>
      </c>
      <c r="F524" s="13" t="inlineStr">
        <is>
          <t>No</t>
        </is>
      </c>
      <c r="G524" s="13" t="inlineStr">
        <is>
          <t>NULL</t>
        </is>
      </c>
      <c r="H524" s="13" t="inlineStr">
        <is>
          <t>CHECK (overall_band &gt;= 0)</t>
        </is>
      </c>
      <c r="I524" s="13" t="inlineStr">
        <is>
          <t>While the account exists; responses and audio references deleted 30 days after closure, scores and results anonymised (SRS 4.3).</t>
        </is>
      </c>
      <c r="J524" s="13" t="inlineStr">
        <is>
          <t>assessment-service</t>
        </is>
      </c>
      <c r="K524" s="13" t="n"/>
    </row>
    <row r="525" ht="39.6" customHeight="1" s="31">
      <c r="A525" s="13" t="inlineStr">
        <is>
          <t>Assessment Result (assessment_results)</t>
        </is>
      </c>
      <c r="B525" s="13" t="inlineStr">
        <is>
          <t>completed_at</t>
        </is>
      </c>
      <c r="C525" s="13" t="inlineStr">
        <is>
          <t>TIMESTAMPTZ</t>
        </is>
      </c>
      <c r="D525" s="13" t="inlineStr">
        <is>
          <t>—</t>
        </is>
      </c>
      <c r="E525" s="13" t="inlineStr">
        <is>
          <t>Yes</t>
        </is>
      </c>
      <c r="F525" s="13" t="inlineStr">
        <is>
          <t>No</t>
        </is>
      </c>
      <c r="G525" s="13" t="inlineStr">
        <is>
          <t>NULL</t>
        </is>
      </c>
      <c r="H525" s="13" t="inlineStr">
        <is>
          <t>—</t>
        </is>
      </c>
      <c r="I525" s="13" t="inlineStr">
        <is>
          <t>While the account exists; responses and audio references deleted 30 days after closure, scores and results anonymised (SRS 4.3).</t>
        </is>
      </c>
      <c r="J525" s="13" t="inlineStr">
        <is>
          <t>assessment-service</t>
        </is>
      </c>
      <c r="K525" s="13" t="n"/>
    </row>
    <row r="526" ht="26.4" customHeight="1" s="31">
      <c r="A526" s="11" t="inlineStr">
        <is>
          <t>Skill Score (skill_scores)</t>
        </is>
      </c>
      <c r="B526" s="10" t="inlineStr">
        <is>
          <t>id</t>
        </is>
      </c>
      <c r="C526" s="11" t="inlineStr">
        <is>
          <t>UUID</t>
        </is>
      </c>
      <c r="D526" s="11" t="inlineStr">
        <is>
          <t>PK</t>
        </is>
      </c>
      <c r="E526" s="11" t="inlineStr">
        <is>
          <t>No</t>
        </is>
      </c>
      <c r="F526" s="11" t="inlineStr">
        <is>
          <t>Yes</t>
        </is>
      </c>
      <c r="G526" s="11" t="inlineStr">
        <is>
          <t>gen_random_uuid()</t>
        </is>
      </c>
      <c r="H526" s="11" t="inlineStr">
        <is>
          <t>—</t>
        </is>
      </c>
      <c r="I526" s="11" t="inlineStr">
        <is>
          <t>While the account exists; responses and audio references deleted 30 days after closure, scores and results anonymised (SRS 4.3).</t>
        </is>
      </c>
      <c r="J526" s="11" t="inlineStr">
        <is>
          <t>assessment-service</t>
        </is>
      </c>
      <c r="K526" s="11" t="inlineStr">
        <is>
          <t>Records a skill score and grading source within an assessment result. Table skill_scores; owner assessment-service; created in V1__create_assessment_tables.sql.</t>
        </is>
      </c>
    </row>
    <row r="527" ht="26.4" customHeight="1" s="31">
      <c r="A527" s="11" t="inlineStr">
        <is>
          <t>Skill Score (skill_scores)</t>
        </is>
      </c>
      <c r="B527" s="11" t="inlineStr">
        <is>
          <t>result_id</t>
        </is>
      </c>
      <c r="C527" s="11" t="inlineStr">
        <is>
          <t>UUID</t>
        </is>
      </c>
      <c r="D527" s="11" t="inlineStr">
        <is>
          <t>FK→Assessment Result.id</t>
        </is>
      </c>
      <c r="E527" s="11" t="inlineStr">
        <is>
          <t>No</t>
        </is>
      </c>
      <c r="F527" s="11" t="inlineStr">
        <is>
          <t>Composite (result_id, skill)</t>
        </is>
      </c>
      <c r="G527" s="11" t="inlineStr">
        <is>
          <t>—</t>
        </is>
      </c>
      <c r="H527" s="11" t="inlineStr">
        <is>
          <t>—</t>
        </is>
      </c>
      <c r="I527" s="11" t="inlineStr">
        <is>
          <t>While the account exists; responses and audio references deleted 30 days after closure, scores and results anonymised (SRS 4.3).</t>
        </is>
      </c>
      <c r="J527" s="11" t="inlineStr">
        <is>
          <t>assessment-service</t>
        </is>
      </c>
      <c r="K527" s="11" t="n"/>
    </row>
    <row r="528" ht="26.4" customHeight="1" s="31">
      <c r="A528" s="11" t="inlineStr">
        <is>
          <t>Skill Score (skill_scores)</t>
        </is>
      </c>
      <c r="B528" s="11" t="inlineStr">
        <is>
          <t>skill</t>
        </is>
      </c>
      <c r="C528" s="11" t="inlineStr">
        <is>
          <t>VARCHAR(20)</t>
        </is>
      </c>
      <c r="D528" s="11" t="inlineStr">
        <is>
          <t>—</t>
        </is>
      </c>
      <c r="E528" s="11" t="inlineStr">
        <is>
          <t>No</t>
        </is>
      </c>
      <c r="F528" s="11" t="inlineStr">
        <is>
          <t>Composite (result_id, skill)</t>
        </is>
      </c>
      <c r="G528" s="11" t="inlineStr">
        <is>
          <t>—</t>
        </is>
      </c>
      <c r="H528" s="11" t="inlineStr">
        <is>
          <t>CHECK (skill IN ('LISTENING','READING','WRITING','SPEAKING'))</t>
        </is>
      </c>
      <c r="I528" s="11" t="inlineStr">
        <is>
          <t>While the account exists; responses and audio references deleted 30 days after closure, scores and results anonymised (SRS 4.3).</t>
        </is>
      </c>
      <c r="J528" s="11" t="inlineStr">
        <is>
          <t>assessment-service</t>
        </is>
      </c>
      <c r="K528" s="11" t="n"/>
    </row>
    <row r="529" ht="26.4" customHeight="1" s="31">
      <c r="A529" s="11" t="inlineStr">
        <is>
          <t>Skill Score (skill_scores)</t>
        </is>
      </c>
      <c r="B529" s="11" t="inlineStr">
        <is>
          <t>raw_score</t>
        </is>
      </c>
      <c r="C529" s="11" t="inlineStr">
        <is>
          <t>NUMERIC(8,2)</t>
        </is>
      </c>
      <c r="D529" s="11" t="inlineStr">
        <is>
          <t>—</t>
        </is>
      </c>
      <c r="E529" s="11" t="inlineStr">
        <is>
          <t>Yes</t>
        </is>
      </c>
      <c r="F529" s="11" t="inlineStr">
        <is>
          <t>No</t>
        </is>
      </c>
      <c r="G529" s="11" t="inlineStr">
        <is>
          <t>NULL</t>
        </is>
      </c>
      <c r="H529" s="11" t="inlineStr">
        <is>
          <t>CHECK (raw_score &gt;= 0)</t>
        </is>
      </c>
      <c r="I529" s="11" t="inlineStr">
        <is>
          <t>While the account exists; responses and audio references deleted 30 days after closure, scores and results anonymised (SRS 4.3).</t>
        </is>
      </c>
      <c r="J529" s="11" t="inlineStr">
        <is>
          <t>assessment-service</t>
        </is>
      </c>
      <c r="K529" s="11" t="n"/>
    </row>
    <row r="530" ht="26.4" customHeight="1" s="31">
      <c r="A530" s="11" t="inlineStr">
        <is>
          <t>Skill Score (skill_scores)</t>
        </is>
      </c>
      <c r="B530" s="11" t="inlineStr">
        <is>
          <t>band</t>
        </is>
      </c>
      <c r="C530" s="11" t="inlineStr">
        <is>
          <t>NUMERIC(3,1)</t>
        </is>
      </c>
      <c r="D530" s="11" t="inlineStr">
        <is>
          <t>—</t>
        </is>
      </c>
      <c r="E530" s="11" t="inlineStr">
        <is>
          <t>Yes</t>
        </is>
      </c>
      <c r="F530" s="11" t="inlineStr">
        <is>
          <t>No</t>
        </is>
      </c>
      <c r="G530" s="11" t="inlineStr">
        <is>
          <t>NULL</t>
        </is>
      </c>
      <c r="H530" s="11" t="inlineStr">
        <is>
          <t>CHECK (band &gt;= 0)</t>
        </is>
      </c>
      <c r="I530" s="11" t="inlineStr">
        <is>
          <t>While the account exists; responses and audio references deleted 30 days after closure, scores and results anonymised (SRS 4.3).</t>
        </is>
      </c>
      <c r="J530" s="11" t="inlineStr">
        <is>
          <t>assessment-service</t>
        </is>
      </c>
      <c r="K530" s="11" t="n"/>
    </row>
    <row r="531" ht="26.4" customHeight="1" s="31">
      <c r="A531" s="11" t="inlineStr">
        <is>
          <t>Skill Score (skill_scores)</t>
        </is>
      </c>
      <c r="B531" s="11" t="inlineStr">
        <is>
          <t>grading_source</t>
        </is>
      </c>
      <c r="C531" s="11" t="inlineStr">
        <is>
          <t>VARCHAR(20)</t>
        </is>
      </c>
      <c r="D531" s="11" t="inlineStr">
        <is>
          <t>—</t>
        </is>
      </c>
      <c r="E531" s="11" t="inlineStr">
        <is>
          <t>No</t>
        </is>
      </c>
      <c r="F531" s="11" t="inlineStr">
        <is>
          <t>No</t>
        </is>
      </c>
      <c r="G531" s="11" t="inlineStr">
        <is>
          <t>—</t>
        </is>
      </c>
      <c r="H531" s="11" t="inlineStr">
        <is>
          <t>CHECK (grading_source IN ('AUTO','AI','HUMAN'))</t>
        </is>
      </c>
      <c r="I531" s="11" t="inlineStr">
        <is>
          <t>While the account exists; responses and audio references deleted 30 days after closure, scores and results anonymised (SRS 4.3).</t>
        </is>
      </c>
      <c r="J531" s="11" t="inlineStr">
        <is>
          <t>assessment-service</t>
        </is>
      </c>
      <c r="K531" s="11" t="n"/>
    </row>
    <row r="532" ht="26.4" customHeight="1" s="31">
      <c r="A532" s="11" t="inlineStr">
        <is>
          <t>Skill Score (skill_scores)</t>
        </is>
      </c>
      <c r="B532" s="11" t="inlineStr">
        <is>
          <t>feedback_revision_id</t>
        </is>
      </c>
      <c r="C532" s="11" t="inlineStr">
        <is>
          <t>UUID</t>
        </is>
      </c>
      <c r="D532" s="11" t="inlineStr">
        <is>
          <t>—</t>
        </is>
      </c>
      <c r="E532" s="11" t="inlineStr">
        <is>
          <t>Yes</t>
        </is>
      </c>
      <c r="F532" s="11" t="inlineStr">
        <is>
          <t>No</t>
        </is>
      </c>
      <c r="G532" s="11" t="inlineStr">
        <is>
          <t>NULL</t>
        </is>
      </c>
      <c r="H532" s="11" t="inlineStr">
        <is>
          <t>—</t>
        </is>
      </c>
      <c r="I532" s="11" t="inlineStr">
        <is>
          <t>While the account exists; responses and audio references deleted 30 days after closure, scores and results anonymised (SRS 4.3).</t>
        </is>
      </c>
      <c r="J532" s="11" t="inlineStr">
        <is>
          <t>assessment-service</t>
        </is>
      </c>
      <c r="K532" s="11" t="n"/>
    </row>
    <row r="533" ht="52.8" customHeight="1" s="31">
      <c r="A533" s="13" t="inlineStr">
        <is>
          <t>Item Result (item_results)</t>
        </is>
      </c>
      <c r="B533" s="12" t="inlineStr">
        <is>
          <t>id</t>
        </is>
      </c>
      <c r="C533" s="13" t="inlineStr">
        <is>
          <t>UUID</t>
        </is>
      </c>
      <c r="D533" s="13" t="inlineStr">
        <is>
          <t>PK</t>
        </is>
      </c>
      <c r="E533" s="13" t="inlineStr">
        <is>
          <t>No</t>
        </is>
      </c>
      <c r="F533" s="13" t="inlineStr">
        <is>
          <t>Yes</t>
        </is>
      </c>
      <c r="G533" s="13" t="inlineStr">
        <is>
          <t>gen_random_uuid()</t>
        </is>
      </c>
      <c r="H533" s="13" t="inlineStr">
        <is>
          <t>—</t>
        </is>
      </c>
      <c r="I533" s="13" t="inlineStr">
        <is>
          <t>While the account exists; responses and audio references deleted 30 days after closure, scores and results anonymised (SRS 4.3).</t>
        </is>
      </c>
      <c r="J533" s="13" t="inlineStr">
        <is>
          <t>assessment-service</t>
        </is>
      </c>
      <c r="K533" s="13" t="inlineStr">
        <is>
          <t>Records the score and feedback for an attempt item in a result version. Table item_results; owner assessment-service; created in V1__create_assessment_tables.sql.</t>
        </is>
      </c>
    </row>
    <row r="534" ht="26.4" customHeight="1" s="31">
      <c r="A534" s="13" t="inlineStr">
        <is>
          <t>Item Result (item_results)</t>
        </is>
      </c>
      <c r="B534" s="13" t="inlineStr">
        <is>
          <t>result_id</t>
        </is>
      </c>
      <c r="C534" s="13" t="inlineStr">
        <is>
          <t>UUID</t>
        </is>
      </c>
      <c r="D534" s="13" t="inlineStr">
        <is>
          <t>FK→Assessment Result.id</t>
        </is>
      </c>
      <c r="E534" s="13" t="inlineStr">
        <is>
          <t>No</t>
        </is>
      </c>
      <c r="F534" s="13" t="inlineStr">
        <is>
          <t>Composite (result_id, attempt_item_id)</t>
        </is>
      </c>
      <c r="G534" s="13" t="inlineStr">
        <is>
          <t>—</t>
        </is>
      </c>
      <c r="H534" s="13" t="inlineStr">
        <is>
          <t>—</t>
        </is>
      </c>
      <c r="I534" s="13" t="inlineStr">
        <is>
          <t>While the account exists; responses and audio references deleted 30 days after closure, scores and results anonymised (SRS 4.3).</t>
        </is>
      </c>
      <c r="J534" s="13" t="inlineStr">
        <is>
          <t>assessment-service</t>
        </is>
      </c>
      <c r="K534" s="13" t="n"/>
    </row>
    <row r="535" ht="26.4" customHeight="1" s="31">
      <c r="A535" s="13" t="inlineStr">
        <is>
          <t>Item Result (item_results)</t>
        </is>
      </c>
      <c r="B535" s="13" t="inlineStr">
        <is>
          <t>attempt_item_id</t>
        </is>
      </c>
      <c r="C535" s="13" t="inlineStr">
        <is>
          <t>UUID</t>
        </is>
      </c>
      <c r="D535" s="13" t="inlineStr">
        <is>
          <t>FK→Attempt Item.id</t>
        </is>
      </c>
      <c r="E535" s="13" t="inlineStr">
        <is>
          <t>No</t>
        </is>
      </c>
      <c r="F535" s="13" t="inlineStr">
        <is>
          <t>Composite (result_id, attempt_item_id)</t>
        </is>
      </c>
      <c r="G535" s="13" t="inlineStr">
        <is>
          <t>—</t>
        </is>
      </c>
      <c r="H535" s="13" t="inlineStr">
        <is>
          <t>—</t>
        </is>
      </c>
      <c r="I535" s="13" t="inlineStr">
        <is>
          <t>While the account exists; responses and audio references deleted 30 days after closure, scores and results anonymised (SRS 4.3).</t>
        </is>
      </c>
      <c r="J535" s="13" t="inlineStr">
        <is>
          <t>assessment-service</t>
        </is>
      </c>
      <c r="K535" s="13" t="n"/>
    </row>
    <row r="536" ht="26.4" customHeight="1" s="31">
      <c r="A536" s="13" t="inlineStr">
        <is>
          <t>Item Result (item_results)</t>
        </is>
      </c>
      <c r="B536" s="13" t="inlineStr">
        <is>
          <t>score</t>
        </is>
      </c>
      <c r="C536" s="13" t="inlineStr">
        <is>
          <t>NUMERIC(8,2)</t>
        </is>
      </c>
      <c r="D536" s="13" t="inlineStr">
        <is>
          <t>—</t>
        </is>
      </c>
      <c r="E536" s="13" t="inlineStr">
        <is>
          <t>No</t>
        </is>
      </c>
      <c r="F536" s="13" t="inlineStr">
        <is>
          <t>No</t>
        </is>
      </c>
      <c r="G536" s="13" t="inlineStr">
        <is>
          <t>—</t>
        </is>
      </c>
      <c r="H536" s="13" t="inlineStr">
        <is>
          <t>CHECK (score &gt;= 0); CHECK (max_score IS NULL OR score &lt;= max_score)</t>
        </is>
      </c>
      <c r="I536" s="13" t="inlineStr">
        <is>
          <t>While the account exists; responses and audio references deleted 30 days after closure, scores and results anonymised (SRS 4.3).</t>
        </is>
      </c>
      <c r="J536" s="13" t="inlineStr">
        <is>
          <t>assessment-service</t>
        </is>
      </c>
      <c r="K536" s="13" t="n"/>
    </row>
    <row r="537" ht="26.4" customHeight="1" s="31">
      <c r="A537" s="13" t="inlineStr">
        <is>
          <t>Item Result (item_results)</t>
        </is>
      </c>
      <c r="B537" s="13" t="inlineStr">
        <is>
          <t>is_correct</t>
        </is>
      </c>
      <c r="C537" s="13" t="inlineStr">
        <is>
          <t>BOOLEAN</t>
        </is>
      </c>
      <c r="D537" s="13" t="inlineStr">
        <is>
          <t>—</t>
        </is>
      </c>
      <c r="E537" s="13" t="inlineStr">
        <is>
          <t>Yes</t>
        </is>
      </c>
      <c r="F537" s="13" t="inlineStr">
        <is>
          <t>No</t>
        </is>
      </c>
      <c r="G537" s="13" t="inlineStr">
        <is>
          <t>NULL</t>
        </is>
      </c>
      <c r="H537" s="13" t="inlineStr">
        <is>
          <t>—</t>
        </is>
      </c>
      <c r="I537" s="13" t="inlineStr">
        <is>
          <t>While the account exists; responses and audio references deleted 30 days after closure, scores and results anonymised (SRS 4.3).</t>
        </is>
      </c>
      <c r="J537" s="13" t="inlineStr">
        <is>
          <t>assessment-service</t>
        </is>
      </c>
      <c r="K537" s="13" t="n"/>
    </row>
    <row r="538" ht="26.4" customHeight="1" s="31">
      <c r="A538" s="13" t="inlineStr">
        <is>
          <t>Item Result (item_results)</t>
        </is>
      </c>
      <c r="B538" s="13" t="inlineStr">
        <is>
          <t>duration_milliseconds</t>
        </is>
      </c>
      <c r="C538" s="13" t="inlineStr">
        <is>
          <t>BIGINT</t>
        </is>
      </c>
      <c r="D538" s="13" t="inlineStr">
        <is>
          <t>—</t>
        </is>
      </c>
      <c r="E538" s="13" t="inlineStr">
        <is>
          <t>Yes</t>
        </is>
      </c>
      <c r="F538" s="13" t="inlineStr">
        <is>
          <t>No</t>
        </is>
      </c>
      <c r="G538" s="13" t="inlineStr">
        <is>
          <t>NULL</t>
        </is>
      </c>
      <c r="H538" s="13" t="inlineStr">
        <is>
          <t>CHECK (duration_milliseconds &gt;= 0)</t>
        </is>
      </c>
      <c r="I538" s="13" t="inlineStr">
        <is>
          <t>While the account exists; responses and audio references deleted 30 days after closure, scores and results anonymised (SRS 4.3).</t>
        </is>
      </c>
      <c r="J538" s="13" t="inlineStr">
        <is>
          <t>assessment-service</t>
        </is>
      </c>
      <c r="K538" s="13" t="n"/>
    </row>
    <row r="539" ht="26.4" customHeight="1" s="31">
      <c r="A539" s="13" t="inlineStr">
        <is>
          <t>Item Result (item_results)</t>
        </is>
      </c>
      <c r="B539" s="13" t="inlineStr">
        <is>
          <t>feedback_snapshot</t>
        </is>
      </c>
      <c r="C539" s="13" t="inlineStr">
        <is>
          <t>JSONB</t>
        </is>
      </c>
      <c r="D539" s="13" t="inlineStr">
        <is>
          <t>—</t>
        </is>
      </c>
      <c r="E539" s="13" t="inlineStr">
        <is>
          <t>No</t>
        </is>
      </c>
      <c r="F539" s="13" t="inlineStr">
        <is>
          <t>No</t>
        </is>
      </c>
      <c r="G539" s="13" t="inlineStr">
        <is>
          <t>—</t>
        </is>
      </c>
      <c r="H539" s="13" t="inlineStr">
        <is>
          <t>—</t>
        </is>
      </c>
      <c r="I539" s="13" t="inlineStr">
        <is>
          <t>While the account exists; responses and audio references deleted 30 days after closure, scores and results anonymised (SRS 4.3).</t>
        </is>
      </c>
      <c r="J539" s="13" t="inlineStr">
        <is>
          <t>assessment-service</t>
        </is>
      </c>
      <c r="K539" s="13" t="n"/>
    </row>
    <row r="540" ht="26.4" customHeight="1" s="31">
      <c r="A540" s="13" t="inlineStr">
        <is>
          <t>Item Result (item_results)</t>
        </is>
      </c>
      <c r="B540" s="13" t="inlineStr">
        <is>
          <t>max_score</t>
        </is>
      </c>
      <c r="C540" s="13" t="inlineStr">
        <is>
          <t>NUMERIC(8,2)</t>
        </is>
      </c>
      <c r="D540" s="13" t="inlineStr">
        <is>
          <t>—</t>
        </is>
      </c>
      <c r="E540" s="13" t="inlineStr">
        <is>
          <t>Yes</t>
        </is>
      </c>
      <c r="F540" s="13" t="inlineStr">
        <is>
          <t>No</t>
        </is>
      </c>
      <c r="G540" s="13" t="inlineStr">
        <is>
          <t>NULL</t>
        </is>
      </c>
      <c r="H540" s="13" t="inlineStr">
        <is>
          <t>CHECK (max_score &gt; 0); CHECK (max_score IS NULL OR score &lt;= max_score)</t>
        </is>
      </c>
      <c r="I540" s="13" t="inlineStr">
        <is>
          <t>While the account exists; responses and audio references deleted 30 days after closure, scores and results anonymised (SRS 4.3).</t>
        </is>
      </c>
      <c r="J540" s="13" t="inlineStr">
        <is>
          <t>assessment-service</t>
        </is>
      </c>
      <c r="K540" s="13" t="n"/>
    </row>
    <row r="541" ht="26.4" customHeight="1" s="31">
      <c r="A541" s="11" t="inlineStr">
        <is>
          <t>Error Analysis Item (error_analysis_items)</t>
        </is>
      </c>
      <c r="B541" s="10" t="inlineStr">
        <is>
          <t>id</t>
        </is>
      </c>
      <c r="C541" s="11" t="inlineStr">
        <is>
          <t>UUID</t>
        </is>
      </c>
      <c r="D541" s="11" t="inlineStr">
        <is>
          <t>PK</t>
        </is>
      </c>
      <c r="E541" s="11" t="inlineStr">
        <is>
          <t>No</t>
        </is>
      </c>
      <c r="F541" s="11" t="inlineStr">
        <is>
          <t>Yes</t>
        </is>
      </c>
      <c r="G541" s="11" t="inlineStr">
        <is>
          <t>gen_random_uuid()</t>
        </is>
      </c>
      <c r="H541" s="11" t="inlineStr">
        <is>
          <t>—</t>
        </is>
      </c>
      <c r="I541" s="11" t="inlineStr">
        <is>
          <t>While the account exists; responses and audio references deleted 30 days after closure, scores and results anonymised (SRS 4.3).</t>
        </is>
      </c>
      <c r="J541" s="11" t="inlineStr">
        <is>
          <t>assessment-service</t>
        </is>
      </c>
      <c r="K541" s="11" t="inlineStr">
        <is>
          <t>Describes an error in an item result and its optional knowledge point. Table error_analysis_items; owner assessment-service; created in V1__create_assessment_tables.sql.</t>
        </is>
      </c>
    </row>
    <row r="542" ht="26.4" customHeight="1" s="31">
      <c r="A542" s="11" t="inlineStr">
        <is>
          <t>Error Analysis Item (error_analysis_items)</t>
        </is>
      </c>
      <c r="B542" s="11" t="inlineStr">
        <is>
          <t>item_result_id</t>
        </is>
      </c>
      <c r="C542" s="11" t="inlineStr">
        <is>
          <t>UUID</t>
        </is>
      </c>
      <c r="D542" s="11" t="inlineStr">
        <is>
          <t>FK→Item Result.id</t>
        </is>
      </c>
      <c r="E542" s="11" t="inlineStr">
        <is>
          <t>No</t>
        </is>
      </c>
      <c r="F542" s="11" t="inlineStr">
        <is>
          <t>No</t>
        </is>
      </c>
      <c r="G542" s="11" t="inlineStr">
        <is>
          <t>—</t>
        </is>
      </c>
      <c r="H542" s="11" t="inlineStr">
        <is>
          <t>—</t>
        </is>
      </c>
      <c r="I542" s="11" t="inlineStr">
        <is>
          <t>While the account exists; responses and audio references deleted 30 days after closure, scores and results anonymised (SRS 4.3).</t>
        </is>
      </c>
      <c r="J542" s="11" t="inlineStr">
        <is>
          <t>assessment-service</t>
        </is>
      </c>
      <c r="K542" s="11" t="n"/>
    </row>
    <row r="543" ht="26.4" customHeight="1" s="31">
      <c r="A543" s="11" t="inlineStr">
        <is>
          <t>Error Analysis Item (error_analysis_items)</t>
        </is>
      </c>
      <c r="B543" s="11" t="inlineStr">
        <is>
          <t>knowledge_point_id</t>
        </is>
      </c>
      <c r="C543" s="11" t="inlineStr">
        <is>
          <t>UUID</t>
        </is>
      </c>
      <c r="D543" s="11" t="inlineStr">
        <is>
          <t>Ref→Knowledge Point (no FK)</t>
        </is>
      </c>
      <c r="E543" s="11" t="inlineStr">
        <is>
          <t>Yes</t>
        </is>
      </c>
      <c r="F543" s="11" t="inlineStr">
        <is>
          <t>No</t>
        </is>
      </c>
      <c r="G543" s="11" t="inlineStr">
        <is>
          <t>NULL</t>
        </is>
      </c>
      <c r="H543" s="11" t="inlineStr">
        <is>
          <t>—</t>
        </is>
      </c>
      <c r="I543" s="11" t="inlineStr">
        <is>
          <t>While the account exists; responses and audio references deleted 30 days after closure, scores and results anonymised (SRS 4.3).</t>
        </is>
      </c>
      <c r="J543" s="11" t="inlineStr">
        <is>
          <t>assessment-service</t>
        </is>
      </c>
      <c r="K543" s="11" t="inlineStr">
        <is>
          <t>Stored id only; no SQL foreign key (cross-service or polymorphic).</t>
        </is>
      </c>
    </row>
    <row r="544" ht="26.4" customHeight="1" s="31">
      <c r="A544" s="11" t="inlineStr">
        <is>
          <t>Error Analysis Item (error_analysis_items)</t>
        </is>
      </c>
      <c r="B544" s="11" t="inlineStr">
        <is>
          <t>error_type</t>
        </is>
      </c>
      <c r="C544" s="11" t="inlineStr">
        <is>
          <t>VARCHAR(50)</t>
        </is>
      </c>
      <c r="D544" s="11" t="inlineStr">
        <is>
          <t>—</t>
        </is>
      </c>
      <c r="E544" s="11" t="inlineStr">
        <is>
          <t>No</t>
        </is>
      </c>
      <c r="F544" s="11" t="inlineStr">
        <is>
          <t>No</t>
        </is>
      </c>
      <c r="G544" s="11" t="inlineStr">
        <is>
          <t>—</t>
        </is>
      </c>
      <c r="H544" s="11" t="inlineStr">
        <is>
          <t>—</t>
        </is>
      </c>
      <c r="I544" s="11" t="inlineStr">
        <is>
          <t>While the account exists; responses and audio references deleted 30 days after closure, scores and results anonymised (SRS 4.3).</t>
        </is>
      </c>
      <c r="J544" s="11" t="inlineStr">
        <is>
          <t>assessment-service</t>
        </is>
      </c>
      <c r="K544" s="11" t="n"/>
    </row>
    <row r="545" ht="26.4" customHeight="1" s="31">
      <c r="A545" s="11" t="inlineStr">
        <is>
          <t>Error Analysis Item (error_analysis_items)</t>
        </is>
      </c>
      <c r="B545" s="11" t="inlineStr">
        <is>
          <t>explanation</t>
        </is>
      </c>
      <c r="C545" s="11" t="inlineStr">
        <is>
          <t>TEXT</t>
        </is>
      </c>
      <c r="D545" s="11" t="inlineStr">
        <is>
          <t>—</t>
        </is>
      </c>
      <c r="E545" s="11" t="inlineStr">
        <is>
          <t>Yes</t>
        </is>
      </c>
      <c r="F545" s="11" t="inlineStr">
        <is>
          <t>No</t>
        </is>
      </c>
      <c r="G545" s="11" t="inlineStr">
        <is>
          <t>NULL</t>
        </is>
      </c>
      <c r="H545" s="11" t="inlineStr">
        <is>
          <t>—</t>
        </is>
      </c>
      <c r="I545" s="11" t="inlineStr">
        <is>
          <t>While the account exists; responses and audio references deleted 30 days after closure, scores and results anonymised (SRS 4.3).</t>
        </is>
      </c>
      <c r="J545" s="11" t="inlineStr">
        <is>
          <t>assessment-service</t>
        </is>
      </c>
      <c r="K545" s="11" t="n"/>
    </row>
    <row r="546" ht="26.4" customHeight="1" s="31">
      <c r="A546" s="13" t="inlineStr">
        <is>
          <t>Learner Submission (learner_submissions)</t>
        </is>
      </c>
      <c r="B546" s="12" t="inlineStr">
        <is>
          <t>id</t>
        </is>
      </c>
      <c r="C546" s="13" t="inlineStr">
        <is>
          <t>UUID</t>
        </is>
      </c>
      <c r="D546" s="13" t="inlineStr">
        <is>
          <t>PK</t>
        </is>
      </c>
      <c r="E546" s="13" t="inlineStr">
        <is>
          <t>No</t>
        </is>
      </c>
      <c r="F546" s="13" t="inlineStr">
        <is>
          <t>Yes</t>
        </is>
      </c>
      <c r="G546" s="13" t="inlineStr">
        <is>
          <t>gen_random_uuid()</t>
        </is>
      </c>
      <c r="H546" s="13" t="inlineStr">
        <is>
          <t>—</t>
        </is>
      </c>
      <c r="I546" s="13" t="inlineStr">
        <is>
          <t>While the account exists; responses and audio references deleted 30 days after closure, scores and results anonymised (SRS 4.3).</t>
        </is>
      </c>
      <c r="J546" s="13" t="inlineStr">
        <is>
          <t>assessment-service</t>
        </is>
      </c>
      <c r="K546" s="13" t="inlineStr">
        <is>
          <t>Stores submitted text or an audio reference, optionally linked to an attempt item. Table learner_submissions; owner assessment-service; created in V1__create_assessment_tables.sql.</t>
        </is>
      </c>
    </row>
    <row r="547" ht="39.6" customHeight="1" s="31">
      <c r="A547" s="13" t="inlineStr">
        <is>
          <t>Learner Submission (learner_submissions)</t>
        </is>
      </c>
      <c r="B547" s="13" t="inlineStr">
        <is>
          <t>user_id</t>
        </is>
      </c>
      <c r="C547" s="13" t="inlineStr">
        <is>
          <t>UUID</t>
        </is>
      </c>
      <c r="D547" s="13" t="inlineStr">
        <is>
          <t>Ref→User (no FK)</t>
        </is>
      </c>
      <c r="E547" s="13" t="inlineStr">
        <is>
          <t>No</t>
        </is>
      </c>
      <c r="F547" s="13" t="inlineStr">
        <is>
          <t>Composite (user_id, submission_key)</t>
        </is>
      </c>
      <c r="G547" s="13" t="inlineStr">
        <is>
          <t>—</t>
        </is>
      </c>
      <c r="H547" s="13" t="inlineStr">
        <is>
          <t>—</t>
        </is>
      </c>
      <c r="I547" s="13" t="inlineStr">
        <is>
          <t>While the account exists; responses and audio references deleted 30 days after closure, scores and results anonymised (SRS 4.3).</t>
        </is>
      </c>
      <c r="J547" s="13" t="inlineStr">
        <is>
          <t>assessment-service</t>
        </is>
      </c>
      <c r="K547" s="13" t="inlineStr">
        <is>
          <t>Stored id only; no SQL foreign key (cross-service or polymorphic).</t>
        </is>
      </c>
    </row>
    <row r="548" ht="26.4" customHeight="1" s="31">
      <c r="A548" s="13" t="inlineStr">
        <is>
          <t>Learner Submission (learner_submissions)</t>
        </is>
      </c>
      <c r="B548" s="13" t="inlineStr">
        <is>
          <t>attempt_item_id</t>
        </is>
      </c>
      <c r="C548" s="13" t="inlineStr">
        <is>
          <t>UUID</t>
        </is>
      </c>
      <c r="D548" s="13" t="inlineStr">
        <is>
          <t>FK→Attempt Item.id</t>
        </is>
      </c>
      <c r="E548" s="13" t="inlineStr">
        <is>
          <t>Yes</t>
        </is>
      </c>
      <c r="F548" s="13" t="inlineStr">
        <is>
          <t>No</t>
        </is>
      </c>
      <c r="G548" s="13" t="inlineStr">
        <is>
          <t>NULL</t>
        </is>
      </c>
      <c r="H548" s="13" t="inlineStr">
        <is>
          <t>—</t>
        </is>
      </c>
      <c r="I548" s="13" t="inlineStr">
        <is>
          <t>While the account exists; responses and audio references deleted 30 days after closure, scores and results anonymised (SRS 4.3).</t>
        </is>
      </c>
      <c r="J548" s="13" t="inlineStr">
        <is>
          <t>assessment-service</t>
        </is>
      </c>
      <c r="K548" s="13" t="n"/>
    </row>
    <row r="549" ht="26.4" customHeight="1" s="31">
      <c r="A549" s="13" t="inlineStr">
        <is>
          <t>Learner Submission (learner_submissions)</t>
        </is>
      </c>
      <c r="B549" s="13" t="inlineStr">
        <is>
          <t>prompt_snapshot</t>
        </is>
      </c>
      <c r="C549" s="13" t="inlineStr">
        <is>
          <t>JSONB</t>
        </is>
      </c>
      <c r="D549" s="13" t="inlineStr">
        <is>
          <t>—</t>
        </is>
      </c>
      <c r="E549" s="13" t="inlineStr">
        <is>
          <t>No</t>
        </is>
      </c>
      <c r="F549" s="13" t="inlineStr">
        <is>
          <t>No</t>
        </is>
      </c>
      <c r="G549" s="13" t="inlineStr">
        <is>
          <t>—</t>
        </is>
      </c>
      <c r="H549" s="13" t="inlineStr">
        <is>
          <t>—</t>
        </is>
      </c>
      <c r="I549" s="13" t="inlineStr">
        <is>
          <t>While the account exists; responses and audio references deleted 30 days after closure, scores and results anonymised (SRS 4.3).</t>
        </is>
      </c>
      <c r="J549" s="13" t="inlineStr">
        <is>
          <t>assessment-service</t>
        </is>
      </c>
      <c r="K549" s="13" t="n"/>
    </row>
    <row r="550" ht="26.4" customHeight="1" s="31">
      <c r="A550" s="13" t="inlineStr">
        <is>
          <t>Learner Submission (learner_submissions)</t>
        </is>
      </c>
      <c r="B550" s="13" t="inlineStr">
        <is>
          <t>skill</t>
        </is>
      </c>
      <c r="C550" s="13" t="inlineStr">
        <is>
          <t>VARCHAR(20)</t>
        </is>
      </c>
      <c r="D550" s="13" t="inlineStr">
        <is>
          <t>—</t>
        </is>
      </c>
      <c r="E550" s="13" t="inlineStr">
        <is>
          <t>No</t>
        </is>
      </c>
      <c r="F550" s="13" t="inlineStr">
        <is>
          <t>No</t>
        </is>
      </c>
      <c r="G550" s="13" t="inlineStr">
        <is>
          <t>—</t>
        </is>
      </c>
      <c r="H550" s="13" t="inlineStr">
        <is>
          <t>CHECK (skill IN ('WRITING','SPEAKING')); CHECK ((skill = 'WRITING' AND text_payload IS NOT NULL AND audio_reference IS NULL) OR (skill = 'SPEAKING' AND audio_reference IS NOT NULL AND text_payload IS NULL))</t>
        </is>
      </c>
      <c r="I550" s="13" t="inlineStr">
        <is>
          <t>While the account exists; responses and audio references deleted 30 days after closure, scores and results anonymised (SRS 4.3).</t>
        </is>
      </c>
      <c r="J550" s="13" t="inlineStr">
        <is>
          <t>assessment-service</t>
        </is>
      </c>
      <c r="K550" s="13" t="n"/>
    </row>
    <row r="551" ht="26.4" customHeight="1" s="31">
      <c r="A551" s="13" t="inlineStr">
        <is>
          <t>Learner Submission (learner_submissions)</t>
        </is>
      </c>
      <c r="B551" s="13" t="inlineStr">
        <is>
          <t>text_payload</t>
        </is>
      </c>
      <c r="C551" s="13" t="inlineStr">
        <is>
          <t>TEXT</t>
        </is>
      </c>
      <c r="D551" s="13" t="inlineStr">
        <is>
          <t>—</t>
        </is>
      </c>
      <c r="E551" s="13" t="inlineStr">
        <is>
          <t>Yes</t>
        </is>
      </c>
      <c r="F551" s="13" t="inlineStr">
        <is>
          <t>No</t>
        </is>
      </c>
      <c r="G551" s="13" t="inlineStr">
        <is>
          <t>NULL</t>
        </is>
      </c>
      <c r="H551" s="13" t="inlineStr">
        <is>
          <t>CHECK ((skill = 'WRITING' AND text_payload IS NOT NULL AND audio_reference IS NULL) OR (skill = 'SPEAKING' AND audio_reference IS NOT NULL AND text_payload IS NULL))</t>
        </is>
      </c>
      <c r="I551" s="13" t="inlineStr">
        <is>
          <t>While the account exists; responses and audio references deleted 30 days after closure, scores and results anonymised (SRS 4.3).</t>
        </is>
      </c>
      <c r="J551" s="13" t="inlineStr">
        <is>
          <t>assessment-service</t>
        </is>
      </c>
      <c r="K551" s="13" t="n"/>
    </row>
    <row r="552" ht="26.4" customHeight="1" s="31">
      <c r="A552" s="13" t="inlineStr">
        <is>
          <t>Learner Submission (learner_submissions)</t>
        </is>
      </c>
      <c r="B552" s="13" t="inlineStr">
        <is>
          <t>audio_reference</t>
        </is>
      </c>
      <c r="C552" s="13" t="inlineStr">
        <is>
          <t>VARCHAR(500)</t>
        </is>
      </c>
      <c r="D552" s="13" t="inlineStr">
        <is>
          <t>—</t>
        </is>
      </c>
      <c r="E552" s="13" t="inlineStr">
        <is>
          <t>Yes</t>
        </is>
      </c>
      <c r="F552" s="13" t="inlineStr">
        <is>
          <t>No</t>
        </is>
      </c>
      <c r="G552" s="13" t="inlineStr">
        <is>
          <t>NULL</t>
        </is>
      </c>
      <c r="H552" s="13" t="inlineStr">
        <is>
          <t>CHECK ((skill = 'WRITING' AND text_payload IS NOT NULL AND audio_reference IS NULL) OR (skill = 'SPEAKING' AND audio_reference IS NOT NULL AND text_payload IS NULL))</t>
        </is>
      </c>
      <c r="I552" s="13" t="inlineStr">
        <is>
          <t>While the account exists; responses and audio references deleted 30 days after closure, scores and results anonymised (SRS 4.3).</t>
        </is>
      </c>
      <c r="J552" s="13" t="inlineStr">
        <is>
          <t>assessment-service</t>
        </is>
      </c>
      <c r="K552" s="13" t="n"/>
    </row>
    <row r="553" ht="26.4" customHeight="1" s="31">
      <c r="A553" s="13" t="inlineStr">
        <is>
          <t>Learner Submission (learner_submissions)</t>
        </is>
      </c>
      <c r="B553" s="13" t="inlineStr">
        <is>
          <t>status</t>
        </is>
      </c>
      <c r="C553" s="13" t="inlineStr">
        <is>
          <t>VARCHAR(30)</t>
        </is>
      </c>
      <c r="D553" s="13" t="inlineStr">
        <is>
          <t>—</t>
        </is>
      </c>
      <c r="E553" s="13" t="inlineStr">
        <is>
          <t>No</t>
        </is>
      </c>
      <c r="F553" s="13" t="inlineStr">
        <is>
          <t>No</t>
        </is>
      </c>
      <c r="G553" s="13" t="inlineStr">
        <is>
          <t>—</t>
        </is>
      </c>
      <c r="H553" s="13" t="inlineStr">
        <is>
          <t>CHECK (status IN ('DRAFT','SUBMITTED'))</t>
        </is>
      </c>
      <c r="I553" s="13" t="inlineStr">
        <is>
          <t>While the account exists; responses and audio references deleted 30 days after closure, scores and results anonymised (SRS 4.3).</t>
        </is>
      </c>
      <c r="J553" s="13" t="inlineStr">
        <is>
          <t>assessment-service</t>
        </is>
      </c>
      <c r="K553" s="13" t="n"/>
    </row>
    <row r="554" ht="26.4" customHeight="1" s="31">
      <c r="A554" s="13" t="inlineStr">
        <is>
          <t>Learner Submission (learner_submissions)</t>
        </is>
      </c>
      <c r="B554" s="13" t="inlineStr">
        <is>
          <t>submission_key</t>
        </is>
      </c>
      <c r="C554" s="13" t="inlineStr">
        <is>
          <t>VARCHAR(255)</t>
        </is>
      </c>
      <c r="D554" s="13" t="inlineStr">
        <is>
          <t>—</t>
        </is>
      </c>
      <c r="E554" s="13" t="inlineStr">
        <is>
          <t>No</t>
        </is>
      </c>
      <c r="F554" s="13" t="inlineStr">
        <is>
          <t>Composite (user_id, submission_key)</t>
        </is>
      </c>
      <c r="G554" s="13" t="inlineStr">
        <is>
          <t>—</t>
        </is>
      </c>
      <c r="H554" s="13" t="inlineStr">
        <is>
          <t>—</t>
        </is>
      </c>
      <c r="I554" s="13" t="inlineStr">
        <is>
          <t>While the account exists; responses and audio references deleted 30 days after closure, scores and results anonymised (SRS 4.3).</t>
        </is>
      </c>
      <c r="J554" s="13" t="inlineStr">
        <is>
          <t>assessment-service</t>
        </is>
      </c>
      <c r="K554" s="13" t="n"/>
    </row>
    <row r="555" ht="26.4" customHeight="1" s="31">
      <c r="A555" s="13" t="inlineStr">
        <is>
          <t>Learner Submission (learner_submissions)</t>
        </is>
      </c>
      <c r="B555" s="13" t="inlineStr">
        <is>
          <t>submitted_at</t>
        </is>
      </c>
      <c r="C555" s="13" t="inlineStr">
        <is>
          <t>TIMESTAMPTZ</t>
        </is>
      </c>
      <c r="D555" s="13" t="inlineStr">
        <is>
          <t>—</t>
        </is>
      </c>
      <c r="E555" s="13" t="inlineStr">
        <is>
          <t>No</t>
        </is>
      </c>
      <c r="F555" s="13" t="inlineStr">
        <is>
          <t>No</t>
        </is>
      </c>
      <c r="G555" s="13" t="inlineStr">
        <is>
          <t>CURRENT_TIMESTAMP</t>
        </is>
      </c>
      <c r="H555" s="13" t="inlineStr">
        <is>
          <t>—</t>
        </is>
      </c>
      <c r="I555" s="13" t="inlineStr">
        <is>
          <t>While the account exists; responses and audio references deleted 30 days after closure, scores and results anonymised (SRS 4.3).</t>
        </is>
      </c>
      <c r="J555" s="13" t="inlineStr">
        <is>
          <t>assessment-service</t>
        </is>
      </c>
      <c r="K555" s="13" t="n"/>
    </row>
    <row r="556" ht="26.4" customHeight="1" s="31">
      <c r="A556" s="11" t="inlineStr">
        <is>
          <t>Grading Job (grading_jobs)</t>
        </is>
      </c>
      <c r="B556" s="10" t="inlineStr">
        <is>
          <t>id</t>
        </is>
      </c>
      <c r="C556" s="11" t="inlineStr">
        <is>
          <t>UUID</t>
        </is>
      </c>
      <c r="D556" s="11" t="inlineStr">
        <is>
          <t>PK</t>
        </is>
      </c>
      <c r="E556" s="11" t="inlineStr">
        <is>
          <t>No</t>
        </is>
      </c>
      <c r="F556" s="11" t="inlineStr">
        <is>
          <t>Yes</t>
        </is>
      </c>
      <c r="G556" s="11" t="inlineStr">
        <is>
          <t>gen_random_uuid()</t>
        </is>
      </c>
      <c r="H556" s="11" t="inlineStr">
        <is>
          <t>—</t>
        </is>
      </c>
      <c r="I556" s="11" t="inlineStr">
        <is>
          <t>While the account exists; responses and audio references deleted 30 days after closure, scores and results anonymised (SRS 4.3).</t>
        </is>
      </c>
      <c r="J556" s="11" t="inlineStr">
        <is>
          <t>assessment-service</t>
        </is>
      </c>
      <c r="K556" s="11" t="inlineStr">
        <is>
          <t>Tracks grading requested for a learner submission and its charging references. Table grading_jobs; owner assessment-service; created in V1__create_assessment_tables.sql.</t>
        </is>
      </c>
    </row>
    <row r="557" ht="26.4" customHeight="1" s="31">
      <c r="A557" s="11" t="inlineStr">
        <is>
          <t>Grading Job (grading_jobs)</t>
        </is>
      </c>
      <c r="B557" s="11" t="inlineStr">
        <is>
          <t>submission_id</t>
        </is>
      </c>
      <c r="C557" s="11" t="inlineStr">
        <is>
          <t>UUID</t>
        </is>
      </c>
      <c r="D557" s="11" t="inlineStr">
        <is>
          <t>FK→Learner Submission.id</t>
        </is>
      </c>
      <c r="E557" s="11" t="inlineStr">
        <is>
          <t>No</t>
        </is>
      </c>
      <c r="F557" s="11" t="inlineStr">
        <is>
          <t>No</t>
        </is>
      </c>
      <c r="G557" s="11" t="inlineStr">
        <is>
          <t>—</t>
        </is>
      </c>
      <c r="H557" s="11" t="inlineStr">
        <is>
          <t>—</t>
        </is>
      </c>
      <c r="I557" s="11" t="inlineStr">
        <is>
          <t>While the account exists; responses and audio references deleted 30 days after closure, scores and results anonymised (SRS 4.3).</t>
        </is>
      </c>
      <c r="J557" s="11" t="inlineStr">
        <is>
          <t>assessment-service</t>
        </is>
      </c>
      <c r="K557" s="11" t="n"/>
    </row>
    <row r="558" ht="26.4" customHeight="1" s="31">
      <c r="A558" s="11" t="inlineStr">
        <is>
          <t>Grading Job (grading_jobs)</t>
        </is>
      </c>
      <c r="B558" s="11" t="inlineStr">
        <is>
          <t>user_id</t>
        </is>
      </c>
      <c r="C558" s="11" t="inlineStr">
        <is>
          <t>UUID</t>
        </is>
      </c>
      <c r="D558" s="11" t="inlineStr">
        <is>
          <t>Ref→User (no FK)</t>
        </is>
      </c>
      <c r="E558" s="11" t="inlineStr">
        <is>
          <t>No</t>
        </is>
      </c>
      <c r="F558" s="11" t="inlineStr">
        <is>
          <t>No</t>
        </is>
      </c>
      <c r="G558" s="11" t="inlineStr">
        <is>
          <t>—</t>
        </is>
      </c>
      <c r="H558" s="11" t="inlineStr">
        <is>
          <t>—</t>
        </is>
      </c>
      <c r="I558" s="11" t="inlineStr">
        <is>
          <t>While the account exists; responses and audio references deleted 30 days after closure, scores and results anonymised (SRS 4.3).</t>
        </is>
      </c>
      <c r="J558" s="11" t="inlineStr">
        <is>
          <t>assessment-service</t>
        </is>
      </c>
      <c r="K558" s="11" t="inlineStr">
        <is>
          <t>Stored id only; no SQL foreign key (cross-service or polymorphic).</t>
        </is>
      </c>
    </row>
    <row r="559" ht="39.6" customHeight="1" s="31">
      <c r="A559" s="11" t="inlineStr">
        <is>
          <t>Grading Job (grading_jobs)</t>
        </is>
      </c>
      <c r="B559" s="11" t="inlineStr">
        <is>
          <t>skill</t>
        </is>
      </c>
      <c r="C559" s="11" t="inlineStr">
        <is>
          <t>VARCHAR(20)</t>
        </is>
      </c>
      <c r="D559" s="11" t="inlineStr">
        <is>
          <t>—</t>
        </is>
      </c>
      <c r="E559" s="11" t="inlineStr">
        <is>
          <t>No</t>
        </is>
      </c>
      <c r="F559" s="11" t="inlineStr">
        <is>
          <t>No</t>
        </is>
      </c>
      <c r="G559" s="11" t="inlineStr">
        <is>
          <t>—</t>
        </is>
      </c>
      <c r="H559" s="11" t="inlineStr">
        <is>
          <t>CHECK (skill IN ('WRITING','SPEAKING'))</t>
        </is>
      </c>
      <c r="I559" s="11" t="inlineStr">
        <is>
          <t>While the account exists; responses and audio references deleted 30 days after closure, scores and results anonymised (SRS 4.3).</t>
        </is>
      </c>
      <c r="J559" s="11" t="inlineStr">
        <is>
          <t>assessment-service</t>
        </is>
      </c>
      <c r="K559" s="11" t="n"/>
    </row>
    <row r="560" ht="26.4" customHeight="1" s="31">
      <c r="A560" s="11" t="inlineStr">
        <is>
          <t>Grading Job (grading_jobs)</t>
        </is>
      </c>
      <c r="B560" s="11" t="inlineStr">
        <is>
          <t>grading_mode</t>
        </is>
      </c>
      <c r="C560" s="11" t="inlineStr">
        <is>
          <t>VARCHAR(20)</t>
        </is>
      </c>
      <c r="D560" s="11" t="inlineStr">
        <is>
          <t>—</t>
        </is>
      </c>
      <c r="E560" s="11" t="inlineStr">
        <is>
          <t>No</t>
        </is>
      </c>
      <c r="F560" s="11" t="inlineStr">
        <is>
          <t>No</t>
        </is>
      </c>
      <c r="G560" s="11" t="inlineStr">
        <is>
          <t>—</t>
        </is>
      </c>
      <c r="H560" s="11" t="inlineStr">
        <is>
          <t>CHECK (grading_mode IN ('AI','HUMAN')); CHECK ((grading_mode = 'AI' AND point_cost_snapshot IS NOT NULL) OR (grading_mode = 'HUMAN' AND point_cost_snapshot IS NULL))</t>
        </is>
      </c>
      <c r="I560" s="11" t="inlineStr">
        <is>
          <t>While the account exists; responses and audio references deleted 30 days after closure, scores and results anonymised (SRS 4.3).</t>
        </is>
      </c>
      <c r="J560" s="11" t="inlineStr">
        <is>
          <t>assessment-service</t>
        </is>
      </c>
      <c r="K560" s="11" t="n"/>
    </row>
    <row r="561" ht="26.4" customHeight="1" s="31">
      <c r="A561" s="11" t="inlineStr">
        <is>
          <t>Grading Job (grading_jobs)</t>
        </is>
      </c>
      <c r="B561" s="11" t="inlineStr">
        <is>
          <t>status</t>
        </is>
      </c>
      <c r="C561" s="11" t="inlineStr">
        <is>
          <t>VARCHAR(30)</t>
        </is>
      </c>
      <c r="D561" s="11" t="inlineStr">
        <is>
          <t>—</t>
        </is>
      </c>
      <c r="E561" s="11" t="inlineStr">
        <is>
          <t>No</t>
        </is>
      </c>
      <c r="F561" s="11" t="inlineStr">
        <is>
          <t>No</t>
        </is>
      </c>
      <c r="G561" s="11" t="inlineStr">
        <is>
          <t>—</t>
        </is>
      </c>
      <c r="H561" s="11" t="inlineStr">
        <is>
          <t>CHECK (status IN ('QUEUED','PROCESSING','COMPLETED','FAILED','CANCELLED'))</t>
        </is>
      </c>
      <c r="I561" s="11" t="inlineStr">
        <is>
          <t>While the account exists; responses and audio references deleted 30 days after closure, scores and results anonymised (SRS 4.3).</t>
        </is>
      </c>
      <c r="J561" s="11" t="inlineStr">
        <is>
          <t>assessment-service</t>
        </is>
      </c>
      <c r="K561" s="11" t="n"/>
    </row>
    <row r="562" ht="26.4" customHeight="1" s="31">
      <c r="A562" s="11" t="inlineStr">
        <is>
          <t>Grading Job (grading_jobs)</t>
        </is>
      </c>
      <c r="B562" s="11" t="inlineStr">
        <is>
          <t>point_cost_snapshot</t>
        </is>
      </c>
      <c r="C562" s="11" t="inlineStr">
        <is>
          <t>INT</t>
        </is>
      </c>
      <c r="D562" s="11" t="inlineStr">
        <is>
          <t>—</t>
        </is>
      </c>
      <c r="E562" s="11" t="inlineStr">
        <is>
          <t>Yes</t>
        </is>
      </c>
      <c r="F562" s="11" t="inlineStr">
        <is>
          <t>No</t>
        </is>
      </c>
      <c r="G562" s="11" t="inlineStr">
        <is>
          <t>NULL</t>
        </is>
      </c>
      <c r="H562" s="11" t="inlineStr">
        <is>
          <t>CHECK (point_cost_snapshot IS NULL OR point_cost_snapshot &gt;= 0); CHECK ((grading_mode = 'AI' AND point_cost_snapshot IS NOT NULL) OR (grading_mode = 'HUMAN' AND point_cost_snapshot IS NULL))</t>
        </is>
      </c>
      <c r="I562" s="11" t="inlineStr">
        <is>
          <t>While the account exists; responses and audio references deleted 30 days after closure, scores and results anonymised (SRS 4.3).</t>
        </is>
      </c>
      <c r="J562" s="11" t="inlineStr">
        <is>
          <t>assessment-service</t>
        </is>
      </c>
      <c r="K562" s="11" t="n"/>
    </row>
    <row r="563" ht="26.4" customHeight="1" s="31">
      <c r="A563" s="11" t="inlineStr">
        <is>
          <t>Grading Job (grading_jobs)</t>
        </is>
      </c>
      <c r="B563" s="11" t="inlineStr">
        <is>
          <t>point_ledger_entry_id</t>
        </is>
      </c>
      <c r="C563" s="11" t="inlineStr">
        <is>
          <t>UUID</t>
        </is>
      </c>
      <c r="D563" s="11" t="inlineStr">
        <is>
          <t>Ref→Point Ledger Entry (no FK)</t>
        </is>
      </c>
      <c r="E563" s="11" t="inlineStr">
        <is>
          <t>Yes</t>
        </is>
      </c>
      <c r="F563" s="11" t="inlineStr">
        <is>
          <t>No</t>
        </is>
      </c>
      <c r="G563" s="11" t="inlineStr">
        <is>
          <t>NULL</t>
        </is>
      </c>
      <c r="H563" s="11" t="inlineStr">
        <is>
          <t>—</t>
        </is>
      </c>
      <c r="I563" s="11" t="inlineStr">
        <is>
          <t>While the account exists; responses and audio references deleted 30 days after closure, scores and results anonymised (SRS 4.3).</t>
        </is>
      </c>
      <c r="J563" s="11" t="inlineStr">
        <is>
          <t>assessment-service</t>
        </is>
      </c>
      <c r="K563" s="11" t="inlineStr">
        <is>
          <t>Stored id only; no SQL foreign key (cross-service or polymorphic).</t>
        </is>
      </c>
    </row>
    <row r="564" ht="26.4" customHeight="1" s="31">
      <c r="A564" s="11" t="inlineStr">
        <is>
          <t>Grading Job (grading_jobs)</t>
        </is>
      </c>
      <c r="B564" s="11" t="inlineStr">
        <is>
          <t>premium_subscription_id</t>
        </is>
      </c>
      <c r="C564" s="11" t="inlineStr">
        <is>
          <t>UUID</t>
        </is>
      </c>
      <c r="D564" s="11" t="inlineStr">
        <is>
          <t>Ref→Subscription (no FK)</t>
        </is>
      </c>
      <c r="E564" s="11" t="inlineStr">
        <is>
          <t>Yes</t>
        </is>
      </c>
      <c r="F564" s="11" t="inlineStr">
        <is>
          <t>No</t>
        </is>
      </c>
      <c r="G564" s="11" t="inlineStr">
        <is>
          <t>NULL</t>
        </is>
      </c>
      <c r="H564" s="11" t="inlineStr">
        <is>
          <t>—</t>
        </is>
      </c>
      <c r="I564" s="11" t="inlineStr">
        <is>
          <t>While the account exists; responses and audio references deleted 30 days after closure, scores and results anonymised (SRS 4.3).</t>
        </is>
      </c>
      <c r="J564" s="11" t="inlineStr">
        <is>
          <t>assessment-service</t>
        </is>
      </c>
      <c r="K564" s="11" t="inlineStr">
        <is>
          <t>Stored id only; no SQL foreign key (cross-service or polymorphic).</t>
        </is>
      </c>
    </row>
    <row r="565" ht="26.4" customHeight="1" s="31">
      <c r="A565" s="11" t="inlineStr">
        <is>
          <t>Grading Job (grading_jobs)</t>
        </is>
      </c>
      <c r="B565" s="11" t="inlineStr">
        <is>
          <t>idempotency_key</t>
        </is>
      </c>
      <c r="C565" s="11" t="inlineStr">
        <is>
          <t>VARCHAR(255)</t>
        </is>
      </c>
      <c r="D565" s="11" t="inlineStr">
        <is>
          <t>—</t>
        </is>
      </c>
      <c r="E565" s="11" t="inlineStr">
        <is>
          <t>No</t>
        </is>
      </c>
      <c r="F565" s="11" t="inlineStr">
        <is>
          <t>Yes</t>
        </is>
      </c>
      <c r="G565" s="11" t="inlineStr">
        <is>
          <t>—</t>
        </is>
      </c>
      <c r="H565" s="11" t="inlineStr">
        <is>
          <t>—</t>
        </is>
      </c>
      <c r="I565" s="11" t="inlineStr">
        <is>
          <t>While the account exists; responses and audio references deleted 30 days after closure, scores and results anonymised (SRS 4.3).</t>
        </is>
      </c>
      <c r="J565" s="11" t="inlineStr">
        <is>
          <t>assessment-service</t>
        </is>
      </c>
      <c r="K565" s="11" t="n"/>
    </row>
    <row r="566" ht="26.4" customHeight="1" s="31">
      <c r="A566" s="11" t="inlineStr">
        <is>
          <t>Grading Job (grading_jobs)</t>
        </is>
      </c>
      <c r="B566" s="11" t="inlineStr">
        <is>
          <t>created_at</t>
        </is>
      </c>
      <c r="C566" s="11" t="inlineStr">
        <is>
          <t>TIMESTAMPTZ</t>
        </is>
      </c>
      <c r="D566" s="11" t="inlineStr">
        <is>
          <t>—</t>
        </is>
      </c>
      <c r="E566" s="11" t="inlineStr">
        <is>
          <t>No</t>
        </is>
      </c>
      <c r="F566" s="11" t="inlineStr">
        <is>
          <t>No</t>
        </is>
      </c>
      <c r="G566" s="11" t="inlineStr">
        <is>
          <t>CURRENT_TIMESTAMP</t>
        </is>
      </c>
      <c r="H566" s="11" t="inlineStr">
        <is>
          <t>—</t>
        </is>
      </c>
      <c r="I566" s="11" t="inlineStr">
        <is>
          <t>While the account exists; responses and audio references deleted 30 days after closure, scores and results anonymised (SRS 4.3).</t>
        </is>
      </c>
      <c r="J566" s="11" t="inlineStr">
        <is>
          <t>assessment-service</t>
        </is>
      </c>
      <c r="K566" s="11" t="n"/>
    </row>
    <row r="567" ht="26.4" customHeight="1" s="31">
      <c r="A567" s="11" t="inlineStr">
        <is>
          <t>Grading Job (grading_jobs)</t>
        </is>
      </c>
      <c r="B567" s="11" t="inlineStr">
        <is>
          <t>completed_at</t>
        </is>
      </c>
      <c r="C567" s="11" t="inlineStr">
        <is>
          <t>TIMESTAMPTZ</t>
        </is>
      </c>
      <c r="D567" s="11" t="inlineStr">
        <is>
          <t>—</t>
        </is>
      </c>
      <c r="E567" s="11" t="inlineStr">
        <is>
          <t>Yes</t>
        </is>
      </c>
      <c r="F567" s="11" t="inlineStr">
        <is>
          <t>No</t>
        </is>
      </c>
      <c r="G567" s="11" t="inlineStr">
        <is>
          <t>NULL</t>
        </is>
      </c>
      <c r="H567" s="11" t="inlineStr">
        <is>
          <t>—</t>
        </is>
      </c>
      <c r="I567" s="11" t="inlineStr">
        <is>
          <t>While the account exists; responses and audio references deleted 30 days after closure, scores and results anonymised (SRS 4.3).</t>
        </is>
      </c>
      <c r="J567" s="11" t="inlineStr">
        <is>
          <t>assessment-service</t>
        </is>
      </c>
      <c r="K567" s="11" t="n"/>
    </row>
    <row r="568" ht="39.6" customHeight="1" s="31">
      <c r="A568" s="11" t="inlineStr">
        <is>
          <t>Grading Job (grading_jobs)</t>
        </is>
      </c>
      <c r="B568" s="11" t="inlineStr">
        <is>
          <t>llm_band</t>
        </is>
      </c>
      <c r="C568" s="11" t="inlineStr">
        <is>
          <t>NUMERIC(2,1)</t>
        </is>
      </c>
      <c r="D568" s="11" t="inlineStr">
        <is>
          <t>—</t>
        </is>
      </c>
      <c r="E568" s="11" t="inlineStr">
        <is>
          <t>Yes</t>
        </is>
      </c>
      <c r="F568" s="11" t="inlineStr">
        <is>
          <t>No</t>
        </is>
      </c>
      <c r="G568" s="11" t="inlineStr">
        <is>
          <t>NULL</t>
        </is>
      </c>
      <c r="H568" s="11" t="inlineStr">
        <is>
          <t>CHECK (llm_band BETWEEN 0 AND 9)</t>
        </is>
      </c>
      <c r="I568" s="11" t="inlineStr">
        <is>
          <t>While the account exists; responses and audio references deleted 30 days after closure, scores and results anonymised (SRS 4.3).</t>
        </is>
      </c>
      <c r="J568" s="11" t="inlineStr">
        <is>
          <t>assessment-service</t>
        </is>
      </c>
      <c r="K568" s="11" t="inlineStr">
        <is>
          <t>Band from LLM grading of a test essay; added in V6__gate_llm_grading.sql.</t>
        </is>
      </c>
    </row>
    <row r="569" ht="26.4" customHeight="1" s="31">
      <c r="A569" s="11" t="inlineStr">
        <is>
          <t>Grading Job (grading_jobs)</t>
        </is>
      </c>
      <c r="B569" s="11" t="inlineStr">
        <is>
          <t>processing_started_at</t>
        </is>
      </c>
      <c r="C569" s="11" t="inlineStr">
        <is>
          <t>TIMESTAMPTZ</t>
        </is>
      </c>
      <c r="D569" s="11" t="inlineStr">
        <is>
          <t>—</t>
        </is>
      </c>
      <c r="E569" s="11" t="inlineStr">
        <is>
          <t>Yes</t>
        </is>
      </c>
      <c r="F569" s="11" t="inlineStr">
        <is>
          <t>No</t>
        </is>
      </c>
      <c r="G569" s="11" t="inlineStr">
        <is>
          <t>NULL</t>
        </is>
      </c>
      <c r="H569" s="11" t="inlineStr">
        <is>
          <t>—</t>
        </is>
      </c>
      <c r="I569" s="11" t="inlineStr">
        <is>
          <t>While the account exists; responses and audio references deleted 30 days after closure, scores and results anonymised (SRS 4.3).</t>
        </is>
      </c>
      <c r="J569" s="11" t="inlineStr">
        <is>
          <t>assessment-service</t>
        </is>
      </c>
      <c r="K569" s="11" t="inlineStr">
        <is>
          <t>Added in V6__gate_llm_grading.sql.</t>
        </is>
      </c>
    </row>
    <row r="570" ht="26.4" customHeight="1" s="31">
      <c r="A570" s="11" t="inlineStr">
        <is>
          <t>Grading Job (grading_jobs)</t>
        </is>
      </c>
      <c r="B570" s="11" t="inlineStr">
        <is>
          <t>llm_feedback</t>
        </is>
      </c>
      <c r="C570" s="11" t="inlineStr">
        <is>
          <t>JSONB</t>
        </is>
      </c>
      <c r="D570" s="11" t="inlineStr">
        <is>
          <t>—</t>
        </is>
      </c>
      <c r="E570" s="11" t="inlineStr">
        <is>
          <t>Yes</t>
        </is>
      </c>
      <c r="F570" s="11" t="inlineStr">
        <is>
          <t>No</t>
        </is>
      </c>
      <c r="G570" s="11" t="inlineStr">
        <is>
          <t>NULL</t>
        </is>
      </c>
      <c r="H570" s="11" t="inlineStr">
        <is>
          <t>—</t>
        </is>
      </c>
      <c r="I570" s="11" t="inlineStr">
        <is>
          <t>While the account exists; responses and audio references deleted 30 days after closure, scores and results anonymised (SRS 4.3).</t>
        </is>
      </c>
      <c r="J570" s="11" t="inlineStr">
        <is>
          <t>assessment-service</t>
        </is>
      </c>
      <c r="K570" s="11" t="inlineStr">
        <is>
          <t>Added in V7__llm_essay_feedback.sql.</t>
        </is>
      </c>
    </row>
    <row r="571" ht="26.4" customHeight="1" s="31">
      <c r="A571" s="13" t="inlineStr">
        <is>
          <t>Human Review (human_reviews)</t>
        </is>
      </c>
      <c r="B571" s="12" t="inlineStr">
        <is>
          <t>id</t>
        </is>
      </c>
      <c r="C571" s="13" t="inlineStr">
        <is>
          <t>UUID</t>
        </is>
      </c>
      <c r="D571" s="13" t="inlineStr">
        <is>
          <t>PK</t>
        </is>
      </c>
      <c r="E571" s="13" t="inlineStr">
        <is>
          <t>No</t>
        </is>
      </c>
      <c r="F571" s="13" t="inlineStr">
        <is>
          <t>Yes</t>
        </is>
      </c>
      <c r="G571" s="13" t="inlineStr">
        <is>
          <t>gen_random_uuid()</t>
        </is>
      </c>
      <c r="H571" s="13" t="inlineStr">
        <is>
          <t>—</t>
        </is>
      </c>
      <c r="I571" s="13" t="inlineStr">
        <is>
          <t>While the account exists; responses and audio references deleted 30 days after closure, scores and results anonymised (SRS 4.3).</t>
        </is>
      </c>
      <c r="J571" s="13" t="inlineStr">
        <is>
          <t>assessment-service</t>
        </is>
      </c>
      <c r="K571" s="13" t="inlineStr">
        <is>
          <t>Tracks examiner assignment and review for a grading job. Table human_reviews; owner assessment-service; created in V1__create_assessment_tables.sql.</t>
        </is>
      </c>
    </row>
    <row r="572" ht="26.4" customHeight="1" s="31">
      <c r="A572" s="13" t="inlineStr">
        <is>
          <t>Human Review (human_reviews)</t>
        </is>
      </c>
      <c r="B572" s="13" t="inlineStr">
        <is>
          <t>grading_job_id</t>
        </is>
      </c>
      <c r="C572" s="13" t="inlineStr">
        <is>
          <t>UUID</t>
        </is>
      </c>
      <c r="D572" s="13" t="inlineStr">
        <is>
          <t>FK→Grading Job.id</t>
        </is>
      </c>
      <c r="E572" s="13" t="inlineStr">
        <is>
          <t>No</t>
        </is>
      </c>
      <c r="F572" s="13" t="inlineStr">
        <is>
          <t>Yes</t>
        </is>
      </c>
      <c r="G572" s="13" t="inlineStr">
        <is>
          <t>—</t>
        </is>
      </c>
      <c r="H572" s="13" t="inlineStr">
        <is>
          <t>—</t>
        </is>
      </c>
      <c r="I572" s="13" t="inlineStr">
        <is>
          <t>While the account exists; responses and audio references deleted 30 days after closure, scores and results anonymised (SRS 4.3).</t>
        </is>
      </c>
      <c r="J572" s="13" t="inlineStr">
        <is>
          <t>assessment-service</t>
        </is>
      </c>
      <c r="K572" s="13" t="n"/>
    </row>
    <row r="573" ht="26.4" customHeight="1" s="31">
      <c r="A573" s="13" t="inlineStr">
        <is>
          <t>Human Review (human_reviews)</t>
        </is>
      </c>
      <c r="B573" s="13" t="inlineStr">
        <is>
          <t>grader_user_id</t>
        </is>
      </c>
      <c r="C573" s="13" t="inlineStr">
        <is>
          <t>UUID</t>
        </is>
      </c>
      <c r="D573" s="13" t="inlineStr">
        <is>
          <t>Ref→User (no FK)</t>
        </is>
      </c>
      <c r="E573" s="13" t="inlineStr">
        <is>
          <t>Yes</t>
        </is>
      </c>
      <c r="F573" s="13" t="inlineStr">
        <is>
          <t>No</t>
        </is>
      </c>
      <c r="G573" s="13" t="inlineStr">
        <is>
          <t>NULL</t>
        </is>
      </c>
      <c r="H573" s="13" t="inlineStr">
        <is>
          <t>—</t>
        </is>
      </c>
      <c r="I573" s="13" t="inlineStr">
        <is>
          <t>While the account exists; responses and audio references deleted 30 days after closure, scores and results anonymised (SRS 4.3).</t>
        </is>
      </c>
      <c r="J573" s="13" t="inlineStr">
        <is>
          <t>assessment-service</t>
        </is>
      </c>
      <c r="K573" s="13" t="inlineStr">
        <is>
          <t>Stored id only; no SQL foreign key (cross-service or polymorphic).</t>
        </is>
      </c>
    </row>
    <row r="574" ht="26.4" customHeight="1" s="31">
      <c r="A574" s="13" t="inlineStr">
        <is>
          <t>Human Review (human_reviews)</t>
        </is>
      </c>
      <c r="B574" s="13" t="inlineStr">
        <is>
          <t>status</t>
        </is>
      </c>
      <c r="C574" s="13" t="inlineStr">
        <is>
          <t>VARCHAR(30)</t>
        </is>
      </c>
      <c r="D574" s="13" t="inlineStr">
        <is>
          <t>—</t>
        </is>
      </c>
      <c r="E574" s="13" t="inlineStr">
        <is>
          <t>No</t>
        </is>
      </c>
      <c r="F574" s="13" t="inlineStr">
        <is>
          <t>No</t>
        </is>
      </c>
      <c r="G574" s="13" t="inlineStr">
        <is>
          <t>—</t>
        </is>
      </c>
      <c r="H574" s="13" t="inlineStr">
        <is>
          <t>CHECK (status IN ('QUEUED','ASSIGNED','IN_REVIEW','COMPLETED'))</t>
        </is>
      </c>
      <c r="I574" s="13" t="inlineStr">
        <is>
          <t>While the account exists; responses and audio references deleted 30 days after closure, scores and results anonymised (SRS 4.3).</t>
        </is>
      </c>
      <c r="J574" s="13" t="inlineStr">
        <is>
          <t>assessment-service</t>
        </is>
      </c>
      <c r="K574" s="13" t="n"/>
    </row>
    <row r="575" ht="26.4" customHeight="1" s="31">
      <c r="A575" s="13" t="inlineStr">
        <is>
          <t>Human Review (human_reviews)</t>
        </is>
      </c>
      <c r="B575" s="13" t="inlineStr">
        <is>
          <t>assigned_at</t>
        </is>
      </c>
      <c r="C575" s="13" t="inlineStr">
        <is>
          <t>TIMESTAMPTZ</t>
        </is>
      </c>
      <c r="D575" s="13" t="inlineStr">
        <is>
          <t>—</t>
        </is>
      </c>
      <c r="E575" s="13" t="inlineStr">
        <is>
          <t>Yes</t>
        </is>
      </c>
      <c r="F575" s="13" t="inlineStr">
        <is>
          <t>No</t>
        </is>
      </c>
      <c r="G575" s="13" t="inlineStr">
        <is>
          <t>NULL</t>
        </is>
      </c>
      <c r="H575" s="13" t="inlineStr">
        <is>
          <t>—</t>
        </is>
      </c>
      <c r="I575" s="13" t="inlineStr">
        <is>
          <t>While the account exists; responses and audio references deleted 30 days after closure, scores and results anonymised (SRS 4.3).</t>
        </is>
      </c>
      <c r="J575" s="13" t="inlineStr">
        <is>
          <t>assessment-service</t>
        </is>
      </c>
      <c r="K575" s="13" t="n"/>
    </row>
    <row r="576" ht="26.4" customHeight="1" s="31">
      <c r="A576" s="13" t="inlineStr">
        <is>
          <t>Human Review (human_reviews)</t>
        </is>
      </c>
      <c r="B576" s="13" t="inlineStr">
        <is>
          <t>started_at</t>
        </is>
      </c>
      <c r="C576" s="13" t="inlineStr">
        <is>
          <t>TIMESTAMPTZ</t>
        </is>
      </c>
      <c r="D576" s="13" t="inlineStr">
        <is>
          <t>—</t>
        </is>
      </c>
      <c r="E576" s="13" t="inlineStr">
        <is>
          <t>Yes</t>
        </is>
      </c>
      <c r="F576" s="13" t="inlineStr">
        <is>
          <t>No</t>
        </is>
      </c>
      <c r="G576" s="13" t="inlineStr">
        <is>
          <t>NULL</t>
        </is>
      </c>
      <c r="H576" s="13" t="inlineStr">
        <is>
          <t>—</t>
        </is>
      </c>
      <c r="I576" s="13" t="inlineStr">
        <is>
          <t>While the account exists; responses and audio references deleted 30 days after closure, scores and results anonymised (SRS 4.3).</t>
        </is>
      </c>
      <c r="J576" s="13" t="inlineStr">
        <is>
          <t>assessment-service</t>
        </is>
      </c>
      <c r="K576" s="13" t="n"/>
    </row>
    <row r="577" ht="26.4" customHeight="1" s="31">
      <c r="A577" s="13" t="inlineStr">
        <is>
          <t>Human Review (human_reviews)</t>
        </is>
      </c>
      <c r="B577" s="13" t="inlineStr">
        <is>
          <t>completed_at</t>
        </is>
      </c>
      <c r="C577" s="13" t="inlineStr">
        <is>
          <t>TIMESTAMPTZ</t>
        </is>
      </c>
      <c r="D577" s="13" t="inlineStr">
        <is>
          <t>—</t>
        </is>
      </c>
      <c r="E577" s="13" t="inlineStr">
        <is>
          <t>Yes</t>
        </is>
      </c>
      <c r="F577" s="13" t="inlineStr">
        <is>
          <t>No</t>
        </is>
      </c>
      <c r="G577" s="13" t="inlineStr">
        <is>
          <t>NULL</t>
        </is>
      </c>
      <c r="H577" s="13" t="inlineStr">
        <is>
          <t>—</t>
        </is>
      </c>
      <c r="I577" s="13" t="inlineStr">
        <is>
          <t>While the account exists; responses and audio references deleted 30 days after closure, scores and results anonymised (SRS 4.3).</t>
        </is>
      </c>
      <c r="J577" s="13" t="inlineStr">
        <is>
          <t>assessment-service</t>
        </is>
      </c>
      <c r="K577" s="13" t="n"/>
    </row>
    <row r="578" ht="39.6" customHeight="1" s="31">
      <c r="A578" s="13" t="inlineStr">
        <is>
          <t>Human Review (human_reviews)</t>
        </is>
      </c>
      <c r="B578" s="13" t="inlineStr">
        <is>
          <t>reviewer_note</t>
        </is>
      </c>
      <c r="C578" s="13" t="inlineStr">
        <is>
          <t>TEXT</t>
        </is>
      </c>
      <c r="D578" s="13" t="inlineStr">
        <is>
          <t>—</t>
        </is>
      </c>
      <c r="E578" s="13" t="inlineStr">
        <is>
          <t>Yes</t>
        </is>
      </c>
      <c r="F578" s="13" t="inlineStr">
        <is>
          <t>No</t>
        </is>
      </c>
      <c r="G578" s="13" t="inlineStr">
        <is>
          <t>NULL</t>
        </is>
      </c>
      <c r="H578" s="13" t="inlineStr">
        <is>
          <t>—</t>
        </is>
      </c>
      <c r="I578" s="13" t="inlineStr">
        <is>
          <t>While the account exists; responses and audio references deleted 30 days after closure, scores and results anonymised (SRS 4.3).</t>
        </is>
      </c>
      <c r="J578" s="13" t="inlineStr">
        <is>
          <t>assessment-service</t>
        </is>
      </c>
      <c r="K578" s="13" t="n"/>
    </row>
    <row r="579" ht="26.4" customHeight="1" s="31">
      <c r="A579" s="11" t="inlineStr">
        <is>
          <t>Grading Point Cost (grading_point_costs)</t>
        </is>
      </c>
      <c r="B579" s="10" t="inlineStr">
        <is>
          <t>id</t>
        </is>
      </c>
      <c r="C579" s="11" t="inlineStr">
        <is>
          <t>UUID</t>
        </is>
      </c>
      <c r="D579" s="11" t="inlineStr">
        <is>
          <t>PK</t>
        </is>
      </c>
      <c r="E579" s="11" t="inlineStr">
        <is>
          <t>No</t>
        </is>
      </c>
      <c r="F579" s="11" t="inlineStr">
        <is>
          <t>Yes</t>
        </is>
      </c>
      <c r="G579" s="11" t="inlineStr">
        <is>
          <t>gen_random_uuid()</t>
        </is>
      </c>
      <c r="H579" s="11" t="inlineStr">
        <is>
          <t>—</t>
        </is>
      </c>
      <c r="I579" s="11" t="inlineStr">
        <is>
          <t>For the life of the system; archived, not deleted (SRS 4.3).</t>
        </is>
      </c>
      <c r="J579" s="11" t="inlineStr">
        <is>
          <t>assessment-service</t>
        </is>
      </c>
      <c r="K579" s="11" t="inlineStr">
        <is>
          <t>Defines a time-bounded point cost for a skill and grading mode. Table grading_point_costs; owner assessment-service; created in V1__create_assessment_tables.sql.</t>
        </is>
      </c>
    </row>
    <row r="580" ht="26.4" customHeight="1" s="31">
      <c r="A580" s="11" t="inlineStr">
        <is>
          <t>Grading Point Cost (grading_point_costs)</t>
        </is>
      </c>
      <c r="B580" s="11" t="inlineStr">
        <is>
          <t>skill</t>
        </is>
      </c>
      <c r="C580" s="11" t="inlineStr">
        <is>
          <t>VARCHAR(20)</t>
        </is>
      </c>
      <c r="D580" s="11" t="inlineStr">
        <is>
          <t>—</t>
        </is>
      </c>
      <c r="E580" s="11" t="inlineStr">
        <is>
          <t>No</t>
        </is>
      </c>
      <c r="F580" s="11" t="inlineStr">
        <is>
          <t>No</t>
        </is>
      </c>
      <c r="G580" s="11" t="inlineStr">
        <is>
          <t>—</t>
        </is>
      </c>
      <c r="H580" s="11" t="inlineStr">
        <is>
          <t>CHECK (skill IN ('WRITING','SPEAKING'))</t>
        </is>
      </c>
      <c r="I580" s="11" t="inlineStr">
        <is>
          <t>For the life of the system; archived, not deleted (SRS 4.3).</t>
        </is>
      </c>
      <c r="J580" s="11" t="inlineStr">
        <is>
          <t>assessment-service</t>
        </is>
      </c>
      <c r="K580" s="11" t="n"/>
    </row>
    <row r="581" ht="26.4" customHeight="1" s="31">
      <c r="A581" s="11" t="inlineStr">
        <is>
          <t>Grading Point Cost (grading_point_costs)</t>
        </is>
      </c>
      <c r="B581" s="11" t="inlineStr">
        <is>
          <t>grading_mode</t>
        </is>
      </c>
      <c r="C581" s="11" t="inlineStr">
        <is>
          <t>VARCHAR(20)</t>
        </is>
      </c>
      <c r="D581" s="11" t="inlineStr">
        <is>
          <t>—</t>
        </is>
      </c>
      <c r="E581" s="11" t="inlineStr">
        <is>
          <t>No</t>
        </is>
      </c>
      <c r="F581" s="11" t="inlineStr">
        <is>
          <t>No</t>
        </is>
      </c>
      <c r="G581" s="11" t="inlineStr">
        <is>
          <t>—</t>
        </is>
      </c>
      <c r="H581" s="11" t="inlineStr">
        <is>
          <t>CHECK (grading_mode IN ('AI','HUMAN'))</t>
        </is>
      </c>
      <c r="I581" s="11" t="inlineStr">
        <is>
          <t>For the life of the system; archived, not deleted (SRS 4.3).</t>
        </is>
      </c>
      <c r="J581" s="11" t="inlineStr">
        <is>
          <t>assessment-service</t>
        </is>
      </c>
      <c r="K581" s="11" t="n"/>
    </row>
    <row r="582" ht="26.4" customHeight="1" s="31">
      <c r="A582" s="11" t="inlineStr">
        <is>
          <t>Grading Point Cost (grading_point_costs)</t>
        </is>
      </c>
      <c r="B582" s="11" t="inlineStr">
        <is>
          <t>point_cost</t>
        </is>
      </c>
      <c r="C582" s="11" t="inlineStr">
        <is>
          <t>INT</t>
        </is>
      </c>
      <c r="D582" s="11" t="inlineStr">
        <is>
          <t>—</t>
        </is>
      </c>
      <c r="E582" s="11" t="inlineStr">
        <is>
          <t>No</t>
        </is>
      </c>
      <c r="F582" s="11" t="inlineStr">
        <is>
          <t>No</t>
        </is>
      </c>
      <c r="G582" s="11" t="inlineStr">
        <is>
          <t>—</t>
        </is>
      </c>
      <c r="H582" s="11" t="inlineStr">
        <is>
          <t>CHECK (point_cost &gt;= 0)</t>
        </is>
      </c>
      <c r="I582" s="11" t="inlineStr">
        <is>
          <t>For the life of the system; archived, not deleted (SRS 4.3).</t>
        </is>
      </c>
      <c r="J582" s="11" t="inlineStr">
        <is>
          <t>assessment-service</t>
        </is>
      </c>
      <c r="K582" s="11" t="n"/>
    </row>
    <row r="583" ht="26.4" customHeight="1" s="31">
      <c r="A583" s="11" t="inlineStr">
        <is>
          <t>Grading Point Cost (grading_point_costs)</t>
        </is>
      </c>
      <c r="B583" s="11" t="inlineStr">
        <is>
          <t>effective_from</t>
        </is>
      </c>
      <c r="C583" s="11" t="inlineStr">
        <is>
          <t>TIMESTAMPTZ</t>
        </is>
      </c>
      <c r="D583" s="11" t="inlineStr">
        <is>
          <t>—</t>
        </is>
      </c>
      <c r="E583" s="11" t="inlineStr">
        <is>
          <t>No</t>
        </is>
      </c>
      <c r="F583" s="11" t="inlineStr">
        <is>
          <t>No</t>
        </is>
      </c>
      <c r="G583" s="11" t="inlineStr">
        <is>
          <t>—</t>
        </is>
      </c>
      <c r="H583" s="11" t="inlineStr">
        <is>
          <t>CHECK (effective_to IS NULL OR effective_to &gt; effective_from)</t>
        </is>
      </c>
      <c r="I583" s="11" t="inlineStr">
        <is>
          <t>For the life of the system; archived, not deleted (SRS 4.3).</t>
        </is>
      </c>
      <c r="J583" s="11" t="inlineStr">
        <is>
          <t>assessment-service</t>
        </is>
      </c>
      <c r="K583" s="11" t="n"/>
    </row>
    <row r="584" ht="26.4" customHeight="1" s="31">
      <c r="A584" s="11" t="inlineStr">
        <is>
          <t>Grading Point Cost (grading_point_costs)</t>
        </is>
      </c>
      <c r="B584" s="11" t="inlineStr">
        <is>
          <t>effective_to</t>
        </is>
      </c>
      <c r="C584" s="11" t="inlineStr">
        <is>
          <t>TIMESTAMPTZ</t>
        </is>
      </c>
      <c r="D584" s="11" t="inlineStr">
        <is>
          <t>—</t>
        </is>
      </c>
      <c r="E584" s="11" t="inlineStr">
        <is>
          <t>Yes</t>
        </is>
      </c>
      <c r="F584" s="11" t="inlineStr">
        <is>
          <t>No</t>
        </is>
      </c>
      <c r="G584" s="11" t="inlineStr">
        <is>
          <t>NULL</t>
        </is>
      </c>
      <c r="H584" s="11" t="inlineStr">
        <is>
          <t>CHECK (effective_to IS NULL OR effective_to &gt; effective_from)</t>
        </is>
      </c>
      <c r="I584" s="11" t="inlineStr">
        <is>
          <t>For the life of the system; archived, not deleted (SRS 4.3).</t>
        </is>
      </c>
      <c r="J584" s="11" t="inlineStr">
        <is>
          <t>assessment-service</t>
        </is>
      </c>
      <c r="K584" s="11" t="n"/>
    </row>
    <row r="585" ht="26.4" customHeight="1" s="31">
      <c r="A585" s="11" t="inlineStr">
        <is>
          <t>Grading Point Cost (grading_point_costs)</t>
        </is>
      </c>
      <c r="B585" s="11" t="inlineStr">
        <is>
          <t>status</t>
        </is>
      </c>
      <c r="C585" s="11" t="inlineStr">
        <is>
          <t>VARCHAR(20)</t>
        </is>
      </c>
      <c r="D585" s="11" t="inlineStr">
        <is>
          <t>—</t>
        </is>
      </c>
      <c r="E585" s="11" t="inlineStr">
        <is>
          <t>No</t>
        </is>
      </c>
      <c r="F585" s="11" t="inlineStr">
        <is>
          <t>No</t>
        </is>
      </c>
      <c r="G585" s="11" t="inlineStr">
        <is>
          <t>—</t>
        </is>
      </c>
      <c r="H585" s="11" t="inlineStr">
        <is>
          <t>CHECK (status IN ('ACTIVE','INACTIVE'))</t>
        </is>
      </c>
      <c r="I585" s="11" t="inlineStr">
        <is>
          <t>For the life of the system; archived, not deleted (SRS 4.3).</t>
        </is>
      </c>
      <c r="J585" s="11" t="inlineStr">
        <is>
          <t>assessment-service</t>
        </is>
      </c>
      <c r="K585" s="11" t="n"/>
    </row>
    <row r="586" ht="26.4" customHeight="1" s="31">
      <c r="A586" s="11" t="inlineStr">
        <is>
          <t>Grading Point Cost (grading_point_costs)</t>
        </is>
      </c>
      <c r="B586" s="11" t="inlineStr">
        <is>
          <t>created_at</t>
        </is>
      </c>
      <c r="C586" s="11" t="inlineStr">
        <is>
          <t>TIMESTAMPTZ</t>
        </is>
      </c>
      <c r="D586" s="11" t="inlineStr">
        <is>
          <t>—</t>
        </is>
      </c>
      <c r="E586" s="11" t="inlineStr">
        <is>
          <t>No</t>
        </is>
      </c>
      <c r="F586" s="11" t="inlineStr">
        <is>
          <t>No</t>
        </is>
      </c>
      <c r="G586" s="11" t="inlineStr">
        <is>
          <t>CURRENT_TIMESTAMP</t>
        </is>
      </c>
      <c r="H586" s="11" t="inlineStr">
        <is>
          <t>—</t>
        </is>
      </c>
      <c r="I586" s="11" t="inlineStr">
        <is>
          <t>For the life of the system; archived, not deleted (SRS 4.3).</t>
        </is>
      </c>
      <c r="J586" s="11" t="inlineStr">
        <is>
          <t>assessment-service</t>
        </is>
      </c>
      <c r="K586" s="11" t="n"/>
    </row>
    <row r="587" ht="39.6" customHeight="1" s="31">
      <c r="A587" s="13" t="inlineStr">
        <is>
          <t>Video Practice Attempt (video_practice_attempts)</t>
        </is>
      </c>
      <c r="B587" s="12" t="inlineStr">
        <is>
          <t>id</t>
        </is>
      </c>
      <c r="C587" s="13" t="inlineStr">
        <is>
          <t>UUID</t>
        </is>
      </c>
      <c r="D587" s="13" t="inlineStr">
        <is>
          <t>PK</t>
        </is>
      </c>
      <c r="E587" s="13" t="inlineStr">
        <is>
          <t>No</t>
        </is>
      </c>
      <c r="F587" s="13" t="inlineStr">
        <is>
          <t>Yes</t>
        </is>
      </c>
      <c r="G587" s="13" t="inlineStr">
        <is>
          <t>gen_random_uuid()</t>
        </is>
      </c>
      <c r="H587" s="13" t="inlineStr">
        <is>
          <t>—</t>
        </is>
      </c>
      <c r="I587" s="13" t="inlineStr">
        <is>
          <t>While the account exists; responses and audio references deleted 30 days after closure, scores and results anonymised (SRS 4.3).</t>
        </is>
      </c>
      <c r="J587" s="13" t="inlineStr">
        <is>
          <t>assessment-service</t>
        </is>
      </c>
      <c r="K587" s="13" t="inlineStr">
        <is>
          <t>Records a user's dictation or shadowing attempt for a video segment. Table video_practice_attempts; owner assessment-service; created in V1__create_assessment_tables.sql.</t>
        </is>
      </c>
    </row>
    <row r="588" ht="26.4" customHeight="1" s="31">
      <c r="A588" s="13" t="inlineStr">
        <is>
          <t>Video Practice Attempt (video_practice_attempts)</t>
        </is>
      </c>
      <c r="B588" s="13" t="inlineStr">
        <is>
          <t>user_id</t>
        </is>
      </c>
      <c r="C588" s="13" t="inlineStr">
        <is>
          <t>UUID</t>
        </is>
      </c>
      <c r="D588" s="13" t="inlineStr">
        <is>
          <t>Ref→User (no FK)</t>
        </is>
      </c>
      <c r="E588" s="13" t="inlineStr">
        <is>
          <t>No</t>
        </is>
      </c>
      <c r="F588" s="13" t="inlineStr">
        <is>
          <t>No</t>
        </is>
      </c>
      <c r="G588" s="13" t="inlineStr">
        <is>
          <t>—</t>
        </is>
      </c>
      <c r="H588" s="13" t="inlineStr">
        <is>
          <t>—</t>
        </is>
      </c>
      <c r="I588" s="13" t="inlineStr">
        <is>
          <t>While the account exists; responses and audio references deleted 30 days after closure, scores and results anonymised (SRS 4.3).</t>
        </is>
      </c>
      <c r="J588" s="13" t="inlineStr">
        <is>
          <t>assessment-service</t>
        </is>
      </c>
      <c r="K588" s="13" t="inlineStr">
        <is>
          <t>Stored id only; no SQL foreign key (cross-service or polymorphic).</t>
        </is>
      </c>
    </row>
    <row r="589" ht="26.4" customHeight="1" s="31">
      <c r="A589" s="13" t="inlineStr">
        <is>
          <t>Video Practice Attempt (video_practice_attempts)</t>
        </is>
      </c>
      <c r="B589" s="13" t="inlineStr">
        <is>
          <t>video_id</t>
        </is>
      </c>
      <c r="C589" s="13" t="inlineStr">
        <is>
          <t>UUID</t>
        </is>
      </c>
      <c r="D589" s="13" t="inlineStr">
        <is>
          <t>Ref→Learning Video (no FK)</t>
        </is>
      </c>
      <c r="E589" s="13" t="inlineStr">
        <is>
          <t>No</t>
        </is>
      </c>
      <c r="F589" s="13" t="inlineStr">
        <is>
          <t>No</t>
        </is>
      </c>
      <c r="G589" s="13" t="inlineStr">
        <is>
          <t>—</t>
        </is>
      </c>
      <c r="H589" s="13" t="inlineStr">
        <is>
          <t>—</t>
        </is>
      </c>
      <c r="I589" s="13" t="inlineStr">
        <is>
          <t>While the account exists; responses and audio references deleted 30 days after closure, scores and results anonymised (SRS 4.3).</t>
        </is>
      </c>
      <c r="J589" s="13" t="inlineStr">
        <is>
          <t>assessment-service</t>
        </is>
      </c>
      <c r="K589" s="13" t="inlineStr">
        <is>
          <t>Stored id only; no SQL foreign key (cross-service or polymorphic).</t>
        </is>
      </c>
    </row>
    <row r="590" ht="26.4" customHeight="1" s="31">
      <c r="A590" s="13" t="inlineStr">
        <is>
          <t>Video Practice Attempt (video_practice_attempts)</t>
        </is>
      </c>
      <c r="B590" s="13" t="inlineStr">
        <is>
          <t>segment_id</t>
        </is>
      </c>
      <c r="C590" s="13" t="inlineStr">
        <is>
          <t>UUID</t>
        </is>
      </c>
      <c r="D590" s="13" t="inlineStr">
        <is>
          <t>Ref→Video Segment (no FK)</t>
        </is>
      </c>
      <c r="E590" s="13" t="inlineStr">
        <is>
          <t>No</t>
        </is>
      </c>
      <c r="F590" s="13" t="inlineStr">
        <is>
          <t>No</t>
        </is>
      </c>
      <c r="G590" s="13" t="inlineStr">
        <is>
          <t>—</t>
        </is>
      </c>
      <c r="H590" s="13" t="inlineStr">
        <is>
          <t>—</t>
        </is>
      </c>
      <c r="I590" s="13" t="inlineStr">
        <is>
          <t>While the account exists; responses and audio references deleted 30 days after closure, scores and results anonymised (SRS 4.3).</t>
        </is>
      </c>
      <c r="J590" s="13" t="inlineStr">
        <is>
          <t>assessment-service</t>
        </is>
      </c>
      <c r="K590" s="13" t="inlineStr">
        <is>
          <t>Stored id only; no SQL foreign key (cross-service or polymorphic).</t>
        </is>
      </c>
    </row>
    <row r="591" ht="26.4" customHeight="1" s="31">
      <c r="A591" s="13" t="inlineStr">
        <is>
          <t>Video Practice Attempt (video_practice_attempts)</t>
        </is>
      </c>
      <c r="B591" s="13" t="inlineStr">
        <is>
          <t>practice_type</t>
        </is>
      </c>
      <c r="C591" s="13" t="inlineStr">
        <is>
          <t>VARCHAR(30)</t>
        </is>
      </c>
      <c r="D591" s="13" t="inlineStr">
        <is>
          <t>—</t>
        </is>
      </c>
      <c r="E591" s="13" t="inlineStr">
        <is>
          <t>No</t>
        </is>
      </c>
      <c r="F591" s="13" t="inlineStr">
        <is>
          <t>No</t>
        </is>
      </c>
      <c r="G591" s="13" t="inlineStr">
        <is>
          <t>—</t>
        </is>
      </c>
      <c r="H591" s="13" t="inlineStr">
        <is>
          <t>CHECK (practice_type IN ('DICTATION','SHADOWING'))</t>
        </is>
      </c>
      <c r="I591" s="13" t="inlineStr">
        <is>
          <t>While the account exists; responses and audio references deleted 30 days after closure, scores and results anonymised (SRS 4.3).</t>
        </is>
      </c>
      <c r="J591" s="13" t="inlineStr">
        <is>
          <t>assessment-service</t>
        </is>
      </c>
      <c r="K591" s="13" t="n"/>
    </row>
    <row r="592" ht="26.4" customHeight="1" s="31">
      <c r="A592" s="13" t="inlineStr">
        <is>
          <t>Video Practice Attempt (video_practice_attempts)</t>
        </is>
      </c>
      <c r="B592" s="13" t="inlineStr">
        <is>
          <t>reference_text_snapshot</t>
        </is>
      </c>
      <c r="C592" s="13" t="inlineStr">
        <is>
          <t>TEXT</t>
        </is>
      </c>
      <c r="D592" s="13" t="inlineStr">
        <is>
          <t>—</t>
        </is>
      </c>
      <c r="E592" s="13" t="inlineStr">
        <is>
          <t>No</t>
        </is>
      </c>
      <c r="F592" s="13" t="inlineStr">
        <is>
          <t>No</t>
        </is>
      </c>
      <c r="G592" s="13" t="inlineStr">
        <is>
          <t>—</t>
        </is>
      </c>
      <c r="H592" s="13" t="inlineStr">
        <is>
          <t>—</t>
        </is>
      </c>
      <c r="I592" s="13" t="inlineStr">
        <is>
          <t>While the account exists; responses and audio references deleted 30 days after closure, scores and results anonymised (SRS 4.3).</t>
        </is>
      </c>
      <c r="J592" s="13" t="inlineStr">
        <is>
          <t>assessment-service</t>
        </is>
      </c>
      <c r="K592" s="13" t="n"/>
    </row>
    <row r="593" ht="26.4" customHeight="1" s="31">
      <c r="A593" s="13" t="inlineStr">
        <is>
          <t>Video Practice Attempt (video_practice_attempts)</t>
        </is>
      </c>
      <c r="B593" s="13" t="inlineStr">
        <is>
          <t>response_text</t>
        </is>
      </c>
      <c r="C593" s="13" t="inlineStr">
        <is>
          <t>TEXT</t>
        </is>
      </c>
      <c r="D593" s="13" t="inlineStr">
        <is>
          <t>—</t>
        </is>
      </c>
      <c r="E593" s="13" t="inlineStr">
        <is>
          <t>Yes</t>
        </is>
      </c>
      <c r="F593" s="13" t="inlineStr">
        <is>
          <t>No</t>
        </is>
      </c>
      <c r="G593" s="13" t="inlineStr">
        <is>
          <t>NULL</t>
        </is>
      </c>
      <c r="H593" s="13" t="inlineStr">
        <is>
          <t>—</t>
        </is>
      </c>
      <c r="I593" s="13" t="inlineStr">
        <is>
          <t>While the account exists; responses and audio references deleted 30 days after closure, scores and results anonymised (SRS 4.3).</t>
        </is>
      </c>
      <c r="J593" s="13" t="inlineStr">
        <is>
          <t>assessment-service</t>
        </is>
      </c>
      <c r="K593" s="13" t="n"/>
    </row>
    <row r="594" ht="26.4" customHeight="1" s="31">
      <c r="A594" s="13" t="inlineStr">
        <is>
          <t>Video Practice Attempt (video_practice_attempts)</t>
        </is>
      </c>
      <c r="B594" s="13" t="inlineStr">
        <is>
          <t>audio_reference</t>
        </is>
      </c>
      <c r="C594" s="13" t="inlineStr">
        <is>
          <t>VARCHAR(500)</t>
        </is>
      </c>
      <c r="D594" s="13" t="inlineStr">
        <is>
          <t>—</t>
        </is>
      </c>
      <c r="E594" s="13" t="inlineStr">
        <is>
          <t>Yes</t>
        </is>
      </c>
      <c r="F594" s="13" t="inlineStr">
        <is>
          <t>No</t>
        </is>
      </c>
      <c r="G594" s="13" t="inlineStr">
        <is>
          <t>NULL</t>
        </is>
      </c>
      <c r="H594" s="13" t="inlineStr">
        <is>
          <t>—</t>
        </is>
      </c>
      <c r="I594" s="13" t="inlineStr">
        <is>
          <t>While the account exists; responses and audio references deleted 30 days after closure, scores and results anonymised (SRS 4.3).</t>
        </is>
      </c>
      <c r="J594" s="13" t="inlineStr">
        <is>
          <t>assessment-service</t>
        </is>
      </c>
      <c r="K594" s="13" t="n"/>
    </row>
    <row r="595" ht="26.4" customHeight="1" s="31">
      <c r="A595" s="13" t="inlineStr">
        <is>
          <t>Video Practice Attempt (video_practice_attempts)</t>
        </is>
      </c>
      <c r="B595" s="13" t="inlineStr">
        <is>
          <t>score</t>
        </is>
      </c>
      <c r="C595" s="13" t="inlineStr">
        <is>
          <t>NUMERIC(5,2)</t>
        </is>
      </c>
      <c r="D595" s="13" t="inlineStr">
        <is>
          <t>—</t>
        </is>
      </c>
      <c r="E595" s="13" t="inlineStr">
        <is>
          <t>Yes</t>
        </is>
      </c>
      <c r="F595" s="13" t="inlineStr">
        <is>
          <t>No</t>
        </is>
      </c>
      <c r="G595" s="13" t="inlineStr">
        <is>
          <t>NULL</t>
        </is>
      </c>
      <c r="H595" s="13" t="inlineStr">
        <is>
          <t>CHECK (score &gt;= 0)</t>
        </is>
      </c>
      <c r="I595" s="13" t="inlineStr">
        <is>
          <t>While the account exists; responses and audio references deleted 30 days after closure, scores and results anonymised (SRS 4.3).</t>
        </is>
      </c>
      <c r="J595" s="13" t="inlineStr">
        <is>
          <t>assessment-service</t>
        </is>
      </c>
      <c r="K595" s="13" t="n"/>
    </row>
    <row r="596" ht="26.4" customHeight="1" s="31">
      <c r="A596" s="13" t="inlineStr">
        <is>
          <t>Video Practice Attempt (video_practice_attempts)</t>
        </is>
      </c>
      <c r="B596" s="13" t="inlineStr">
        <is>
          <t>result_payload</t>
        </is>
      </c>
      <c r="C596" s="13" t="inlineStr">
        <is>
          <t>JSONB</t>
        </is>
      </c>
      <c r="D596" s="13" t="inlineStr">
        <is>
          <t>—</t>
        </is>
      </c>
      <c r="E596" s="13" t="inlineStr">
        <is>
          <t>Yes</t>
        </is>
      </c>
      <c r="F596" s="13" t="inlineStr">
        <is>
          <t>No</t>
        </is>
      </c>
      <c r="G596" s="13" t="inlineStr">
        <is>
          <t>NULL</t>
        </is>
      </c>
      <c r="H596" s="13" t="inlineStr">
        <is>
          <t>—</t>
        </is>
      </c>
      <c r="I596" s="13" t="inlineStr">
        <is>
          <t>While the account exists; responses and audio references deleted 30 days after closure, scores and results anonymised (SRS 4.3).</t>
        </is>
      </c>
      <c r="J596" s="13" t="inlineStr">
        <is>
          <t>assessment-service</t>
        </is>
      </c>
      <c r="K596" s="13" t="n"/>
    </row>
    <row r="597" ht="26.4" customHeight="1" s="31">
      <c r="A597" s="13" t="inlineStr">
        <is>
          <t>Video Practice Attempt (video_practice_attempts)</t>
        </is>
      </c>
      <c r="B597" s="13" t="inlineStr">
        <is>
          <t>status</t>
        </is>
      </c>
      <c r="C597" s="13" t="inlineStr">
        <is>
          <t>VARCHAR(30)</t>
        </is>
      </c>
      <c r="D597" s="13" t="inlineStr">
        <is>
          <t>—</t>
        </is>
      </c>
      <c r="E597" s="13" t="inlineStr">
        <is>
          <t>No</t>
        </is>
      </c>
      <c r="F597" s="13" t="inlineStr">
        <is>
          <t>No</t>
        </is>
      </c>
      <c r="G597" s="13" t="inlineStr">
        <is>
          <t>—</t>
        </is>
      </c>
      <c r="H597" s="13" t="inlineStr">
        <is>
          <t>CHECK (status IN ('IN_PROGRESS','COMPLETED','FAILED'))</t>
        </is>
      </c>
      <c r="I597" s="13" t="inlineStr">
        <is>
          <t>While the account exists; responses and audio references deleted 30 days after closure, scores and results anonymised (SRS 4.3).</t>
        </is>
      </c>
      <c r="J597" s="13" t="inlineStr">
        <is>
          <t>assessment-service</t>
        </is>
      </c>
      <c r="K597" s="13" t="n"/>
    </row>
    <row r="598" ht="26.4" customHeight="1" s="31">
      <c r="A598" s="13" t="inlineStr">
        <is>
          <t>Video Practice Attempt (video_practice_attempts)</t>
        </is>
      </c>
      <c r="B598" s="13" t="inlineStr">
        <is>
          <t>started_at</t>
        </is>
      </c>
      <c r="C598" s="13" t="inlineStr">
        <is>
          <t>TIMESTAMPTZ</t>
        </is>
      </c>
      <c r="D598" s="13" t="inlineStr">
        <is>
          <t>—</t>
        </is>
      </c>
      <c r="E598" s="13" t="inlineStr">
        <is>
          <t>No</t>
        </is>
      </c>
      <c r="F598" s="13" t="inlineStr">
        <is>
          <t>No</t>
        </is>
      </c>
      <c r="G598" s="13" t="inlineStr">
        <is>
          <t>CURRENT_TIMESTAMP</t>
        </is>
      </c>
      <c r="H598" s="13" t="inlineStr">
        <is>
          <t>—</t>
        </is>
      </c>
      <c r="I598" s="13" t="inlineStr">
        <is>
          <t>While the account exists; responses and audio references deleted 30 days after closure, scores and results anonymised (SRS 4.3).</t>
        </is>
      </c>
      <c r="J598" s="13" t="inlineStr">
        <is>
          <t>assessment-service</t>
        </is>
      </c>
      <c r="K598" s="13" t="n"/>
    </row>
    <row r="599" ht="26.4" customHeight="1" s="31">
      <c r="A599" s="13" t="inlineStr">
        <is>
          <t>Video Practice Attempt (video_practice_attempts)</t>
        </is>
      </c>
      <c r="B599" s="13" t="inlineStr">
        <is>
          <t>completed_at</t>
        </is>
      </c>
      <c r="C599" s="13" t="inlineStr">
        <is>
          <t>TIMESTAMPTZ</t>
        </is>
      </c>
      <c r="D599" s="13" t="inlineStr">
        <is>
          <t>—</t>
        </is>
      </c>
      <c r="E599" s="13" t="inlineStr">
        <is>
          <t>Yes</t>
        </is>
      </c>
      <c r="F599" s="13" t="inlineStr">
        <is>
          <t>No</t>
        </is>
      </c>
      <c r="G599" s="13" t="inlineStr">
        <is>
          <t>NULL</t>
        </is>
      </c>
      <c r="H599" s="13" t="inlineStr">
        <is>
          <t>—</t>
        </is>
      </c>
      <c r="I599" s="13" t="inlineStr">
        <is>
          <t>While the account exists; responses and audio references deleted 30 days after closure, scores and results anonymised (SRS 4.3).</t>
        </is>
      </c>
      <c r="J599" s="13" t="inlineStr">
        <is>
          <t>assessment-service</t>
        </is>
      </c>
      <c r="K599" s="13" t="n"/>
    </row>
    <row r="600" ht="39.6" customHeight="1" s="31">
      <c r="A600" s="13" t="inlineStr">
        <is>
          <t>Video Practice Attempt (video_practice_attempts)</t>
        </is>
      </c>
      <c r="B600" s="13" t="inlineStr">
        <is>
          <t>created_at</t>
        </is>
      </c>
      <c r="C600" s="13" t="inlineStr">
        <is>
          <t>TIMESTAMPTZ</t>
        </is>
      </c>
      <c r="D600" s="13" t="inlineStr">
        <is>
          <t>—</t>
        </is>
      </c>
      <c r="E600" s="13" t="inlineStr">
        <is>
          <t>No</t>
        </is>
      </c>
      <c r="F600" s="13" t="inlineStr">
        <is>
          <t>No</t>
        </is>
      </c>
      <c r="G600" s="13" t="inlineStr">
        <is>
          <t>CURRENT_TIMESTAMP</t>
        </is>
      </c>
      <c r="H600" s="13" t="inlineStr">
        <is>
          <t>—</t>
        </is>
      </c>
      <c r="I600" s="13" t="inlineStr">
        <is>
          <t>While the account exists; responses and audio references deleted 30 days after closure, scores and results anonymised (SRS 4.3).</t>
        </is>
      </c>
      <c r="J600" s="13" t="inlineStr">
        <is>
          <t>assessment-service</t>
        </is>
      </c>
      <c r="K600" s="13" t="n"/>
    </row>
    <row r="601" ht="26.4" customHeight="1" s="31">
      <c r="A601" s="11" t="inlineStr">
        <is>
          <t>Game Room (game_rooms)</t>
        </is>
      </c>
      <c r="B601" s="10" t="inlineStr">
        <is>
          <t>id</t>
        </is>
      </c>
      <c r="C601" s="11" t="inlineStr">
        <is>
          <t>UUID</t>
        </is>
      </c>
      <c r="D601" s="11" t="inlineStr">
        <is>
          <t>PK</t>
        </is>
      </c>
      <c r="E601" s="11" t="inlineStr">
        <is>
          <t>No</t>
        </is>
      </c>
      <c r="F601" s="11" t="inlineStr">
        <is>
          <t>Yes</t>
        </is>
      </c>
      <c r="G601" s="11" t="inlineStr">
        <is>
          <t>—</t>
        </is>
      </c>
      <c r="H601" s="11" t="inlineStr">
        <is>
          <t>—</t>
        </is>
      </c>
      <c r="I601" s="11" t="inlineStr">
        <is>
          <t>While the account exists; anonymised 30 days after closure (SRS 4.3).</t>
        </is>
      </c>
      <c r="J601" s="11" t="inlineStr">
        <is>
          <t>game-service</t>
        </is>
      </c>
      <c r="K601" s="11" t="inlineStr">
        <is>
          <t>Represents a hosted multiplayer room and its configuration. Table game_rooms; owner game-service; created in V1__create_game_tables.sql.</t>
        </is>
      </c>
    </row>
    <row r="602" ht="26.4" customHeight="1" s="31">
      <c r="A602" s="11" t="inlineStr">
        <is>
          <t>Game Room (game_rooms)</t>
        </is>
      </c>
      <c r="B602" s="11" t="inlineStr">
        <is>
          <t>room_code</t>
        </is>
      </c>
      <c r="C602" s="11" t="inlineStr">
        <is>
          <t>VARCHAR(20)</t>
        </is>
      </c>
      <c r="D602" s="11" t="inlineStr">
        <is>
          <t>—</t>
        </is>
      </c>
      <c r="E602" s="11" t="inlineStr">
        <is>
          <t>No</t>
        </is>
      </c>
      <c r="F602" s="11" t="inlineStr">
        <is>
          <t>Yes</t>
        </is>
      </c>
      <c r="G602" s="11" t="inlineStr">
        <is>
          <t>—</t>
        </is>
      </c>
      <c r="H602" s="11" t="inlineStr">
        <is>
          <t>—</t>
        </is>
      </c>
      <c r="I602" s="11" t="inlineStr">
        <is>
          <t>While the account exists; anonymised 30 days after closure (SRS 4.3).</t>
        </is>
      </c>
      <c r="J602" s="11" t="inlineStr">
        <is>
          <t>game-service</t>
        </is>
      </c>
      <c r="K602" s="11" t="n"/>
    </row>
    <row r="603" ht="26.4" customHeight="1" s="31">
      <c r="A603" s="11" t="inlineStr">
        <is>
          <t>Game Room (game_rooms)</t>
        </is>
      </c>
      <c r="B603" s="11" t="inlineStr">
        <is>
          <t>host_user_id</t>
        </is>
      </c>
      <c r="C603" s="11" t="inlineStr">
        <is>
          <t>UUID</t>
        </is>
      </c>
      <c r="D603" s="11" t="inlineStr">
        <is>
          <t>Ref→User (no FK)</t>
        </is>
      </c>
      <c r="E603" s="11" t="inlineStr">
        <is>
          <t>No</t>
        </is>
      </c>
      <c r="F603" s="11" t="inlineStr">
        <is>
          <t>No</t>
        </is>
      </c>
      <c r="G603" s="11" t="inlineStr">
        <is>
          <t>—</t>
        </is>
      </c>
      <c r="H603" s="11" t="inlineStr">
        <is>
          <t>—</t>
        </is>
      </c>
      <c r="I603" s="11" t="inlineStr">
        <is>
          <t>While the account exists; anonymised 30 days after closure (SRS 4.3).</t>
        </is>
      </c>
      <c r="J603" s="11" t="inlineStr">
        <is>
          <t>game-service</t>
        </is>
      </c>
      <c r="K603" s="11" t="inlineStr">
        <is>
          <t>Stored id only; no SQL foreign key (cross-service or polymorphic).</t>
        </is>
      </c>
    </row>
    <row r="604" ht="26.4" customHeight="1" s="31">
      <c r="A604" s="11" t="inlineStr">
        <is>
          <t>Game Room (game_rooms)</t>
        </is>
      </c>
      <c r="B604" s="11" t="inlineStr">
        <is>
          <t>game_type</t>
        </is>
      </c>
      <c r="C604" s="11" t="inlineStr">
        <is>
          <t>VARCHAR(50)</t>
        </is>
      </c>
      <c r="D604" s="11" t="inlineStr">
        <is>
          <t>—</t>
        </is>
      </c>
      <c r="E604" s="11" t="inlineStr">
        <is>
          <t>No</t>
        </is>
      </c>
      <c r="F604" s="11" t="inlineStr">
        <is>
          <t>No</t>
        </is>
      </c>
      <c r="G604" s="11" t="inlineStr">
        <is>
          <t>—</t>
        </is>
      </c>
      <c r="H604" s="11" t="inlineStr">
        <is>
          <t>—</t>
        </is>
      </c>
      <c r="I604" s="11" t="inlineStr">
        <is>
          <t>While the account exists; anonymised 30 days after closure (SRS 4.3).</t>
        </is>
      </c>
      <c r="J604" s="11" t="inlineStr">
        <is>
          <t>game-service</t>
        </is>
      </c>
      <c r="K604" s="11" t="n"/>
    </row>
    <row r="605" ht="26.4" customHeight="1" s="31">
      <c r="A605" s="11" t="inlineStr">
        <is>
          <t>Game Room (game_rooms)</t>
        </is>
      </c>
      <c r="B605" s="11" t="inlineStr">
        <is>
          <t>learning_domain</t>
        </is>
      </c>
      <c r="C605" s="11" t="inlineStr">
        <is>
          <t>VARCHAR(30)</t>
        </is>
      </c>
      <c r="D605" s="11" t="inlineStr">
        <is>
          <t>—</t>
        </is>
      </c>
      <c r="E605" s="11" t="inlineStr">
        <is>
          <t>No</t>
        </is>
      </c>
      <c r="F605" s="11" t="inlineStr">
        <is>
          <t>No</t>
        </is>
      </c>
      <c r="G605" s="11" t="inlineStr">
        <is>
          <t>—</t>
        </is>
      </c>
      <c r="H605" s="11" t="inlineStr">
        <is>
          <t>CHECK (learning_domain IN ('VOCABULARY', 'GRAMMAR', 'MIXED'))</t>
        </is>
      </c>
      <c r="I605" s="11" t="inlineStr">
        <is>
          <t>While the account exists; anonymised 30 days after closure (SRS 4.3).</t>
        </is>
      </c>
      <c r="J605" s="11" t="inlineStr">
        <is>
          <t>game-service</t>
        </is>
      </c>
      <c r="K605" s="11" t="n"/>
    </row>
    <row r="606" ht="26.4" customHeight="1" s="31">
      <c r="A606" s="11" t="inlineStr">
        <is>
          <t>Game Room (game_rooms)</t>
        </is>
      </c>
      <c r="B606" s="11" t="inlineStr">
        <is>
          <t>mode</t>
        </is>
      </c>
      <c r="C606" s="11" t="inlineStr">
        <is>
          <t>VARCHAR(30)</t>
        </is>
      </c>
      <c r="D606" s="11" t="inlineStr">
        <is>
          <t>—</t>
        </is>
      </c>
      <c r="E606" s="11" t="inlineStr">
        <is>
          <t>No</t>
        </is>
      </c>
      <c r="F606" s="11" t="inlineStr">
        <is>
          <t>No</t>
        </is>
      </c>
      <c r="G606" s="11" t="inlineStr">
        <is>
          <t>—</t>
        </is>
      </c>
      <c r="H606" s="11" t="inlineStr">
        <is>
          <t>—</t>
        </is>
      </c>
      <c r="I606" s="11" t="inlineStr">
        <is>
          <t>While the account exists; anonymised 30 days after closure (SRS 4.3).</t>
        </is>
      </c>
      <c r="J606" s="11" t="inlineStr">
        <is>
          <t>game-service</t>
        </is>
      </c>
      <c r="K606" s="11" t="n"/>
    </row>
    <row r="607" ht="26.4" customHeight="1" s="31">
      <c r="A607" s="11" t="inlineStr">
        <is>
          <t>Game Room (game_rooms)</t>
        </is>
      </c>
      <c r="B607" s="11" t="inlineStr">
        <is>
          <t>max_players</t>
        </is>
      </c>
      <c r="C607" s="11" t="inlineStr">
        <is>
          <t>INTEGER</t>
        </is>
      </c>
      <c r="D607" s="11" t="inlineStr">
        <is>
          <t>—</t>
        </is>
      </c>
      <c r="E607" s="11" t="inlineStr">
        <is>
          <t>No</t>
        </is>
      </c>
      <c r="F607" s="11" t="inlineStr">
        <is>
          <t>No</t>
        </is>
      </c>
      <c r="G607" s="11" t="inlineStr">
        <is>
          <t>—</t>
        </is>
      </c>
      <c r="H607" s="11" t="inlineStr">
        <is>
          <t>CHECK (max_players &gt; 0)</t>
        </is>
      </c>
      <c r="I607" s="11" t="inlineStr">
        <is>
          <t>While the account exists; anonymised 30 days after closure (SRS 4.3).</t>
        </is>
      </c>
      <c r="J607" s="11" t="inlineStr">
        <is>
          <t>game-service</t>
        </is>
      </c>
      <c r="K607" s="11" t="n"/>
    </row>
    <row r="608" ht="26.4" customHeight="1" s="31">
      <c r="A608" s="11" t="inlineStr">
        <is>
          <t>Game Room (game_rooms)</t>
        </is>
      </c>
      <c r="B608" s="11" t="inlineStr">
        <is>
          <t>config_snapshot</t>
        </is>
      </c>
      <c r="C608" s="11" t="inlineStr">
        <is>
          <t>JSONB</t>
        </is>
      </c>
      <c r="D608" s="11" t="inlineStr">
        <is>
          <t>—</t>
        </is>
      </c>
      <c r="E608" s="11" t="inlineStr">
        <is>
          <t>No</t>
        </is>
      </c>
      <c r="F608" s="11" t="inlineStr">
        <is>
          <t>No</t>
        </is>
      </c>
      <c r="G608" s="11" t="inlineStr">
        <is>
          <t>—</t>
        </is>
      </c>
      <c r="H608" s="11" t="inlineStr">
        <is>
          <t>—</t>
        </is>
      </c>
      <c r="I608" s="11" t="inlineStr">
        <is>
          <t>While the account exists; anonymised 30 days after closure (SRS 4.3).</t>
        </is>
      </c>
      <c r="J608" s="11" t="inlineStr">
        <is>
          <t>game-service</t>
        </is>
      </c>
      <c r="K608" s="11" t="n"/>
    </row>
    <row r="609" ht="39.6" customHeight="1" s="31">
      <c r="A609" s="11" t="inlineStr">
        <is>
          <t>Game Room (game_rooms)</t>
        </is>
      </c>
      <c r="B609" s="11" t="inlineStr">
        <is>
          <t>status</t>
        </is>
      </c>
      <c r="C609" s="11" t="inlineStr">
        <is>
          <t>VARCHAR(30)</t>
        </is>
      </c>
      <c r="D609" s="11" t="inlineStr">
        <is>
          <t>—</t>
        </is>
      </c>
      <c r="E609" s="11" t="inlineStr">
        <is>
          <t>No</t>
        </is>
      </c>
      <c r="F609" s="11" t="inlineStr">
        <is>
          <t>No</t>
        </is>
      </c>
      <c r="G609" s="11" t="inlineStr">
        <is>
          <t>—</t>
        </is>
      </c>
      <c r="H609" s="11" t="inlineStr">
        <is>
          <t>CHECK (status IN ('WAITING', 'IN_MATCH', 'CLOSED', 'EXPIRED'))</t>
        </is>
      </c>
      <c r="I609" s="11" t="inlineStr">
        <is>
          <t>While the account exists; anonymised 30 days after closure (SRS 4.3).</t>
        </is>
      </c>
      <c r="J609" s="11" t="inlineStr">
        <is>
          <t>game-service</t>
        </is>
      </c>
      <c r="K609" s="11" t="n"/>
    </row>
    <row r="610" ht="26.4" customHeight="1" s="31">
      <c r="A610" s="11" t="inlineStr">
        <is>
          <t>Game Room (game_rooms)</t>
        </is>
      </c>
      <c r="B610" s="11" t="inlineStr">
        <is>
          <t>created_at</t>
        </is>
      </c>
      <c r="C610" s="11" t="inlineStr">
        <is>
          <t>TIMESTAMPTZ</t>
        </is>
      </c>
      <c r="D610" s="11" t="inlineStr">
        <is>
          <t>—</t>
        </is>
      </c>
      <c r="E610" s="11" t="inlineStr">
        <is>
          <t>No</t>
        </is>
      </c>
      <c r="F610" s="11" t="inlineStr">
        <is>
          <t>No</t>
        </is>
      </c>
      <c r="G610" s="11" t="inlineStr">
        <is>
          <t>—</t>
        </is>
      </c>
      <c r="H610" s="11" t="inlineStr">
        <is>
          <t>—</t>
        </is>
      </c>
      <c r="I610" s="11" t="inlineStr">
        <is>
          <t>While the account exists; anonymised 30 days after closure (SRS 4.3).</t>
        </is>
      </c>
      <c r="J610" s="11" t="inlineStr">
        <is>
          <t>game-service</t>
        </is>
      </c>
      <c r="K610" s="11" t="n"/>
    </row>
    <row r="611" ht="26.4" customHeight="1" s="31">
      <c r="A611" s="11" t="inlineStr">
        <is>
          <t>Game Room (game_rooms)</t>
        </is>
      </c>
      <c r="B611" s="11" t="inlineStr">
        <is>
          <t>updated_at</t>
        </is>
      </c>
      <c r="C611" s="11" t="inlineStr">
        <is>
          <t>TIMESTAMPTZ</t>
        </is>
      </c>
      <c r="D611" s="11" t="inlineStr">
        <is>
          <t>—</t>
        </is>
      </c>
      <c r="E611" s="11" t="inlineStr">
        <is>
          <t>No</t>
        </is>
      </c>
      <c r="F611" s="11" t="inlineStr">
        <is>
          <t>No</t>
        </is>
      </c>
      <c r="G611" s="11" t="inlineStr">
        <is>
          <t>—</t>
        </is>
      </c>
      <c r="H611" s="11" t="inlineStr">
        <is>
          <t>—</t>
        </is>
      </c>
      <c r="I611" s="11" t="inlineStr">
        <is>
          <t>While the account exists; anonymised 30 days after closure (SRS 4.3).</t>
        </is>
      </c>
      <c r="J611" s="11" t="inlineStr">
        <is>
          <t>game-service</t>
        </is>
      </c>
      <c r="K611" s="11" t="n"/>
    </row>
    <row r="612" ht="26.4" customHeight="1" s="31">
      <c r="A612" s="11" t="inlineStr">
        <is>
          <t>Game Room (game_rooms)</t>
        </is>
      </c>
      <c r="B612" s="11" t="inlineStr">
        <is>
          <t>expires_at</t>
        </is>
      </c>
      <c r="C612" s="11" t="inlineStr">
        <is>
          <t>TIMESTAMPTZ</t>
        </is>
      </c>
      <c r="D612" s="11" t="inlineStr">
        <is>
          <t>—</t>
        </is>
      </c>
      <c r="E612" s="11" t="inlineStr">
        <is>
          <t>Yes</t>
        </is>
      </c>
      <c r="F612" s="11" t="inlineStr">
        <is>
          <t>No</t>
        </is>
      </c>
      <c r="G612" s="11" t="inlineStr">
        <is>
          <t>NULL</t>
        </is>
      </c>
      <c r="H612" s="11" t="inlineStr">
        <is>
          <t>—</t>
        </is>
      </c>
      <c r="I612" s="11" t="inlineStr">
        <is>
          <t>While the account exists; anonymised 30 days after closure (SRS 4.3).</t>
        </is>
      </c>
      <c r="J612" s="11" t="inlineStr">
        <is>
          <t>game-service</t>
        </is>
      </c>
      <c r="K612" s="11" t="n"/>
    </row>
    <row r="613" ht="26.4" customHeight="1" s="31">
      <c r="A613" s="13" t="inlineStr">
        <is>
          <t>Room Member (game_room_members)</t>
        </is>
      </c>
      <c r="B613" s="12" t="inlineStr">
        <is>
          <t>id</t>
        </is>
      </c>
      <c r="C613" s="13" t="inlineStr">
        <is>
          <t>UUID</t>
        </is>
      </c>
      <c r="D613" s="13" t="inlineStr">
        <is>
          <t>PK</t>
        </is>
      </c>
      <c r="E613" s="13" t="inlineStr">
        <is>
          <t>No</t>
        </is>
      </c>
      <c r="F613" s="13" t="inlineStr">
        <is>
          <t>Yes</t>
        </is>
      </c>
      <c r="G613" s="13" t="inlineStr">
        <is>
          <t>—</t>
        </is>
      </c>
      <c r="H613" s="13" t="inlineStr">
        <is>
          <t>—</t>
        </is>
      </c>
      <c r="I613" s="13" t="inlineStr">
        <is>
          <t>While the account exists; anonymised 30 days after closure (SRS 4.3).</t>
        </is>
      </c>
      <c r="J613" s="13" t="inlineStr">
        <is>
          <t>game-service</t>
        </is>
      </c>
      <c r="K613" s="13" t="inlineStr">
        <is>
          <t>Records a user's membership and readiness in a game room. Table game_room_members; owner game-service; created in V1__create_game_tables.sql.</t>
        </is>
      </c>
    </row>
    <row r="614" ht="26.4" customHeight="1" s="31">
      <c r="A614" s="13" t="inlineStr">
        <is>
          <t>Room Member (game_room_members)</t>
        </is>
      </c>
      <c r="B614" s="13" t="inlineStr">
        <is>
          <t>room_id</t>
        </is>
      </c>
      <c r="C614" s="13" t="inlineStr">
        <is>
          <t>UUID</t>
        </is>
      </c>
      <c r="D614" s="13" t="inlineStr">
        <is>
          <t>FK→Game Room.id</t>
        </is>
      </c>
      <c r="E614" s="13" t="inlineStr">
        <is>
          <t>No</t>
        </is>
      </c>
      <c r="F614" s="13" t="inlineStr">
        <is>
          <t>Composite (room_id, user_id)</t>
        </is>
      </c>
      <c r="G614" s="13" t="inlineStr">
        <is>
          <t>—</t>
        </is>
      </c>
      <c r="H614" s="13" t="inlineStr">
        <is>
          <t>—</t>
        </is>
      </c>
      <c r="I614" s="13" t="inlineStr">
        <is>
          <t>While the account exists; anonymised 30 days after closure (SRS 4.3).</t>
        </is>
      </c>
      <c r="J614" s="13" t="inlineStr">
        <is>
          <t>game-service</t>
        </is>
      </c>
      <c r="K614" s="13" t="n"/>
    </row>
    <row r="615" ht="26.4" customHeight="1" s="31">
      <c r="A615" s="13" t="inlineStr">
        <is>
          <t>Room Member (game_room_members)</t>
        </is>
      </c>
      <c r="B615" s="13" t="inlineStr">
        <is>
          <t>user_id</t>
        </is>
      </c>
      <c r="C615" s="13" t="inlineStr">
        <is>
          <t>UUID</t>
        </is>
      </c>
      <c r="D615" s="13" t="inlineStr">
        <is>
          <t>Ref→User (no FK)</t>
        </is>
      </c>
      <c r="E615" s="13" t="inlineStr">
        <is>
          <t>No</t>
        </is>
      </c>
      <c r="F615" s="13" t="inlineStr">
        <is>
          <t>Composite (room_id, user_id)</t>
        </is>
      </c>
      <c r="G615" s="13" t="inlineStr">
        <is>
          <t>—</t>
        </is>
      </c>
      <c r="H615" s="13" t="inlineStr">
        <is>
          <t>—</t>
        </is>
      </c>
      <c r="I615" s="13" t="inlineStr">
        <is>
          <t>While the account exists; anonymised 30 days after closure (SRS 4.3).</t>
        </is>
      </c>
      <c r="J615" s="13" t="inlineStr">
        <is>
          <t>game-service</t>
        </is>
      </c>
      <c r="K615" s="13" t="inlineStr">
        <is>
          <t>Stored id only; no SQL foreign key (cross-service or polymorphic).</t>
        </is>
      </c>
    </row>
    <row r="616" ht="26.4" customHeight="1" s="31">
      <c r="A616" s="13" t="inlineStr">
        <is>
          <t>Room Member (game_room_members)</t>
        </is>
      </c>
      <c r="B616" s="13" t="inlineStr">
        <is>
          <t>member_role</t>
        </is>
      </c>
      <c r="C616" s="13" t="inlineStr">
        <is>
          <t>VARCHAR(20)</t>
        </is>
      </c>
      <c r="D616" s="13" t="inlineStr">
        <is>
          <t>—</t>
        </is>
      </c>
      <c r="E616" s="13" t="inlineStr">
        <is>
          <t>No</t>
        </is>
      </c>
      <c r="F616" s="13" t="inlineStr">
        <is>
          <t>No</t>
        </is>
      </c>
      <c r="G616" s="13" t="inlineStr">
        <is>
          <t>—</t>
        </is>
      </c>
      <c r="H616" s="13" t="inlineStr">
        <is>
          <t>CHECK (member_role IN ('HOST', 'PLAYER'))</t>
        </is>
      </c>
      <c r="I616" s="13" t="inlineStr">
        <is>
          <t>While the account exists; anonymised 30 days after closure (SRS 4.3).</t>
        </is>
      </c>
      <c r="J616" s="13" t="inlineStr">
        <is>
          <t>game-service</t>
        </is>
      </c>
      <c r="K616" s="13" t="n"/>
    </row>
    <row r="617" ht="39.6" customHeight="1" s="31">
      <c r="A617" s="13" t="inlineStr">
        <is>
          <t>Room Member (game_room_members)</t>
        </is>
      </c>
      <c r="B617" s="13" t="inlineStr">
        <is>
          <t>status</t>
        </is>
      </c>
      <c r="C617" s="13" t="inlineStr">
        <is>
          <t>VARCHAR(30)</t>
        </is>
      </c>
      <c r="D617" s="13" t="inlineStr">
        <is>
          <t>—</t>
        </is>
      </c>
      <c r="E617" s="13" t="inlineStr">
        <is>
          <t>No</t>
        </is>
      </c>
      <c r="F617" s="13" t="inlineStr">
        <is>
          <t>No</t>
        </is>
      </c>
      <c r="G617" s="13" t="inlineStr">
        <is>
          <t>—</t>
        </is>
      </c>
      <c r="H617" s="13" t="inlineStr">
        <is>
          <t>CHECK (status IN ('JOINED', 'READY', 'LEFT', 'DISCONNECTED'))</t>
        </is>
      </c>
      <c r="I617" s="13" t="inlineStr">
        <is>
          <t>While the account exists; anonymised 30 days after closure (SRS 4.3).</t>
        </is>
      </c>
      <c r="J617" s="13" t="inlineStr">
        <is>
          <t>game-service</t>
        </is>
      </c>
      <c r="K617" s="13" t="n"/>
    </row>
    <row r="618" ht="26.4" customHeight="1" s="31">
      <c r="A618" s="13" t="inlineStr">
        <is>
          <t>Room Member (game_room_members)</t>
        </is>
      </c>
      <c r="B618" s="13" t="inlineStr">
        <is>
          <t>joined_at</t>
        </is>
      </c>
      <c r="C618" s="13" t="inlineStr">
        <is>
          <t>TIMESTAMPTZ</t>
        </is>
      </c>
      <c r="D618" s="13" t="inlineStr">
        <is>
          <t>—</t>
        </is>
      </c>
      <c r="E618" s="13" t="inlineStr">
        <is>
          <t>No</t>
        </is>
      </c>
      <c r="F618" s="13" t="inlineStr">
        <is>
          <t>No</t>
        </is>
      </c>
      <c r="G618" s="13" t="inlineStr">
        <is>
          <t>—</t>
        </is>
      </c>
      <c r="H618" s="13" t="inlineStr">
        <is>
          <t>—</t>
        </is>
      </c>
      <c r="I618" s="13" t="inlineStr">
        <is>
          <t>While the account exists; anonymised 30 days after closure (SRS 4.3).</t>
        </is>
      </c>
      <c r="J618" s="13" t="inlineStr">
        <is>
          <t>game-service</t>
        </is>
      </c>
      <c r="K618" s="13" t="n"/>
    </row>
    <row r="619" ht="26.4" customHeight="1" s="31">
      <c r="A619" s="13" t="inlineStr">
        <is>
          <t>Room Member (game_room_members)</t>
        </is>
      </c>
      <c r="B619" s="13" t="inlineStr">
        <is>
          <t>ready_at</t>
        </is>
      </c>
      <c r="C619" s="13" t="inlineStr">
        <is>
          <t>TIMESTAMPTZ</t>
        </is>
      </c>
      <c r="D619" s="13" t="inlineStr">
        <is>
          <t>—</t>
        </is>
      </c>
      <c r="E619" s="13" t="inlineStr">
        <is>
          <t>Yes</t>
        </is>
      </c>
      <c r="F619" s="13" t="inlineStr">
        <is>
          <t>No</t>
        </is>
      </c>
      <c r="G619" s="13" t="inlineStr">
        <is>
          <t>NULL</t>
        </is>
      </c>
      <c r="H619" s="13" t="inlineStr">
        <is>
          <t>—</t>
        </is>
      </c>
      <c r="I619" s="13" t="inlineStr">
        <is>
          <t>While the account exists; anonymised 30 days after closure (SRS 4.3).</t>
        </is>
      </c>
      <c r="J619" s="13" t="inlineStr">
        <is>
          <t>game-service</t>
        </is>
      </c>
      <c r="K619" s="13" t="n"/>
    </row>
    <row r="620" ht="26.4" customHeight="1" s="31">
      <c r="A620" s="13" t="inlineStr">
        <is>
          <t>Room Member (game_room_members)</t>
        </is>
      </c>
      <c r="B620" s="13" t="inlineStr">
        <is>
          <t>left_at</t>
        </is>
      </c>
      <c r="C620" s="13" t="inlineStr">
        <is>
          <t>TIMESTAMPTZ</t>
        </is>
      </c>
      <c r="D620" s="13" t="inlineStr">
        <is>
          <t>—</t>
        </is>
      </c>
      <c r="E620" s="13" t="inlineStr">
        <is>
          <t>Yes</t>
        </is>
      </c>
      <c r="F620" s="13" t="inlineStr">
        <is>
          <t>No</t>
        </is>
      </c>
      <c r="G620" s="13" t="inlineStr">
        <is>
          <t>NULL</t>
        </is>
      </c>
      <c r="H620" s="13" t="inlineStr">
        <is>
          <t>—</t>
        </is>
      </c>
      <c r="I620" s="13" t="inlineStr">
        <is>
          <t>While the account exists; anonymised 30 days after closure (SRS 4.3).</t>
        </is>
      </c>
      <c r="J620" s="13" t="inlineStr">
        <is>
          <t>game-service</t>
        </is>
      </c>
      <c r="K620" s="13" t="n"/>
    </row>
    <row r="621" ht="26.4" customHeight="1" s="31">
      <c r="A621" s="13" t="inlineStr">
        <is>
          <t>Room Member (game_room_members)</t>
        </is>
      </c>
      <c r="B621" s="13" t="inlineStr">
        <is>
          <t>last_seen_at</t>
        </is>
      </c>
      <c r="C621" s="13" t="inlineStr">
        <is>
          <t>TIMESTAMPTZ</t>
        </is>
      </c>
      <c r="D621" s="13" t="inlineStr">
        <is>
          <t>—</t>
        </is>
      </c>
      <c r="E621" s="13" t="inlineStr">
        <is>
          <t>Yes</t>
        </is>
      </c>
      <c r="F621" s="13" t="inlineStr">
        <is>
          <t>No</t>
        </is>
      </c>
      <c r="G621" s="13" t="inlineStr">
        <is>
          <t>NULL</t>
        </is>
      </c>
      <c r="H621" s="13" t="inlineStr">
        <is>
          <t>—</t>
        </is>
      </c>
      <c r="I621" s="13" t="inlineStr">
        <is>
          <t>While the account exists; anonymised 30 days after closure (SRS 4.3).</t>
        </is>
      </c>
      <c r="J621" s="13" t="inlineStr">
        <is>
          <t>game-service</t>
        </is>
      </c>
      <c r="K621" s="13" t="n"/>
    </row>
    <row r="622" ht="26.4" customHeight="1" s="31">
      <c r="A622" s="11" t="inlineStr">
        <is>
          <t>Game Match (game_matches)</t>
        </is>
      </c>
      <c r="B622" s="10" t="inlineStr">
        <is>
          <t>id</t>
        </is>
      </c>
      <c r="C622" s="11" t="inlineStr">
        <is>
          <t>UUID</t>
        </is>
      </c>
      <c r="D622" s="11" t="inlineStr">
        <is>
          <t>PK</t>
        </is>
      </c>
      <c r="E622" s="11" t="inlineStr">
        <is>
          <t>No</t>
        </is>
      </c>
      <c r="F622" s="11" t="inlineStr">
        <is>
          <t>Yes</t>
        </is>
      </c>
      <c r="G622" s="11" t="inlineStr">
        <is>
          <t>—</t>
        </is>
      </c>
      <c r="H622" s="11" t="inlineStr">
        <is>
          <t>—</t>
        </is>
      </c>
      <c r="I622" s="11" t="inlineStr">
        <is>
          <t>While the account exists; anonymised 30 days after closure (SRS 4.3).</t>
        </is>
      </c>
      <c r="J622" s="11" t="inlineStr">
        <is>
          <t>game-service</t>
        </is>
      </c>
      <c r="K622" s="11" t="inlineStr">
        <is>
          <t>Represents a multiplayer match with its content snapshot. Table game_matches; owner game-service; created in V1__create_game_tables.sql.</t>
        </is>
      </c>
    </row>
    <row r="623" ht="26.4" customHeight="1" s="31">
      <c r="A623" s="11" t="inlineStr">
        <is>
          <t>Game Match (game_matches)</t>
        </is>
      </c>
      <c r="B623" s="11" t="inlineStr">
        <is>
          <t>room_id</t>
        </is>
      </c>
      <c r="C623" s="11" t="inlineStr">
        <is>
          <t>UUID</t>
        </is>
      </c>
      <c r="D623" s="11" t="inlineStr">
        <is>
          <t>FK→Game Room.id</t>
        </is>
      </c>
      <c r="E623" s="11" t="inlineStr">
        <is>
          <t>Yes</t>
        </is>
      </c>
      <c r="F623" s="11" t="inlineStr">
        <is>
          <t>No</t>
        </is>
      </c>
      <c r="G623" s="11" t="inlineStr">
        <is>
          <t>NULL</t>
        </is>
      </c>
      <c r="H623" s="11" t="inlineStr">
        <is>
          <t>—</t>
        </is>
      </c>
      <c r="I623" s="11" t="inlineStr">
        <is>
          <t>While the account exists; anonymised 30 days after closure (SRS 4.3).</t>
        </is>
      </c>
      <c r="J623" s="11" t="inlineStr">
        <is>
          <t>game-service</t>
        </is>
      </c>
      <c r="K623" s="11" t="n"/>
    </row>
    <row r="624" ht="39.6" customHeight="1" s="31">
      <c r="A624" s="11" t="inlineStr">
        <is>
          <t>Game Match (game_matches)</t>
        </is>
      </c>
      <c r="B624" s="11" t="inlineStr">
        <is>
          <t>game_type</t>
        </is>
      </c>
      <c r="C624" s="11" t="inlineStr">
        <is>
          <t>VARCHAR(50)</t>
        </is>
      </c>
      <c r="D624" s="11" t="inlineStr">
        <is>
          <t>—</t>
        </is>
      </c>
      <c r="E624" s="11" t="inlineStr">
        <is>
          <t>No</t>
        </is>
      </c>
      <c r="F624" s="11" t="inlineStr">
        <is>
          <t>No</t>
        </is>
      </c>
      <c r="G624" s="11" t="inlineStr">
        <is>
          <t>—</t>
        </is>
      </c>
      <c r="H624" s="11" t="inlineStr">
        <is>
          <t>—</t>
        </is>
      </c>
      <c r="I624" s="11" t="inlineStr">
        <is>
          <t>While the account exists; anonymised 30 days after closure (SRS 4.3).</t>
        </is>
      </c>
      <c r="J624" s="11" t="inlineStr">
        <is>
          <t>game-service</t>
        </is>
      </c>
      <c r="K624" s="11" t="n"/>
    </row>
    <row r="625" ht="39.6" customHeight="1" s="31">
      <c r="A625" s="11" t="inlineStr">
        <is>
          <t>Game Match (game_matches)</t>
        </is>
      </c>
      <c r="B625" s="11" t="inlineStr">
        <is>
          <t>learning_domain</t>
        </is>
      </c>
      <c r="C625" s="11" t="inlineStr">
        <is>
          <t>VARCHAR(30)</t>
        </is>
      </c>
      <c r="D625" s="11" t="inlineStr">
        <is>
          <t>—</t>
        </is>
      </c>
      <c r="E625" s="11" t="inlineStr">
        <is>
          <t>No</t>
        </is>
      </c>
      <c r="F625" s="11" t="inlineStr">
        <is>
          <t>No</t>
        </is>
      </c>
      <c r="G625" s="11" t="inlineStr">
        <is>
          <t>—</t>
        </is>
      </c>
      <c r="H625" s="11" t="inlineStr">
        <is>
          <t>CHECK (learning_domain IN ('VOCABULARY', 'GRAMMAR', 'MIXED'))</t>
        </is>
      </c>
      <c r="I625" s="11" t="inlineStr">
        <is>
          <t>While the account exists; anonymised 30 days after closure (SRS 4.3).</t>
        </is>
      </c>
      <c r="J625" s="11" t="inlineStr">
        <is>
          <t>game-service</t>
        </is>
      </c>
      <c r="K625" s="11" t="n"/>
    </row>
    <row r="626" ht="39.6" customHeight="1" s="31">
      <c r="A626" s="11" t="inlineStr">
        <is>
          <t>Game Match (game_matches)</t>
        </is>
      </c>
      <c r="B626" s="11" t="inlineStr">
        <is>
          <t>config_snapshot</t>
        </is>
      </c>
      <c r="C626" s="11" t="inlineStr">
        <is>
          <t>JSONB</t>
        </is>
      </c>
      <c r="D626" s="11" t="inlineStr">
        <is>
          <t>—</t>
        </is>
      </c>
      <c r="E626" s="11" t="inlineStr">
        <is>
          <t>No</t>
        </is>
      </c>
      <c r="F626" s="11" t="inlineStr">
        <is>
          <t>No</t>
        </is>
      </c>
      <c r="G626" s="11" t="inlineStr">
        <is>
          <t>—</t>
        </is>
      </c>
      <c r="H626" s="11" t="inlineStr">
        <is>
          <t>—</t>
        </is>
      </c>
      <c r="I626" s="11" t="inlineStr">
        <is>
          <t>While the account exists; anonymised 30 days after closure (SRS 4.3).</t>
        </is>
      </c>
      <c r="J626" s="11" t="inlineStr">
        <is>
          <t>game-service</t>
        </is>
      </c>
      <c r="K626" s="11" t="n"/>
    </row>
    <row r="627" ht="26.4" customHeight="1" s="31">
      <c r="A627" s="11" t="inlineStr">
        <is>
          <t>Game Match (game_matches)</t>
        </is>
      </c>
      <c r="B627" s="11" t="inlineStr">
        <is>
          <t>content_snapshot</t>
        </is>
      </c>
      <c r="C627" s="11" t="inlineStr">
        <is>
          <t>JSONB</t>
        </is>
      </c>
      <c r="D627" s="11" t="inlineStr">
        <is>
          <t>—</t>
        </is>
      </c>
      <c r="E627" s="11" t="inlineStr">
        <is>
          <t>No</t>
        </is>
      </c>
      <c r="F627" s="11" t="inlineStr">
        <is>
          <t>No</t>
        </is>
      </c>
      <c r="G627" s="11" t="inlineStr">
        <is>
          <t>—</t>
        </is>
      </c>
      <c r="H627" s="11" t="inlineStr">
        <is>
          <t>—</t>
        </is>
      </c>
      <c r="I627" s="11" t="inlineStr">
        <is>
          <t>While the account exists; anonymised 30 days after closure (SRS 4.3).</t>
        </is>
      </c>
      <c r="J627" s="11" t="inlineStr">
        <is>
          <t>game-service</t>
        </is>
      </c>
      <c r="K627" s="11" t="n"/>
    </row>
    <row r="628" ht="39.6" customHeight="1" s="31">
      <c r="A628" s="11" t="inlineStr">
        <is>
          <t>Game Match (game_matches)</t>
        </is>
      </c>
      <c r="B628" s="11" t="inlineStr">
        <is>
          <t>status</t>
        </is>
      </c>
      <c r="C628" s="11" t="inlineStr">
        <is>
          <t>VARCHAR(30)</t>
        </is>
      </c>
      <c r="D628" s="11" t="inlineStr">
        <is>
          <t>—</t>
        </is>
      </c>
      <c r="E628" s="11" t="inlineStr">
        <is>
          <t>No</t>
        </is>
      </c>
      <c r="F628" s="11" t="inlineStr">
        <is>
          <t>No</t>
        </is>
      </c>
      <c r="G628" s="11" t="inlineStr">
        <is>
          <t>—</t>
        </is>
      </c>
      <c r="H628" s="11" t="inlineStr">
        <is>
          <t>CHECK (status IN ('IN_PROGRESS', 'COMPLETED', 'CANCELLED'))</t>
        </is>
      </c>
      <c r="I628" s="11" t="inlineStr">
        <is>
          <t>While the account exists; anonymised 30 days after closure (SRS 4.3).</t>
        </is>
      </c>
      <c r="J628" s="11" t="inlineStr">
        <is>
          <t>game-service</t>
        </is>
      </c>
      <c r="K628" s="11" t="n"/>
    </row>
    <row r="629" ht="26.4" customHeight="1" s="31">
      <c r="A629" s="11" t="inlineStr">
        <is>
          <t>Game Match (game_matches)</t>
        </is>
      </c>
      <c r="B629" s="11" t="inlineStr">
        <is>
          <t>started_at</t>
        </is>
      </c>
      <c r="C629" s="11" t="inlineStr">
        <is>
          <t>TIMESTAMPTZ</t>
        </is>
      </c>
      <c r="D629" s="11" t="inlineStr">
        <is>
          <t>—</t>
        </is>
      </c>
      <c r="E629" s="11" t="inlineStr">
        <is>
          <t>Yes</t>
        </is>
      </c>
      <c r="F629" s="11" t="inlineStr">
        <is>
          <t>No</t>
        </is>
      </c>
      <c r="G629" s="11" t="inlineStr">
        <is>
          <t>NULL</t>
        </is>
      </c>
      <c r="H629" s="11" t="inlineStr">
        <is>
          <t>—</t>
        </is>
      </c>
      <c r="I629" s="11" t="inlineStr">
        <is>
          <t>While the account exists; anonymised 30 days after closure (SRS 4.3).</t>
        </is>
      </c>
      <c r="J629" s="11" t="inlineStr">
        <is>
          <t>game-service</t>
        </is>
      </c>
      <c r="K629" s="11" t="n"/>
    </row>
    <row r="630" ht="26.4" customHeight="1" s="31">
      <c r="A630" s="11" t="inlineStr">
        <is>
          <t>Game Match (game_matches)</t>
        </is>
      </c>
      <c r="B630" s="11" t="inlineStr">
        <is>
          <t>ended_at</t>
        </is>
      </c>
      <c r="C630" s="11" t="inlineStr">
        <is>
          <t>TIMESTAMPTZ</t>
        </is>
      </c>
      <c r="D630" s="11" t="inlineStr">
        <is>
          <t>—</t>
        </is>
      </c>
      <c r="E630" s="11" t="inlineStr">
        <is>
          <t>Yes</t>
        </is>
      </c>
      <c r="F630" s="11" t="inlineStr">
        <is>
          <t>No</t>
        </is>
      </c>
      <c r="G630" s="11" t="inlineStr">
        <is>
          <t>NULL</t>
        </is>
      </c>
      <c r="H630" s="11" t="inlineStr">
        <is>
          <t>—</t>
        </is>
      </c>
      <c r="I630" s="11" t="inlineStr">
        <is>
          <t>While the account exists; anonymised 30 days after closure (SRS 4.3).</t>
        </is>
      </c>
      <c r="J630" s="11" t="inlineStr">
        <is>
          <t>game-service</t>
        </is>
      </c>
      <c r="K630" s="11" t="n"/>
    </row>
    <row r="631" ht="26.4" customHeight="1" s="31">
      <c r="A631" s="11" t="inlineStr">
        <is>
          <t>Game Match (game_matches)</t>
        </is>
      </c>
      <c r="B631" s="11" t="inlineStr">
        <is>
          <t>created_at</t>
        </is>
      </c>
      <c r="C631" s="11" t="inlineStr">
        <is>
          <t>TIMESTAMPTZ</t>
        </is>
      </c>
      <c r="D631" s="11" t="inlineStr">
        <is>
          <t>—</t>
        </is>
      </c>
      <c r="E631" s="11" t="inlineStr">
        <is>
          <t>No</t>
        </is>
      </c>
      <c r="F631" s="11" t="inlineStr">
        <is>
          <t>No</t>
        </is>
      </c>
      <c r="G631" s="11" t="inlineStr">
        <is>
          <t>—</t>
        </is>
      </c>
      <c r="H631" s="11" t="inlineStr">
        <is>
          <t>—</t>
        </is>
      </c>
      <c r="I631" s="11" t="inlineStr">
        <is>
          <t>While the account exists; anonymised 30 days after closure (SRS 4.3).</t>
        </is>
      </c>
      <c r="J631" s="11" t="inlineStr">
        <is>
          <t>game-service</t>
        </is>
      </c>
      <c r="K631" s="11" t="n"/>
    </row>
    <row r="632" ht="26.4" customHeight="1" s="31">
      <c r="A632" s="13" t="inlineStr">
        <is>
          <t>Match Player (game_match_players)</t>
        </is>
      </c>
      <c r="B632" s="12" t="inlineStr">
        <is>
          <t>id</t>
        </is>
      </c>
      <c r="C632" s="13" t="inlineStr">
        <is>
          <t>UUID</t>
        </is>
      </c>
      <c r="D632" s="13" t="inlineStr">
        <is>
          <t>PK</t>
        </is>
      </c>
      <c r="E632" s="13" t="inlineStr">
        <is>
          <t>No</t>
        </is>
      </c>
      <c r="F632" s="13" t="inlineStr">
        <is>
          <t>Yes</t>
        </is>
      </c>
      <c r="G632" s="13" t="inlineStr">
        <is>
          <t>—</t>
        </is>
      </c>
      <c r="H632" s="13" t="inlineStr">
        <is>
          <t>—</t>
        </is>
      </c>
      <c r="I632" s="13" t="inlineStr">
        <is>
          <t>While the account exists; anonymised 30 days after closure (SRS 4.3).</t>
        </is>
      </c>
      <c r="J632" s="13" t="inlineStr">
        <is>
          <t>game-service</t>
        </is>
      </c>
      <c r="K632" s="13" t="inlineStr">
        <is>
          <t>Records one user's participation, score and rank in a match. Table game_match_players; owner game-service; created in V1__create_game_tables.sql.</t>
        </is>
      </c>
    </row>
    <row r="633" ht="39.6" customHeight="1" s="31">
      <c r="A633" s="13" t="inlineStr">
        <is>
          <t>Match Player (game_match_players)</t>
        </is>
      </c>
      <c r="B633" s="13" t="inlineStr">
        <is>
          <t>match_id</t>
        </is>
      </c>
      <c r="C633" s="13" t="inlineStr">
        <is>
          <t>UUID</t>
        </is>
      </c>
      <c r="D633" s="13" t="inlineStr">
        <is>
          <t>FK→Game Match.id</t>
        </is>
      </c>
      <c r="E633" s="13" t="inlineStr">
        <is>
          <t>No</t>
        </is>
      </c>
      <c r="F633" s="13" t="inlineStr">
        <is>
          <t>Composite (match_id, user_id)</t>
        </is>
      </c>
      <c r="G633" s="13" t="inlineStr">
        <is>
          <t>—</t>
        </is>
      </c>
      <c r="H633" s="13" t="inlineStr">
        <is>
          <t>—</t>
        </is>
      </c>
      <c r="I633" s="13" t="inlineStr">
        <is>
          <t>While the account exists; anonymised 30 days after closure (SRS 4.3).</t>
        </is>
      </c>
      <c r="J633" s="13" t="inlineStr">
        <is>
          <t>game-service</t>
        </is>
      </c>
      <c r="K633" s="13" t="n"/>
    </row>
    <row r="634" ht="26.4" customHeight="1" s="31">
      <c r="A634" s="13" t="inlineStr">
        <is>
          <t>Match Player (game_match_players)</t>
        </is>
      </c>
      <c r="B634" s="13" t="inlineStr">
        <is>
          <t>room_member_id</t>
        </is>
      </c>
      <c r="C634" s="13" t="inlineStr">
        <is>
          <t>UUID</t>
        </is>
      </c>
      <c r="D634" s="13" t="inlineStr">
        <is>
          <t>FK→Room Member.id</t>
        </is>
      </c>
      <c r="E634" s="13" t="inlineStr">
        <is>
          <t>Yes</t>
        </is>
      </c>
      <c r="F634" s="13" t="inlineStr">
        <is>
          <t>No</t>
        </is>
      </c>
      <c r="G634" s="13" t="inlineStr">
        <is>
          <t>NULL</t>
        </is>
      </c>
      <c r="H634" s="13" t="inlineStr">
        <is>
          <t>—</t>
        </is>
      </c>
      <c r="I634" s="13" t="inlineStr">
        <is>
          <t>While the account exists; anonymised 30 days after closure (SRS 4.3).</t>
        </is>
      </c>
      <c r="J634" s="13" t="inlineStr">
        <is>
          <t>game-service</t>
        </is>
      </c>
      <c r="K634" s="13" t="n"/>
    </row>
    <row r="635" ht="26.4" customHeight="1" s="31">
      <c r="A635" s="13" t="inlineStr">
        <is>
          <t>Match Player (game_match_players)</t>
        </is>
      </c>
      <c r="B635" s="13" t="inlineStr">
        <is>
          <t>user_id</t>
        </is>
      </c>
      <c r="C635" s="13" t="inlineStr">
        <is>
          <t>UUID</t>
        </is>
      </c>
      <c r="D635" s="13" t="inlineStr">
        <is>
          <t>Ref→User (no FK)</t>
        </is>
      </c>
      <c r="E635" s="13" t="inlineStr">
        <is>
          <t>No</t>
        </is>
      </c>
      <c r="F635" s="13" t="inlineStr">
        <is>
          <t>Composite (match_id, user_id)</t>
        </is>
      </c>
      <c r="G635" s="13" t="inlineStr">
        <is>
          <t>—</t>
        </is>
      </c>
      <c r="H635" s="13" t="inlineStr">
        <is>
          <t>—</t>
        </is>
      </c>
      <c r="I635" s="13" t="inlineStr">
        <is>
          <t>While the account exists; anonymised 30 days after closure (SRS 4.3).</t>
        </is>
      </c>
      <c r="J635" s="13" t="inlineStr">
        <is>
          <t>game-service</t>
        </is>
      </c>
      <c r="K635" s="13" t="inlineStr">
        <is>
          <t>Stored id only; no SQL foreign key (cross-service or polymorphic).</t>
        </is>
      </c>
    </row>
    <row r="636" ht="26.4" customHeight="1" s="31">
      <c r="A636" s="13" t="inlineStr">
        <is>
          <t>Match Player (game_match_players)</t>
        </is>
      </c>
      <c r="B636" s="13" t="inlineStr">
        <is>
          <t>score</t>
        </is>
      </c>
      <c r="C636" s="13" t="inlineStr">
        <is>
          <t>INTEGER</t>
        </is>
      </c>
      <c r="D636" s="13" t="inlineStr">
        <is>
          <t>—</t>
        </is>
      </c>
      <c r="E636" s="13" t="inlineStr">
        <is>
          <t>No</t>
        </is>
      </c>
      <c r="F636" s="13" t="inlineStr">
        <is>
          <t>No</t>
        </is>
      </c>
      <c r="G636" s="13" t="inlineStr">
        <is>
          <t>0</t>
        </is>
      </c>
      <c r="H636" s="13" t="inlineStr">
        <is>
          <t>—</t>
        </is>
      </c>
      <c r="I636" s="13" t="inlineStr">
        <is>
          <t>While the account exists; anonymised 30 days after closure (SRS 4.3).</t>
        </is>
      </c>
      <c r="J636" s="13" t="inlineStr">
        <is>
          <t>game-service</t>
        </is>
      </c>
      <c r="K636" s="13" t="n"/>
    </row>
    <row r="637" ht="26.4" customHeight="1" s="31">
      <c r="A637" s="13" t="inlineStr">
        <is>
          <t>Match Player (game_match_players)</t>
        </is>
      </c>
      <c r="B637" s="13" t="inlineStr">
        <is>
          <t>rank</t>
        </is>
      </c>
      <c r="C637" s="13" t="inlineStr">
        <is>
          <t>INTEGER</t>
        </is>
      </c>
      <c r="D637" s="13" t="inlineStr">
        <is>
          <t>—</t>
        </is>
      </c>
      <c r="E637" s="13" t="inlineStr">
        <is>
          <t>Yes</t>
        </is>
      </c>
      <c r="F637" s="13" t="inlineStr">
        <is>
          <t>No</t>
        </is>
      </c>
      <c r="G637" s="13" t="inlineStr">
        <is>
          <t>NULL</t>
        </is>
      </c>
      <c r="H637" s="13" t="inlineStr">
        <is>
          <t>CHECK (rank &gt; 0)</t>
        </is>
      </c>
      <c r="I637" s="13" t="inlineStr">
        <is>
          <t>While the account exists; anonymised 30 days after closure (SRS 4.3).</t>
        </is>
      </c>
      <c r="J637" s="13" t="inlineStr">
        <is>
          <t>game-service</t>
        </is>
      </c>
      <c r="K637" s="13" t="n"/>
    </row>
    <row r="638" ht="26.4" customHeight="1" s="31">
      <c r="A638" s="13" t="inlineStr">
        <is>
          <t>Match Player (game_match_players)</t>
        </is>
      </c>
      <c r="B638" s="13" t="inlineStr">
        <is>
          <t>status</t>
        </is>
      </c>
      <c r="C638" s="13" t="inlineStr">
        <is>
          <t>VARCHAR(30)</t>
        </is>
      </c>
      <c r="D638" s="13" t="inlineStr">
        <is>
          <t>—</t>
        </is>
      </c>
      <c r="E638" s="13" t="inlineStr">
        <is>
          <t>No</t>
        </is>
      </c>
      <c r="F638" s="13" t="inlineStr">
        <is>
          <t>No</t>
        </is>
      </c>
      <c r="G638" s="13" t="inlineStr">
        <is>
          <t>—</t>
        </is>
      </c>
      <c r="H638" s="13" t="inlineStr">
        <is>
          <t>CHECK (status IN ('ACTIVE', 'FINISHED', 'DISCONNECTED', 'FORFEITED'))</t>
        </is>
      </c>
      <c r="I638" s="13" t="inlineStr">
        <is>
          <t>While the account exists; anonymised 30 days after closure (SRS 4.3).</t>
        </is>
      </c>
      <c r="J638" s="13" t="inlineStr">
        <is>
          <t>game-service</t>
        </is>
      </c>
      <c r="K638" s="13" t="n"/>
    </row>
    <row r="639" ht="26.4" customHeight="1" s="31">
      <c r="A639" s="13" t="inlineStr">
        <is>
          <t>Match Player (game_match_players)</t>
        </is>
      </c>
      <c r="B639" s="13" t="inlineStr">
        <is>
          <t>joined_at</t>
        </is>
      </c>
      <c r="C639" s="13" t="inlineStr">
        <is>
          <t>TIMESTAMPTZ</t>
        </is>
      </c>
      <c r="D639" s="13" t="inlineStr">
        <is>
          <t>—</t>
        </is>
      </c>
      <c r="E639" s="13" t="inlineStr">
        <is>
          <t>No</t>
        </is>
      </c>
      <c r="F639" s="13" t="inlineStr">
        <is>
          <t>No</t>
        </is>
      </c>
      <c r="G639" s="13" t="inlineStr">
        <is>
          <t>—</t>
        </is>
      </c>
      <c r="H639" s="13" t="inlineStr">
        <is>
          <t>—</t>
        </is>
      </c>
      <c r="I639" s="13" t="inlineStr">
        <is>
          <t>While the account exists; anonymised 30 days after closure (SRS 4.3).</t>
        </is>
      </c>
      <c r="J639" s="13" t="inlineStr">
        <is>
          <t>game-service</t>
        </is>
      </c>
      <c r="K639" s="13" t="n"/>
    </row>
    <row r="640" ht="26.4" customHeight="1" s="31">
      <c r="A640" s="13" t="inlineStr">
        <is>
          <t>Match Player (game_match_players)</t>
        </is>
      </c>
      <c r="B640" s="13" t="inlineStr">
        <is>
          <t>finished_at</t>
        </is>
      </c>
      <c r="C640" s="13" t="inlineStr">
        <is>
          <t>TIMESTAMPTZ</t>
        </is>
      </c>
      <c r="D640" s="13" t="inlineStr">
        <is>
          <t>—</t>
        </is>
      </c>
      <c r="E640" s="13" t="inlineStr">
        <is>
          <t>Yes</t>
        </is>
      </c>
      <c r="F640" s="13" t="inlineStr">
        <is>
          <t>No</t>
        </is>
      </c>
      <c r="G640" s="13" t="inlineStr">
        <is>
          <t>NULL</t>
        </is>
      </c>
      <c r="H640" s="13" t="inlineStr">
        <is>
          <t>—</t>
        </is>
      </c>
      <c r="I640" s="13" t="inlineStr">
        <is>
          <t>While the account exists; anonymised 30 days after closure (SRS 4.3).</t>
        </is>
      </c>
      <c r="J640" s="13" t="inlineStr">
        <is>
          <t>game-service</t>
        </is>
      </c>
      <c r="K640" s="13" t="n"/>
    </row>
    <row r="641" ht="26.4" customHeight="1" s="31">
      <c r="A641" s="11" t="inlineStr">
        <is>
          <t>Game Session (game_sessions)</t>
        </is>
      </c>
      <c r="B641" s="10" t="inlineStr">
        <is>
          <t>id</t>
        </is>
      </c>
      <c r="C641" s="11" t="inlineStr">
        <is>
          <t>UUID</t>
        </is>
      </c>
      <c r="D641" s="11" t="inlineStr">
        <is>
          <t>PK</t>
        </is>
      </c>
      <c r="E641" s="11" t="inlineStr">
        <is>
          <t>No</t>
        </is>
      </c>
      <c r="F641" s="11" t="inlineStr">
        <is>
          <t>Yes</t>
        </is>
      </c>
      <c r="G641" s="11" t="inlineStr">
        <is>
          <t>—</t>
        </is>
      </c>
      <c r="H641" s="11" t="inlineStr">
        <is>
          <t>—</t>
        </is>
      </c>
      <c r="I641" s="11" t="inlineStr">
        <is>
          <t>While the account exists; anonymised 30 days after closure (SRS 4.3).</t>
        </is>
      </c>
      <c r="J641" s="11" t="inlineStr">
        <is>
          <t>game-service</t>
        </is>
      </c>
      <c r="K641" s="11" t="inlineStr">
        <is>
          <t>Records a user's game play and optional multiplayer participant link. Table game_sessions; owner game-service; created in V1__create_game_tables.sql.</t>
        </is>
      </c>
    </row>
    <row r="642" ht="39.6" customHeight="1" s="31">
      <c r="A642" s="11" t="inlineStr">
        <is>
          <t>Game Session (game_sessions)</t>
        </is>
      </c>
      <c r="B642" s="11" t="inlineStr">
        <is>
          <t>user_id</t>
        </is>
      </c>
      <c r="C642" s="11" t="inlineStr">
        <is>
          <t>UUID</t>
        </is>
      </c>
      <c r="D642" s="11" t="inlineStr">
        <is>
          <t>Ref→User (no FK)</t>
        </is>
      </c>
      <c r="E642" s="11" t="inlineStr">
        <is>
          <t>No</t>
        </is>
      </c>
      <c r="F642" s="11" t="inlineStr">
        <is>
          <t>No</t>
        </is>
      </c>
      <c r="G642" s="11" t="inlineStr">
        <is>
          <t>—</t>
        </is>
      </c>
      <c r="H642" s="11" t="inlineStr">
        <is>
          <t>—</t>
        </is>
      </c>
      <c r="I642" s="11" t="inlineStr">
        <is>
          <t>While the account exists; anonymised 30 days after closure (SRS 4.3).</t>
        </is>
      </c>
      <c r="J642" s="11" t="inlineStr">
        <is>
          <t>game-service</t>
        </is>
      </c>
      <c r="K642" s="11" t="inlineStr">
        <is>
          <t>Stored id only; no SQL foreign key (cross-service or polymorphic).</t>
        </is>
      </c>
    </row>
    <row r="643" ht="26.4" customHeight="1" s="31">
      <c r="A643" s="11" t="inlineStr">
        <is>
          <t>Game Session (game_sessions)</t>
        </is>
      </c>
      <c r="B643" s="11" t="inlineStr">
        <is>
          <t>match_player_id</t>
        </is>
      </c>
      <c r="C643" s="11" t="inlineStr">
        <is>
          <t>UUID</t>
        </is>
      </c>
      <c r="D643" s="11" t="inlineStr">
        <is>
          <t>FK→Match Player.id</t>
        </is>
      </c>
      <c r="E643" s="11" t="inlineStr">
        <is>
          <t>Yes</t>
        </is>
      </c>
      <c r="F643" s="11" t="inlineStr">
        <is>
          <t>Yes</t>
        </is>
      </c>
      <c r="G643" s="11" t="inlineStr">
        <is>
          <t>NULL</t>
        </is>
      </c>
      <c r="H643" s="11" t="inlineStr">
        <is>
          <t>—</t>
        </is>
      </c>
      <c r="I643" s="11" t="inlineStr">
        <is>
          <t>While the account exists; anonymised 30 days after closure (SRS 4.3).</t>
        </is>
      </c>
      <c r="J643" s="11" t="inlineStr">
        <is>
          <t>game-service</t>
        </is>
      </c>
      <c r="K643" s="11" t="n"/>
    </row>
    <row r="644" ht="26.4" customHeight="1" s="31">
      <c r="A644" s="11" t="inlineStr">
        <is>
          <t>Game Session (game_sessions)</t>
        </is>
      </c>
      <c r="B644" s="11" t="inlineStr">
        <is>
          <t>game_type</t>
        </is>
      </c>
      <c r="C644" s="11" t="inlineStr">
        <is>
          <t>VARCHAR(50)</t>
        </is>
      </c>
      <c r="D644" s="11" t="inlineStr">
        <is>
          <t>—</t>
        </is>
      </c>
      <c r="E644" s="11" t="inlineStr">
        <is>
          <t>No</t>
        </is>
      </c>
      <c r="F644" s="11" t="inlineStr">
        <is>
          <t>No</t>
        </is>
      </c>
      <c r="G644" s="11" t="inlineStr">
        <is>
          <t>—</t>
        </is>
      </c>
      <c r="H644" s="11" t="inlineStr">
        <is>
          <t>—</t>
        </is>
      </c>
      <c r="I644" s="11" t="inlineStr">
        <is>
          <t>While the account exists; anonymised 30 days after closure (SRS 4.3).</t>
        </is>
      </c>
      <c r="J644" s="11" t="inlineStr">
        <is>
          <t>game-service</t>
        </is>
      </c>
      <c r="K644" s="11" t="n"/>
    </row>
    <row r="645" ht="26.4" customHeight="1" s="31">
      <c r="A645" s="11" t="inlineStr">
        <is>
          <t>Game Session (game_sessions)</t>
        </is>
      </c>
      <c r="B645" s="11" t="inlineStr">
        <is>
          <t>learning_domain</t>
        </is>
      </c>
      <c r="C645" s="11" t="inlineStr">
        <is>
          <t>VARCHAR(30)</t>
        </is>
      </c>
      <c r="D645" s="11" t="inlineStr">
        <is>
          <t>—</t>
        </is>
      </c>
      <c r="E645" s="11" t="inlineStr">
        <is>
          <t>No</t>
        </is>
      </c>
      <c r="F645" s="11" t="inlineStr">
        <is>
          <t>No</t>
        </is>
      </c>
      <c r="G645" s="11" t="inlineStr">
        <is>
          <t>—</t>
        </is>
      </c>
      <c r="H645" s="11" t="inlineStr">
        <is>
          <t>CHECK (learning_domain IN ('VOCABULARY', 'GRAMMAR', 'MIXED'))</t>
        </is>
      </c>
      <c r="I645" s="11" t="inlineStr">
        <is>
          <t>While the account exists; anonymised 30 days after closure (SRS 4.3).</t>
        </is>
      </c>
      <c r="J645" s="11" t="inlineStr">
        <is>
          <t>game-service</t>
        </is>
      </c>
      <c r="K645" s="11" t="n"/>
    </row>
    <row r="646" ht="26.4" customHeight="1" s="31">
      <c r="A646" s="11" t="inlineStr">
        <is>
          <t>Game Session (game_sessions)</t>
        </is>
      </c>
      <c r="B646" s="11" t="inlineStr">
        <is>
          <t>mode</t>
        </is>
      </c>
      <c r="C646" s="11" t="inlineStr">
        <is>
          <t>VARCHAR(30)</t>
        </is>
      </c>
      <c r="D646" s="11" t="inlineStr">
        <is>
          <t>—</t>
        </is>
      </c>
      <c r="E646" s="11" t="inlineStr">
        <is>
          <t>No</t>
        </is>
      </c>
      <c r="F646" s="11" t="inlineStr">
        <is>
          <t>No</t>
        </is>
      </c>
      <c r="G646" s="11" t="inlineStr">
        <is>
          <t>—</t>
        </is>
      </c>
      <c r="H646" s="11" t="inlineStr">
        <is>
          <t>—</t>
        </is>
      </c>
      <c r="I646" s="11" t="inlineStr">
        <is>
          <t>While the account exists; anonymised 30 days after closure (SRS 4.3).</t>
        </is>
      </c>
      <c r="J646" s="11" t="inlineStr">
        <is>
          <t>game-service</t>
        </is>
      </c>
      <c r="K646" s="11" t="n"/>
    </row>
    <row r="647" ht="26.4" customHeight="1" s="31">
      <c r="A647" s="11" t="inlineStr">
        <is>
          <t>Game Session (game_sessions)</t>
        </is>
      </c>
      <c r="B647" s="11" t="inlineStr">
        <is>
          <t>topic_id</t>
        </is>
      </c>
      <c r="C647" s="11" t="inlineStr">
        <is>
          <t>UUID</t>
        </is>
      </c>
      <c r="D647" s="11" t="inlineStr">
        <is>
          <t>Ref→Topic (no FK)</t>
        </is>
      </c>
      <c r="E647" s="11" t="inlineStr">
        <is>
          <t>Yes</t>
        </is>
      </c>
      <c r="F647" s="11" t="inlineStr">
        <is>
          <t>No</t>
        </is>
      </c>
      <c r="G647" s="11" t="inlineStr">
        <is>
          <t>NULL</t>
        </is>
      </c>
      <c r="H647" s="11" t="inlineStr">
        <is>
          <t>—</t>
        </is>
      </c>
      <c r="I647" s="11" t="inlineStr">
        <is>
          <t>While the account exists; anonymised 30 days after closure (SRS 4.3).</t>
        </is>
      </c>
      <c r="J647" s="11" t="inlineStr">
        <is>
          <t>game-service</t>
        </is>
      </c>
      <c r="K647" s="11" t="inlineStr">
        <is>
          <t>Stored id only; no SQL foreign key (cross-service or polymorphic).</t>
        </is>
      </c>
    </row>
    <row r="648" ht="26.4" customHeight="1" s="31">
      <c r="A648" s="11" t="inlineStr">
        <is>
          <t>Game Session (game_sessions)</t>
        </is>
      </c>
      <c r="B648" s="11" t="inlineStr">
        <is>
          <t>source_snapshot</t>
        </is>
      </c>
      <c r="C648" s="11" t="inlineStr">
        <is>
          <t>JSONB</t>
        </is>
      </c>
      <c r="D648" s="11" t="inlineStr">
        <is>
          <t>—</t>
        </is>
      </c>
      <c r="E648" s="11" t="inlineStr">
        <is>
          <t>No</t>
        </is>
      </c>
      <c r="F648" s="11" t="inlineStr">
        <is>
          <t>No</t>
        </is>
      </c>
      <c r="G648" s="11" t="inlineStr">
        <is>
          <t>—</t>
        </is>
      </c>
      <c r="H648" s="11" t="inlineStr">
        <is>
          <t>—</t>
        </is>
      </c>
      <c r="I648" s="11" t="inlineStr">
        <is>
          <t>While the account exists; anonymised 30 days after closure (SRS 4.3).</t>
        </is>
      </c>
      <c r="J648" s="11" t="inlineStr">
        <is>
          <t>game-service</t>
        </is>
      </c>
      <c r="K648" s="11" t="n"/>
    </row>
    <row r="649" ht="39.6" customHeight="1" s="31">
      <c r="A649" s="11" t="inlineStr">
        <is>
          <t>Game Session (game_sessions)</t>
        </is>
      </c>
      <c r="B649" s="11" t="inlineStr">
        <is>
          <t>started_at</t>
        </is>
      </c>
      <c r="C649" s="11" t="inlineStr">
        <is>
          <t>TIMESTAMPTZ</t>
        </is>
      </c>
      <c r="D649" s="11" t="inlineStr">
        <is>
          <t>—</t>
        </is>
      </c>
      <c r="E649" s="11" t="inlineStr">
        <is>
          <t>No</t>
        </is>
      </c>
      <c r="F649" s="11" t="inlineStr">
        <is>
          <t>No</t>
        </is>
      </c>
      <c r="G649" s="11" t="inlineStr">
        <is>
          <t>—</t>
        </is>
      </c>
      <c r="H649" s="11" t="inlineStr">
        <is>
          <t>—</t>
        </is>
      </c>
      <c r="I649" s="11" t="inlineStr">
        <is>
          <t>While the account exists; anonymised 30 days after closure (SRS 4.3).</t>
        </is>
      </c>
      <c r="J649" s="11" t="inlineStr">
        <is>
          <t>game-service</t>
        </is>
      </c>
      <c r="K649" s="11" t="n"/>
    </row>
    <row r="650" ht="26.4" customHeight="1" s="31">
      <c r="A650" s="11" t="inlineStr">
        <is>
          <t>Game Session (game_sessions)</t>
        </is>
      </c>
      <c r="B650" s="11" t="inlineStr">
        <is>
          <t>ended_at</t>
        </is>
      </c>
      <c r="C650" s="11" t="inlineStr">
        <is>
          <t>TIMESTAMPTZ</t>
        </is>
      </c>
      <c r="D650" s="11" t="inlineStr">
        <is>
          <t>—</t>
        </is>
      </c>
      <c r="E650" s="11" t="inlineStr">
        <is>
          <t>Yes</t>
        </is>
      </c>
      <c r="F650" s="11" t="inlineStr">
        <is>
          <t>No</t>
        </is>
      </c>
      <c r="G650" s="11" t="inlineStr">
        <is>
          <t>NULL</t>
        </is>
      </c>
      <c r="H650" s="11" t="inlineStr">
        <is>
          <t>—</t>
        </is>
      </c>
      <c r="I650" s="11" t="inlineStr">
        <is>
          <t>While the account exists; anonymised 30 days after closure (SRS 4.3).</t>
        </is>
      </c>
      <c r="J650" s="11" t="inlineStr">
        <is>
          <t>game-service</t>
        </is>
      </c>
      <c r="K650" s="11" t="n"/>
    </row>
    <row r="651" ht="26.4" customHeight="1" s="31">
      <c r="A651" s="11" t="inlineStr">
        <is>
          <t>Game Session (game_sessions)</t>
        </is>
      </c>
      <c r="B651" s="11" t="inlineStr">
        <is>
          <t>score</t>
        </is>
      </c>
      <c r="C651" s="11" t="inlineStr">
        <is>
          <t>INTEGER</t>
        </is>
      </c>
      <c r="D651" s="11" t="inlineStr">
        <is>
          <t>—</t>
        </is>
      </c>
      <c r="E651" s="11" t="inlineStr">
        <is>
          <t>Yes</t>
        </is>
      </c>
      <c r="F651" s="11" t="inlineStr">
        <is>
          <t>No</t>
        </is>
      </c>
      <c r="G651" s="11" t="inlineStr">
        <is>
          <t>NULL</t>
        </is>
      </c>
      <c r="H651" s="11" t="inlineStr">
        <is>
          <t>—</t>
        </is>
      </c>
      <c r="I651" s="11" t="inlineStr">
        <is>
          <t>While the account exists; anonymised 30 days after closure (SRS 4.3).</t>
        </is>
      </c>
      <c r="J651" s="11" t="inlineStr">
        <is>
          <t>game-service</t>
        </is>
      </c>
      <c r="K651" s="11" t="n"/>
    </row>
    <row r="652" ht="26.4" customHeight="1" s="31">
      <c r="A652" s="11" t="inlineStr">
        <is>
          <t>Game Session (game_sessions)</t>
        </is>
      </c>
      <c r="B652" s="11" t="inlineStr">
        <is>
          <t>status</t>
        </is>
      </c>
      <c r="C652" s="11" t="inlineStr">
        <is>
          <t>VARCHAR(30)</t>
        </is>
      </c>
      <c r="D652" s="11" t="inlineStr">
        <is>
          <t>—</t>
        </is>
      </c>
      <c r="E652" s="11" t="inlineStr">
        <is>
          <t>No</t>
        </is>
      </c>
      <c r="F652" s="11" t="inlineStr">
        <is>
          <t>No</t>
        </is>
      </c>
      <c r="G652" s="11" t="inlineStr">
        <is>
          <t>—</t>
        </is>
      </c>
      <c r="H652" s="11" t="inlineStr">
        <is>
          <t>CHECK (status IN ('IN_PROGRESS', 'COMPLETED', 'ABANDONED'))</t>
        </is>
      </c>
      <c r="I652" s="11" t="inlineStr">
        <is>
          <t>While the account exists; anonymised 30 days after closure (SRS 4.3).</t>
        </is>
      </c>
      <c r="J652" s="11" t="inlineStr">
        <is>
          <t>game-service</t>
        </is>
      </c>
      <c r="K652" s="11" t="n"/>
    </row>
    <row r="653" ht="26.4" customHeight="1" s="31">
      <c r="A653" s="11" t="inlineStr">
        <is>
          <t>Game Session (game_sessions)</t>
        </is>
      </c>
      <c r="B653" s="11" t="inlineStr">
        <is>
          <t>verification_status</t>
        </is>
      </c>
      <c r="C653" s="11" t="inlineStr">
        <is>
          <t>VARCHAR(30)</t>
        </is>
      </c>
      <c r="D653" s="11" t="inlineStr">
        <is>
          <t>—</t>
        </is>
      </c>
      <c r="E653" s="11" t="inlineStr">
        <is>
          <t>No</t>
        </is>
      </c>
      <c r="F653" s="11" t="inlineStr">
        <is>
          <t>No</t>
        </is>
      </c>
      <c r="G653" s="11" t="inlineStr">
        <is>
          <t>'PENDING'</t>
        </is>
      </c>
      <c r="H653" s="11" t="inlineStr">
        <is>
          <t>CHECK (verification_status IN ('PENDING', 'VERIFIED', 'REJECTED'))</t>
        </is>
      </c>
      <c r="I653" s="11" t="inlineStr">
        <is>
          <t>While the account exists; anonymised 30 days after closure (SRS 4.3).</t>
        </is>
      </c>
      <c r="J653" s="11" t="inlineStr">
        <is>
          <t>game-service</t>
        </is>
      </c>
      <c r="K653" s="11" t="n"/>
    </row>
    <row r="654" ht="26.4" customHeight="1" s="31">
      <c r="A654" s="13" t="inlineStr">
        <is>
          <t>Game Answer (game_answers)</t>
        </is>
      </c>
      <c r="B654" s="12" t="inlineStr">
        <is>
          <t>id</t>
        </is>
      </c>
      <c r="C654" s="13" t="inlineStr">
        <is>
          <t>UUID</t>
        </is>
      </c>
      <c r="D654" s="13" t="inlineStr">
        <is>
          <t>PK</t>
        </is>
      </c>
      <c r="E654" s="13" t="inlineStr">
        <is>
          <t>No</t>
        </is>
      </c>
      <c r="F654" s="13" t="inlineStr">
        <is>
          <t>Yes</t>
        </is>
      </c>
      <c r="G654" s="13" t="inlineStr">
        <is>
          <t>—</t>
        </is>
      </c>
      <c r="H654" s="13" t="inlineStr">
        <is>
          <t>—</t>
        </is>
      </c>
      <c r="I654" s="13" t="inlineStr">
        <is>
          <t>While the account exists; anonymised 30 days after closure (SRS 4.3).</t>
        </is>
      </c>
      <c r="J654" s="13" t="inlineStr">
        <is>
          <t>game-service</t>
        </is>
      </c>
      <c r="K654" s="13" t="inlineStr">
        <is>
          <t>Records an answer to a snapshot item within a game session. Table game_answers; owner game-service; created in V1__create_game_tables.sql.</t>
        </is>
      </c>
    </row>
    <row r="655" ht="26.4" customHeight="1" s="31">
      <c r="A655" s="13" t="inlineStr">
        <is>
          <t>Game Answer (game_answers)</t>
        </is>
      </c>
      <c r="B655" s="13" t="inlineStr">
        <is>
          <t>session_id</t>
        </is>
      </c>
      <c r="C655" s="13" t="inlineStr">
        <is>
          <t>UUID</t>
        </is>
      </c>
      <c r="D655" s="13" t="inlineStr">
        <is>
          <t>FK→Game Session.id</t>
        </is>
      </c>
      <c r="E655" s="13" t="inlineStr">
        <is>
          <t>No</t>
        </is>
      </c>
      <c r="F655" s="13" t="inlineStr">
        <is>
          <t>Composite (session_id, item_sequence)</t>
        </is>
      </c>
      <c r="G655" s="13" t="inlineStr">
        <is>
          <t>—</t>
        </is>
      </c>
      <c r="H655" s="13" t="inlineStr">
        <is>
          <t>—</t>
        </is>
      </c>
      <c r="I655" s="13" t="inlineStr">
        <is>
          <t>While the account exists; anonymised 30 days after closure (SRS 4.3).</t>
        </is>
      </c>
      <c r="J655" s="13" t="inlineStr">
        <is>
          <t>game-service</t>
        </is>
      </c>
      <c r="K655" s="13" t="n"/>
    </row>
    <row r="656" ht="26.4" customHeight="1" s="31">
      <c r="A656" s="13" t="inlineStr">
        <is>
          <t>Game Answer (game_answers)</t>
        </is>
      </c>
      <c r="B656" s="13" t="inlineStr">
        <is>
          <t>item_sequence</t>
        </is>
      </c>
      <c r="C656" s="13" t="inlineStr">
        <is>
          <t>INTEGER</t>
        </is>
      </c>
      <c r="D656" s="13" t="inlineStr">
        <is>
          <t>—</t>
        </is>
      </c>
      <c r="E656" s="13" t="inlineStr">
        <is>
          <t>No</t>
        </is>
      </c>
      <c r="F656" s="13" t="inlineStr">
        <is>
          <t>Composite (session_id, item_sequence)</t>
        </is>
      </c>
      <c r="G656" s="13" t="inlineStr">
        <is>
          <t>—</t>
        </is>
      </c>
      <c r="H656" s="13" t="inlineStr">
        <is>
          <t>CHECK (item_sequence &gt; 0)</t>
        </is>
      </c>
      <c r="I656" s="13" t="inlineStr">
        <is>
          <t>While the account exists; anonymised 30 days after closure (SRS 4.3).</t>
        </is>
      </c>
      <c r="J656" s="13" t="inlineStr">
        <is>
          <t>game-service</t>
        </is>
      </c>
      <c r="K656" s="13" t="n"/>
    </row>
    <row r="657" ht="26.4" customHeight="1" s="31">
      <c r="A657" s="13" t="inlineStr">
        <is>
          <t>Game Answer (game_answers)</t>
        </is>
      </c>
      <c r="B657" s="13" t="inlineStr">
        <is>
          <t>vocabulary_sense_id</t>
        </is>
      </c>
      <c r="C657" s="13" t="inlineStr">
        <is>
          <t>UUID</t>
        </is>
      </c>
      <c r="D657" s="13" t="inlineStr">
        <is>
          <t>Ref→Vocabulary Sense (no FK)</t>
        </is>
      </c>
      <c r="E657" s="13" t="inlineStr">
        <is>
          <t>Yes</t>
        </is>
      </c>
      <c r="F657" s="13" t="inlineStr">
        <is>
          <t>No</t>
        </is>
      </c>
      <c r="G657" s="13" t="inlineStr">
        <is>
          <t>NULL</t>
        </is>
      </c>
      <c r="H657" s="13" t="inlineStr">
        <is>
          <t>—</t>
        </is>
      </c>
      <c r="I657" s="13" t="inlineStr">
        <is>
          <t>While the account exists; anonymised 30 days after closure (SRS 4.3).</t>
        </is>
      </c>
      <c r="J657" s="13" t="inlineStr">
        <is>
          <t>game-service</t>
        </is>
      </c>
      <c r="K657" s="13" t="inlineStr">
        <is>
          <t>Stored id only; no SQL foreign key (cross-service or polymorphic).</t>
        </is>
      </c>
    </row>
    <row r="658" ht="39.6" customHeight="1" s="31">
      <c r="A658" s="13" t="inlineStr">
        <is>
          <t>Game Answer (game_answers)</t>
        </is>
      </c>
      <c r="B658" s="13" t="inlineStr">
        <is>
          <t>question_version_id</t>
        </is>
      </c>
      <c r="C658" s="13" t="inlineStr">
        <is>
          <t>UUID</t>
        </is>
      </c>
      <c r="D658" s="13" t="inlineStr">
        <is>
          <t>Ref→Question Version (no FK)</t>
        </is>
      </c>
      <c r="E658" s="13" t="inlineStr">
        <is>
          <t>Yes</t>
        </is>
      </c>
      <c r="F658" s="13" t="inlineStr">
        <is>
          <t>No</t>
        </is>
      </c>
      <c r="G658" s="13" t="inlineStr">
        <is>
          <t>NULL</t>
        </is>
      </c>
      <c r="H658" s="13" t="inlineStr">
        <is>
          <t>—</t>
        </is>
      </c>
      <c r="I658" s="13" t="inlineStr">
        <is>
          <t>While the account exists; anonymised 30 days after closure (SRS 4.3).</t>
        </is>
      </c>
      <c r="J658" s="13" t="inlineStr">
        <is>
          <t>game-service</t>
        </is>
      </c>
      <c r="K658" s="13" t="inlineStr">
        <is>
          <t>Stored id only; no SQL foreign key (cross-service or polymorphic).</t>
        </is>
      </c>
    </row>
    <row r="659" ht="26.4" customHeight="1" s="31">
      <c r="A659" s="13" t="inlineStr">
        <is>
          <t>Game Answer (game_answers)</t>
        </is>
      </c>
      <c r="B659" s="13" t="inlineStr">
        <is>
          <t>item_snapshot</t>
        </is>
      </c>
      <c r="C659" s="13" t="inlineStr">
        <is>
          <t>JSONB</t>
        </is>
      </c>
      <c r="D659" s="13" t="inlineStr">
        <is>
          <t>—</t>
        </is>
      </c>
      <c r="E659" s="13" t="inlineStr">
        <is>
          <t>No</t>
        </is>
      </c>
      <c r="F659" s="13" t="inlineStr">
        <is>
          <t>No</t>
        </is>
      </c>
      <c r="G659" s="13" t="inlineStr">
        <is>
          <t>—</t>
        </is>
      </c>
      <c r="H659" s="13" t="inlineStr">
        <is>
          <t>—</t>
        </is>
      </c>
      <c r="I659" s="13" t="inlineStr">
        <is>
          <t>While the account exists; anonymised 30 days after closure (SRS 4.3).</t>
        </is>
      </c>
      <c r="J659" s="13" t="inlineStr">
        <is>
          <t>game-service</t>
        </is>
      </c>
      <c r="K659" s="13" t="n"/>
    </row>
    <row r="660" ht="26.4" customHeight="1" s="31">
      <c r="A660" s="13" t="inlineStr">
        <is>
          <t>Game Answer (game_answers)</t>
        </is>
      </c>
      <c r="B660" s="13" t="inlineStr">
        <is>
          <t>response_payload</t>
        </is>
      </c>
      <c r="C660" s="13" t="inlineStr">
        <is>
          <t>JSONB</t>
        </is>
      </c>
      <c r="D660" s="13" t="inlineStr">
        <is>
          <t>—</t>
        </is>
      </c>
      <c r="E660" s="13" t="inlineStr">
        <is>
          <t>No</t>
        </is>
      </c>
      <c r="F660" s="13" t="inlineStr">
        <is>
          <t>No</t>
        </is>
      </c>
      <c r="G660" s="13" t="inlineStr">
        <is>
          <t>—</t>
        </is>
      </c>
      <c r="H660" s="13" t="inlineStr">
        <is>
          <t>—</t>
        </is>
      </c>
      <c r="I660" s="13" t="inlineStr">
        <is>
          <t>While the account exists; anonymised 30 days after closure (SRS 4.3).</t>
        </is>
      </c>
      <c r="J660" s="13" t="inlineStr">
        <is>
          <t>game-service</t>
        </is>
      </c>
      <c r="K660" s="13" t="n"/>
    </row>
    <row r="661" ht="26.4" customHeight="1" s="31">
      <c r="A661" s="13" t="inlineStr">
        <is>
          <t>Game Answer (game_answers)</t>
        </is>
      </c>
      <c r="B661" s="13" t="inlineStr">
        <is>
          <t>is_correct</t>
        </is>
      </c>
      <c r="C661" s="13" t="inlineStr">
        <is>
          <t>BOOLEAN</t>
        </is>
      </c>
      <c r="D661" s="13" t="inlineStr">
        <is>
          <t>—</t>
        </is>
      </c>
      <c r="E661" s="13" t="inlineStr">
        <is>
          <t>No</t>
        </is>
      </c>
      <c r="F661" s="13" t="inlineStr">
        <is>
          <t>No</t>
        </is>
      </c>
      <c r="G661" s="13" t="inlineStr">
        <is>
          <t>—</t>
        </is>
      </c>
      <c r="H661" s="13" t="inlineStr">
        <is>
          <t>—</t>
        </is>
      </c>
      <c r="I661" s="13" t="inlineStr">
        <is>
          <t>While the account exists; anonymised 30 days after closure (SRS 4.3).</t>
        </is>
      </c>
      <c r="J661" s="13" t="inlineStr">
        <is>
          <t>game-service</t>
        </is>
      </c>
      <c r="K661" s="13" t="n"/>
    </row>
    <row r="662" ht="26.4" customHeight="1" s="31">
      <c r="A662" s="13" t="inlineStr">
        <is>
          <t>Game Answer (game_answers)</t>
        </is>
      </c>
      <c r="B662" s="13" t="inlineStr">
        <is>
          <t>duration_milliseconds</t>
        </is>
      </c>
      <c r="C662" s="13" t="inlineStr">
        <is>
          <t>BIGINT</t>
        </is>
      </c>
      <c r="D662" s="13" t="inlineStr">
        <is>
          <t>—</t>
        </is>
      </c>
      <c r="E662" s="13" t="inlineStr">
        <is>
          <t>No</t>
        </is>
      </c>
      <c r="F662" s="13" t="inlineStr">
        <is>
          <t>No</t>
        </is>
      </c>
      <c r="G662" s="13" t="inlineStr">
        <is>
          <t>—</t>
        </is>
      </c>
      <c r="H662" s="13" t="inlineStr">
        <is>
          <t>CHECK (duration_milliseconds &gt;= 0)</t>
        </is>
      </c>
      <c r="I662" s="13" t="inlineStr">
        <is>
          <t>While the account exists; anonymised 30 days after closure (SRS 4.3).</t>
        </is>
      </c>
      <c r="J662" s="13" t="inlineStr">
        <is>
          <t>game-service</t>
        </is>
      </c>
      <c r="K662" s="13" t="n"/>
    </row>
    <row r="663" ht="26.4" customHeight="1" s="31">
      <c r="A663" s="11" t="inlineStr">
        <is>
          <t>Game Event (game_events)</t>
        </is>
      </c>
      <c r="B663" s="10" t="inlineStr">
        <is>
          <t>id</t>
        </is>
      </c>
      <c r="C663" s="11" t="inlineStr">
        <is>
          <t>UUID</t>
        </is>
      </c>
      <c r="D663" s="11" t="inlineStr">
        <is>
          <t>PK</t>
        </is>
      </c>
      <c r="E663" s="11" t="inlineStr">
        <is>
          <t>No</t>
        </is>
      </c>
      <c r="F663" s="11" t="inlineStr">
        <is>
          <t>Yes</t>
        </is>
      </c>
      <c r="G663" s="11" t="inlineStr">
        <is>
          <t>—</t>
        </is>
      </c>
      <c r="H663" s="11" t="inlineStr">
        <is>
          <t>—</t>
        </is>
      </c>
      <c r="I663" s="11" t="inlineStr">
        <is>
          <t>While the account exists; anonymised 30 days after closure (SRS 4.3).</t>
        </is>
      </c>
      <c r="J663" s="11" t="inlineStr">
        <is>
          <t>game-service</t>
        </is>
      </c>
      <c r="K663" s="11" t="inlineStr">
        <is>
          <t>Records a sequenced match event with an optional player reference. Table game_events; owner game-service; created in V1__create_game_tables.sql.</t>
        </is>
      </c>
    </row>
    <row r="664" ht="26.4" customHeight="1" s="31">
      <c r="A664" s="11" t="inlineStr">
        <is>
          <t>Game Event (game_events)</t>
        </is>
      </c>
      <c r="B664" s="11" t="inlineStr">
        <is>
          <t>match_id</t>
        </is>
      </c>
      <c r="C664" s="11" t="inlineStr">
        <is>
          <t>UUID</t>
        </is>
      </c>
      <c r="D664" s="11" t="inlineStr">
        <is>
          <t>FK→Game Match.id</t>
        </is>
      </c>
      <c r="E664" s="11" t="inlineStr">
        <is>
          <t>No</t>
        </is>
      </c>
      <c r="F664" s="11" t="inlineStr">
        <is>
          <t>Composite (match_id, sequence_no)</t>
        </is>
      </c>
      <c r="G664" s="11" t="inlineStr">
        <is>
          <t>—</t>
        </is>
      </c>
      <c r="H664" s="11" t="inlineStr">
        <is>
          <t>—</t>
        </is>
      </c>
      <c r="I664" s="11" t="inlineStr">
        <is>
          <t>While the account exists; anonymised 30 days after closure (SRS 4.3).</t>
        </is>
      </c>
      <c r="J664" s="11" t="inlineStr">
        <is>
          <t>game-service</t>
        </is>
      </c>
      <c r="K664" s="11" t="n"/>
    </row>
    <row r="665" ht="26.4" customHeight="1" s="31">
      <c r="A665" s="11" t="inlineStr">
        <is>
          <t>Game Event (game_events)</t>
        </is>
      </c>
      <c r="B665" s="11" t="inlineStr">
        <is>
          <t>match_player_id</t>
        </is>
      </c>
      <c r="C665" s="11" t="inlineStr">
        <is>
          <t>UUID</t>
        </is>
      </c>
      <c r="D665" s="11" t="inlineStr">
        <is>
          <t>FK→Match Player.id</t>
        </is>
      </c>
      <c r="E665" s="11" t="inlineStr">
        <is>
          <t>Yes</t>
        </is>
      </c>
      <c r="F665" s="11" t="inlineStr">
        <is>
          <t>No</t>
        </is>
      </c>
      <c r="G665" s="11" t="inlineStr">
        <is>
          <t>NULL</t>
        </is>
      </c>
      <c r="H665" s="11" t="inlineStr">
        <is>
          <t>—</t>
        </is>
      </c>
      <c r="I665" s="11" t="inlineStr">
        <is>
          <t>While the account exists; anonymised 30 days after closure (SRS 4.3).</t>
        </is>
      </c>
      <c r="J665" s="11" t="inlineStr">
        <is>
          <t>game-service</t>
        </is>
      </c>
      <c r="K665" s="11" t="n"/>
    </row>
    <row r="666" ht="26.4" customHeight="1" s="31">
      <c r="A666" s="11" t="inlineStr">
        <is>
          <t>Game Event (game_events)</t>
        </is>
      </c>
      <c r="B666" s="11" t="inlineStr">
        <is>
          <t>sequence_no</t>
        </is>
      </c>
      <c r="C666" s="11" t="inlineStr">
        <is>
          <t>BIGINT</t>
        </is>
      </c>
      <c r="D666" s="11" t="inlineStr">
        <is>
          <t>—</t>
        </is>
      </c>
      <c r="E666" s="11" t="inlineStr">
        <is>
          <t>No</t>
        </is>
      </c>
      <c r="F666" s="11" t="inlineStr">
        <is>
          <t>Composite (match_id, sequence_no)</t>
        </is>
      </c>
      <c r="G666" s="11" t="inlineStr">
        <is>
          <t>—</t>
        </is>
      </c>
      <c r="H666" s="11" t="inlineStr">
        <is>
          <t>CHECK (sequence_no &gt; 0)</t>
        </is>
      </c>
      <c r="I666" s="11" t="inlineStr">
        <is>
          <t>While the account exists; anonymised 30 days after closure (SRS 4.3).</t>
        </is>
      </c>
      <c r="J666" s="11" t="inlineStr">
        <is>
          <t>game-service</t>
        </is>
      </c>
      <c r="K666" s="11" t="n"/>
    </row>
    <row r="667" ht="39.6" customHeight="1" s="31">
      <c r="A667" s="11" t="inlineStr">
        <is>
          <t>Game Event (game_events)</t>
        </is>
      </c>
      <c r="B667" s="11" t="inlineStr">
        <is>
          <t>event_type</t>
        </is>
      </c>
      <c r="C667" s="11" t="inlineStr">
        <is>
          <t>VARCHAR(50)</t>
        </is>
      </c>
      <c r="D667" s="11" t="inlineStr">
        <is>
          <t>—</t>
        </is>
      </c>
      <c r="E667" s="11" t="inlineStr">
        <is>
          <t>No</t>
        </is>
      </c>
      <c r="F667" s="11" t="inlineStr">
        <is>
          <t>No</t>
        </is>
      </c>
      <c r="G667" s="11" t="inlineStr">
        <is>
          <t>—</t>
        </is>
      </c>
      <c r="H667" s="11" t="inlineStr">
        <is>
          <t>—</t>
        </is>
      </c>
      <c r="I667" s="11" t="inlineStr">
        <is>
          <t>While the account exists; anonymised 30 days after closure (SRS 4.3).</t>
        </is>
      </c>
      <c r="J667" s="11" t="inlineStr">
        <is>
          <t>game-service</t>
        </is>
      </c>
      <c r="K667" s="11" t="n"/>
    </row>
    <row r="668" ht="26.4" customHeight="1" s="31">
      <c r="A668" s="11" t="inlineStr">
        <is>
          <t>Game Event (game_events)</t>
        </is>
      </c>
      <c r="B668" s="11" t="inlineStr">
        <is>
          <t>payload</t>
        </is>
      </c>
      <c r="C668" s="11" t="inlineStr">
        <is>
          <t>JSONB</t>
        </is>
      </c>
      <c r="D668" s="11" t="inlineStr">
        <is>
          <t>—</t>
        </is>
      </c>
      <c r="E668" s="11" t="inlineStr">
        <is>
          <t>No</t>
        </is>
      </c>
      <c r="F668" s="11" t="inlineStr">
        <is>
          <t>No</t>
        </is>
      </c>
      <c r="G668" s="11" t="inlineStr">
        <is>
          <t>—</t>
        </is>
      </c>
      <c r="H668" s="11" t="inlineStr">
        <is>
          <t>—</t>
        </is>
      </c>
      <c r="I668" s="11" t="inlineStr">
        <is>
          <t>While the account exists; anonymised 30 days after closure (SRS 4.3).</t>
        </is>
      </c>
      <c r="J668" s="11" t="inlineStr">
        <is>
          <t>game-service</t>
        </is>
      </c>
      <c r="K668" s="11" t="n"/>
    </row>
    <row r="669" ht="26.4" customHeight="1" s="31">
      <c r="A669" s="11" t="inlineStr">
        <is>
          <t>Game Event (game_events)</t>
        </is>
      </c>
      <c r="B669" s="11" t="inlineStr">
        <is>
          <t>occurred_at</t>
        </is>
      </c>
      <c r="C669" s="11" t="inlineStr">
        <is>
          <t>TIMESTAMPTZ</t>
        </is>
      </c>
      <c r="D669" s="11" t="inlineStr">
        <is>
          <t>—</t>
        </is>
      </c>
      <c r="E669" s="11" t="inlineStr">
        <is>
          <t>No</t>
        </is>
      </c>
      <c r="F669" s="11" t="inlineStr">
        <is>
          <t>No</t>
        </is>
      </c>
      <c r="G669" s="11" t="inlineStr">
        <is>
          <t>—</t>
        </is>
      </c>
      <c r="H669" s="11" t="inlineStr">
        <is>
          <t>—</t>
        </is>
      </c>
      <c r="I669" s="11" t="inlineStr">
        <is>
          <t>While the account exists; anonymised 30 days after closure (SRS 4.3).</t>
        </is>
      </c>
      <c r="J669" s="11" t="inlineStr">
        <is>
          <t>game-service</t>
        </is>
      </c>
      <c r="K669" s="11" t="n"/>
    </row>
    <row r="670" ht="26.4" customHeight="1" s="31">
      <c r="A670" s="11" t="inlineStr">
        <is>
          <t>Game Event (game_events)</t>
        </is>
      </c>
      <c r="B670" s="11" t="inlineStr">
        <is>
          <t>created_at</t>
        </is>
      </c>
      <c r="C670" s="11" t="inlineStr">
        <is>
          <t>TIMESTAMPTZ</t>
        </is>
      </c>
      <c r="D670" s="11" t="inlineStr">
        <is>
          <t>—</t>
        </is>
      </c>
      <c r="E670" s="11" t="inlineStr">
        <is>
          <t>No</t>
        </is>
      </c>
      <c r="F670" s="11" t="inlineStr">
        <is>
          <t>No</t>
        </is>
      </c>
      <c r="G670" s="11" t="inlineStr">
        <is>
          <t>—</t>
        </is>
      </c>
      <c r="H670" s="11" t="inlineStr">
        <is>
          <t>—</t>
        </is>
      </c>
      <c r="I670" s="11" t="inlineStr">
        <is>
          <t>While the account exists; anonymised 30 days after closure (SRS 4.3).</t>
        </is>
      </c>
      <c r="J670" s="11" t="inlineStr">
        <is>
          <t>game-service</t>
        </is>
      </c>
      <c r="K670" s="11" t="n"/>
    </row>
    <row r="671">
      <c r="A671" s="13" t="inlineStr">
        <is>
          <t>Quiz Event (quiz_events)</t>
        </is>
      </c>
      <c r="B671" s="12" t="inlineStr">
        <is>
          <t>id</t>
        </is>
      </c>
      <c r="C671" s="13" t="inlineStr">
        <is>
          <t>UUID</t>
        </is>
      </c>
      <c r="D671" s="13" t="inlineStr">
        <is>
          <t>PK</t>
        </is>
      </c>
      <c r="E671" s="13" t="inlineStr">
        <is>
          <t>No</t>
        </is>
      </c>
      <c r="F671" s="13" t="inlineStr">
        <is>
          <t>Yes</t>
        </is>
      </c>
      <c r="G671" s="13" t="inlineStr">
        <is>
          <t>—</t>
        </is>
      </c>
      <c r="H671" s="13" t="inlineStr">
        <is>
          <t>—</t>
        </is>
      </c>
      <c r="I671" s="13" t="inlineStr">
        <is>
          <t>While the account exists; anonymised 30 days after closure (SRS 4.3).</t>
        </is>
      </c>
      <c r="J671" s="13" t="inlineStr">
        <is>
          <t>game-service</t>
        </is>
      </c>
      <c r="K671" s="13" t="inlineStr">
        <is>
          <t>Defines a scheduled quiz using a topic and content package version. Table quiz_events; owner game-service; created in V1__create_game_tables.sql.</t>
        </is>
      </c>
    </row>
    <row r="672">
      <c r="A672" s="13" t="inlineStr">
        <is>
          <t>Quiz Event (quiz_events)</t>
        </is>
      </c>
      <c r="B672" s="13" t="inlineStr">
        <is>
          <t>package_version_id</t>
        </is>
      </c>
      <c r="C672" s="13" t="inlineStr">
        <is>
          <t>UUID</t>
        </is>
      </c>
      <c r="D672" s="13" t="inlineStr">
        <is>
          <t>Ref→Package Version (no FK)</t>
        </is>
      </c>
      <c r="E672" s="13" t="inlineStr">
        <is>
          <t>No</t>
        </is>
      </c>
      <c r="F672" s="13" t="inlineStr">
        <is>
          <t>No</t>
        </is>
      </c>
      <c r="G672" s="13" t="inlineStr">
        <is>
          <t>—</t>
        </is>
      </c>
      <c r="H672" s="13" t="inlineStr">
        <is>
          <t>—</t>
        </is>
      </c>
      <c r="I672" s="13" t="inlineStr">
        <is>
          <t>While the account exists; anonymised 30 days after closure (SRS 4.3).</t>
        </is>
      </c>
      <c r="J672" s="13" t="inlineStr">
        <is>
          <t>game-service</t>
        </is>
      </c>
      <c r="K672" s="13" t="inlineStr">
        <is>
          <t>Stored id only; no SQL foreign key (cross-service or polymorphic).</t>
        </is>
      </c>
    </row>
    <row r="673">
      <c r="A673" s="13" t="inlineStr">
        <is>
          <t>Quiz Event (quiz_events)</t>
        </is>
      </c>
      <c r="B673" s="13" t="inlineStr">
        <is>
          <t>topic_id</t>
        </is>
      </c>
      <c r="C673" s="13" t="inlineStr">
        <is>
          <t>UUID</t>
        </is>
      </c>
      <c r="D673" s="13" t="inlineStr">
        <is>
          <t>Ref→Topic (no FK)</t>
        </is>
      </c>
      <c r="E673" s="13" t="inlineStr">
        <is>
          <t>No</t>
        </is>
      </c>
      <c r="F673" s="13" t="inlineStr">
        <is>
          <t>No</t>
        </is>
      </c>
      <c r="G673" s="13" t="inlineStr">
        <is>
          <t>—</t>
        </is>
      </c>
      <c r="H673" s="13" t="inlineStr">
        <is>
          <t>—</t>
        </is>
      </c>
      <c r="I673" s="13" t="inlineStr">
        <is>
          <t>While the account exists; anonymised 30 days after closure (SRS 4.3).</t>
        </is>
      </c>
      <c r="J673" s="13" t="inlineStr">
        <is>
          <t>game-service</t>
        </is>
      </c>
      <c r="K673" s="13" t="inlineStr">
        <is>
          <t>Stored id only; no SQL foreign key (cross-service or polymorphic).</t>
        </is>
      </c>
    </row>
    <row r="674">
      <c r="A674" s="13" t="inlineStr">
        <is>
          <t>Quiz Event (quiz_events)</t>
        </is>
      </c>
      <c r="B674" s="13" t="inlineStr">
        <is>
          <t>opens_at</t>
        </is>
      </c>
      <c r="C674" s="13" t="inlineStr">
        <is>
          <t>TIMESTAMPTZ</t>
        </is>
      </c>
      <c r="D674" s="13" t="inlineStr">
        <is>
          <t>—</t>
        </is>
      </c>
      <c r="E674" s="13" t="inlineStr">
        <is>
          <t>No</t>
        </is>
      </c>
      <c r="F674" s="13" t="inlineStr">
        <is>
          <t>No</t>
        </is>
      </c>
      <c r="G674" s="13" t="inlineStr">
        <is>
          <t>—</t>
        </is>
      </c>
      <c r="H674" s="13" t="inlineStr">
        <is>
          <t>CHECK (closes_at IS NULL OR closes_at &gt; opens_at)</t>
        </is>
      </c>
      <c r="I674" s="13" t="inlineStr">
        <is>
          <t>While the account exists; anonymised 30 days after closure (SRS 4.3).</t>
        </is>
      </c>
      <c r="J674" s="13" t="inlineStr">
        <is>
          <t>game-service</t>
        </is>
      </c>
      <c r="K674" s="13" t="n"/>
    </row>
    <row r="675">
      <c r="A675" s="13" t="inlineStr">
        <is>
          <t>Quiz Event (quiz_events)</t>
        </is>
      </c>
      <c r="B675" s="13" t="inlineStr">
        <is>
          <t>closes_at</t>
        </is>
      </c>
      <c r="C675" s="13" t="inlineStr">
        <is>
          <t>TIMESTAMPTZ</t>
        </is>
      </c>
      <c r="D675" s="13" t="inlineStr">
        <is>
          <t>—</t>
        </is>
      </c>
      <c r="E675" s="13" t="inlineStr">
        <is>
          <t>Yes</t>
        </is>
      </c>
      <c r="F675" s="13" t="inlineStr">
        <is>
          <t>No</t>
        </is>
      </c>
      <c r="G675" s="13" t="inlineStr">
        <is>
          <t>NULL</t>
        </is>
      </c>
      <c r="H675" s="13" t="inlineStr">
        <is>
          <t>CHECK (closes_at IS NULL OR closes_at &gt; opens_at)</t>
        </is>
      </c>
      <c r="I675" s="13" t="inlineStr">
        <is>
          <t>While the account exists; anonymised 30 days after closure (SRS 4.3).</t>
        </is>
      </c>
      <c r="J675" s="13" t="inlineStr">
        <is>
          <t>game-service</t>
        </is>
      </c>
      <c r="K675" s="13" t="n"/>
    </row>
    <row r="676">
      <c r="A676" s="13" t="inlineStr">
        <is>
          <t>Quiz Event (quiz_events)</t>
        </is>
      </c>
      <c r="B676" s="13" t="inlineStr">
        <is>
          <t>status</t>
        </is>
      </c>
      <c r="C676" s="13" t="inlineStr">
        <is>
          <t>VARCHAR(30)</t>
        </is>
      </c>
      <c r="D676" s="13" t="inlineStr">
        <is>
          <t>—</t>
        </is>
      </c>
      <c r="E676" s="13" t="inlineStr">
        <is>
          <t>No</t>
        </is>
      </c>
      <c r="F676" s="13" t="inlineStr">
        <is>
          <t>No</t>
        </is>
      </c>
      <c r="G676" s="13" t="inlineStr">
        <is>
          <t>—</t>
        </is>
      </c>
      <c r="H676" s="13" t="inlineStr">
        <is>
          <t>CHECK (status IN ('DRAFT', 'SCHEDULED', 'OPEN', 'CLOSED', 'CANCELLED'))</t>
        </is>
      </c>
      <c r="I676" s="13" t="inlineStr">
        <is>
          <t>While the account exists; anonymised 30 days after closure (SRS 4.3).</t>
        </is>
      </c>
      <c r="J676" s="13" t="inlineStr">
        <is>
          <t>game-service</t>
        </is>
      </c>
      <c r="K676" s="13" t="n"/>
    </row>
    <row r="677">
      <c r="A677" s="13" t="inlineStr">
        <is>
          <t>Quiz Event (quiz_events)</t>
        </is>
      </c>
      <c r="B677" s="13" t="inlineStr">
        <is>
          <t>created_at</t>
        </is>
      </c>
      <c r="C677" s="13" t="inlineStr">
        <is>
          <t>TIMESTAMPTZ</t>
        </is>
      </c>
      <c r="D677" s="13" t="inlineStr">
        <is>
          <t>—</t>
        </is>
      </c>
      <c r="E677" s="13" t="inlineStr">
        <is>
          <t>No</t>
        </is>
      </c>
      <c r="F677" s="13" t="inlineStr">
        <is>
          <t>No</t>
        </is>
      </c>
      <c r="G677" s="13" t="inlineStr">
        <is>
          <t>—</t>
        </is>
      </c>
      <c r="H677" s="13" t="inlineStr">
        <is>
          <t>—</t>
        </is>
      </c>
      <c r="I677" s="13" t="inlineStr">
        <is>
          <t>While the account exists; anonymised 30 days after closure (SRS 4.3).</t>
        </is>
      </c>
      <c r="J677" s="13" t="inlineStr">
        <is>
          <t>game-service</t>
        </is>
      </c>
      <c r="K677" s="13" t="n"/>
    </row>
    <row r="678">
      <c r="A678" s="11" t="inlineStr">
        <is>
          <t>Quiz Participation (quiz_participations)</t>
        </is>
      </c>
      <c r="B678" s="10" t="inlineStr">
        <is>
          <t>id</t>
        </is>
      </c>
      <c r="C678" s="11" t="inlineStr">
        <is>
          <t>UUID</t>
        </is>
      </c>
      <c r="D678" s="11" t="inlineStr">
        <is>
          <t>PK</t>
        </is>
      </c>
      <c r="E678" s="11" t="inlineStr">
        <is>
          <t>No</t>
        </is>
      </c>
      <c r="F678" s="11" t="inlineStr">
        <is>
          <t>Yes</t>
        </is>
      </c>
      <c r="G678" s="11" t="inlineStr">
        <is>
          <t>—</t>
        </is>
      </c>
      <c r="H678" s="11" t="inlineStr">
        <is>
          <t>—</t>
        </is>
      </c>
      <c r="I678" s="11" t="inlineStr">
        <is>
          <t>While the account exists; anonymised 30 days after closure (SRS 4.3).</t>
        </is>
      </c>
      <c r="J678" s="11" t="inlineStr">
        <is>
          <t>game-service</t>
        </is>
      </c>
      <c r="K678" s="11" t="inlineStr">
        <is>
          <t>Records a user's assessment attempt in a quiz event. Table quiz_participations; owner game-service; created in V1__create_game_tables.sql.</t>
        </is>
      </c>
    </row>
    <row r="679">
      <c r="A679" s="11" t="inlineStr">
        <is>
          <t>Quiz Participation (quiz_participations)</t>
        </is>
      </c>
      <c r="B679" s="11" t="inlineStr">
        <is>
          <t>quiz_event_id</t>
        </is>
      </c>
      <c r="C679" s="11" t="inlineStr">
        <is>
          <t>UUID</t>
        </is>
      </c>
      <c r="D679" s="11" t="inlineStr">
        <is>
          <t>FK→Quiz Event.id</t>
        </is>
      </c>
      <c r="E679" s="11" t="inlineStr">
        <is>
          <t>No</t>
        </is>
      </c>
      <c r="F679" s="11" t="inlineStr">
        <is>
          <t>Composite (quiz_event_id, user_id, attempt_number)</t>
        </is>
      </c>
      <c r="G679" s="11" t="inlineStr">
        <is>
          <t>—</t>
        </is>
      </c>
      <c r="H679" s="11" t="inlineStr">
        <is>
          <t>—</t>
        </is>
      </c>
      <c r="I679" s="11" t="inlineStr">
        <is>
          <t>While the account exists; anonymised 30 days after closure (SRS 4.3).</t>
        </is>
      </c>
      <c r="J679" s="11" t="inlineStr">
        <is>
          <t>game-service</t>
        </is>
      </c>
      <c r="K679" s="11" t="n"/>
    </row>
    <row r="680">
      <c r="A680" s="11" t="inlineStr">
        <is>
          <t>Quiz Participation (quiz_participations)</t>
        </is>
      </c>
      <c r="B680" s="11" t="inlineStr">
        <is>
          <t>user_id</t>
        </is>
      </c>
      <c r="C680" s="11" t="inlineStr">
        <is>
          <t>UUID</t>
        </is>
      </c>
      <c r="D680" s="11" t="inlineStr">
        <is>
          <t>Ref→User (no FK)</t>
        </is>
      </c>
      <c r="E680" s="11" t="inlineStr">
        <is>
          <t>No</t>
        </is>
      </c>
      <c r="F680" s="11" t="inlineStr">
        <is>
          <t>Composite (quiz_event_id, user_id, attempt_number)</t>
        </is>
      </c>
      <c r="G680" s="11" t="inlineStr">
        <is>
          <t>—</t>
        </is>
      </c>
      <c r="H680" s="11" t="inlineStr">
        <is>
          <t>—</t>
        </is>
      </c>
      <c r="I680" s="11" t="inlineStr">
        <is>
          <t>While the account exists; anonymised 30 days after closure (SRS 4.3).</t>
        </is>
      </c>
      <c r="J680" s="11" t="inlineStr">
        <is>
          <t>game-service</t>
        </is>
      </c>
      <c r="K680" s="11" t="inlineStr">
        <is>
          <t>Stored id only; no SQL foreign key (cross-service or polymorphic).</t>
        </is>
      </c>
    </row>
    <row r="681">
      <c r="A681" s="11" t="inlineStr">
        <is>
          <t>Quiz Participation (quiz_participations)</t>
        </is>
      </c>
      <c r="B681" s="11" t="inlineStr">
        <is>
          <t>attempt_id</t>
        </is>
      </c>
      <c r="C681" s="11" t="inlineStr">
        <is>
          <t>UUID</t>
        </is>
      </c>
      <c r="D681" s="11" t="inlineStr">
        <is>
          <t>Ref→Assessment Attempt (no FK)</t>
        </is>
      </c>
      <c r="E681" s="11" t="inlineStr">
        <is>
          <t>No</t>
        </is>
      </c>
      <c r="F681" s="11" t="inlineStr">
        <is>
          <t>Yes</t>
        </is>
      </c>
      <c r="G681" s="11" t="inlineStr">
        <is>
          <t>—</t>
        </is>
      </c>
      <c r="H681" s="11" t="inlineStr">
        <is>
          <t>—</t>
        </is>
      </c>
      <c r="I681" s="11" t="inlineStr">
        <is>
          <t>While the account exists; anonymised 30 days after closure (SRS 4.3).</t>
        </is>
      </c>
      <c r="J681" s="11" t="inlineStr">
        <is>
          <t>game-service</t>
        </is>
      </c>
      <c r="K681" s="11" t="inlineStr">
        <is>
          <t>Stored id only; no SQL foreign key (cross-service or polymorphic).</t>
        </is>
      </c>
    </row>
    <row r="682">
      <c r="A682" s="11" t="inlineStr">
        <is>
          <t>Quiz Participation (quiz_participations)</t>
        </is>
      </c>
      <c r="B682" s="11" t="inlineStr">
        <is>
          <t>attempt_number</t>
        </is>
      </c>
      <c r="C682" s="11" t="inlineStr">
        <is>
          <t>INTEGER</t>
        </is>
      </c>
      <c r="D682" s="11" t="inlineStr">
        <is>
          <t>—</t>
        </is>
      </c>
      <c r="E682" s="11" t="inlineStr">
        <is>
          <t>No</t>
        </is>
      </c>
      <c r="F682" s="11" t="inlineStr">
        <is>
          <t>Composite (quiz_event_id, user_id, attempt_number)</t>
        </is>
      </c>
      <c r="G682" s="11" t="inlineStr">
        <is>
          <t>—</t>
        </is>
      </c>
      <c r="H682" s="11" t="inlineStr">
        <is>
          <t>CHECK (attempt_number &gt; 0)</t>
        </is>
      </c>
      <c r="I682" s="11" t="inlineStr">
        <is>
          <t>While the account exists; anonymised 30 days after closure (SRS 4.3).</t>
        </is>
      </c>
      <c r="J682" s="11" t="inlineStr">
        <is>
          <t>game-service</t>
        </is>
      </c>
      <c r="K682" s="11" t="n"/>
    </row>
    <row r="683">
      <c r="A683" s="11" t="inlineStr">
        <is>
          <t>Quiz Participation (quiz_participations)</t>
        </is>
      </c>
      <c r="B683" s="11" t="inlineStr">
        <is>
          <t>score</t>
        </is>
      </c>
      <c r="C683" s="11" t="inlineStr">
        <is>
          <t>INTEGER</t>
        </is>
      </c>
      <c r="D683" s="11" t="inlineStr">
        <is>
          <t>—</t>
        </is>
      </c>
      <c r="E683" s="11" t="inlineStr">
        <is>
          <t>Yes</t>
        </is>
      </c>
      <c r="F683" s="11" t="inlineStr">
        <is>
          <t>No</t>
        </is>
      </c>
      <c r="G683" s="11" t="inlineStr">
        <is>
          <t>NULL</t>
        </is>
      </c>
      <c r="H683" s="11" t="inlineStr">
        <is>
          <t>—</t>
        </is>
      </c>
      <c r="I683" s="11" t="inlineStr">
        <is>
          <t>While the account exists; anonymised 30 days after closure (SRS 4.3).</t>
        </is>
      </c>
      <c r="J683" s="11" t="inlineStr">
        <is>
          <t>game-service</t>
        </is>
      </c>
      <c r="K683" s="11" t="n"/>
    </row>
    <row r="684">
      <c r="A684" s="11" t="inlineStr">
        <is>
          <t>Quiz Participation (quiz_participations)</t>
        </is>
      </c>
      <c r="B684" s="11" t="inlineStr">
        <is>
          <t>duration_milliseconds</t>
        </is>
      </c>
      <c r="C684" s="11" t="inlineStr">
        <is>
          <t>BIGINT</t>
        </is>
      </c>
      <c r="D684" s="11" t="inlineStr">
        <is>
          <t>—</t>
        </is>
      </c>
      <c r="E684" s="11" t="inlineStr">
        <is>
          <t>Yes</t>
        </is>
      </c>
      <c r="F684" s="11" t="inlineStr">
        <is>
          <t>No</t>
        </is>
      </c>
      <c r="G684" s="11" t="inlineStr">
        <is>
          <t>NULL</t>
        </is>
      </c>
      <c r="H684" s="11" t="inlineStr">
        <is>
          <t>CHECK (duration_milliseconds &gt;= 0)</t>
        </is>
      </c>
      <c r="I684" s="11" t="inlineStr">
        <is>
          <t>While the account exists; anonymised 30 days after closure (SRS 4.3).</t>
        </is>
      </c>
      <c r="J684" s="11" t="inlineStr">
        <is>
          <t>game-service</t>
        </is>
      </c>
      <c r="K684" s="11" t="n"/>
    </row>
    <row r="685">
      <c r="A685" s="11" t="inlineStr">
        <is>
          <t>Quiz Participation (quiz_participations)</t>
        </is>
      </c>
      <c r="B685" s="11" t="inlineStr">
        <is>
          <t>verification_status</t>
        </is>
      </c>
      <c r="C685" s="11" t="inlineStr">
        <is>
          <t>VARCHAR(30)</t>
        </is>
      </c>
      <c r="D685" s="11" t="inlineStr">
        <is>
          <t>—</t>
        </is>
      </c>
      <c r="E685" s="11" t="inlineStr">
        <is>
          <t>No</t>
        </is>
      </c>
      <c r="F685" s="11" t="inlineStr">
        <is>
          <t>No</t>
        </is>
      </c>
      <c r="G685" s="11" t="inlineStr">
        <is>
          <t>—</t>
        </is>
      </c>
      <c r="H685" s="11" t="inlineStr">
        <is>
          <t>CHECK (verification_status IN ('PENDING', 'VERIFIED', 'REJECTED'))</t>
        </is>
      </c>
      <c r="I685" s="11" t="inlineStr">
        <is>
          <t>While the account exists; anonymised 30 days after closure (SRS 4.3).</t>
        </is>
      </c>
      <c r="J685" s="11" t="inlineStr">
        <is>
          <t>game-service</t>
        </is>
      </c>
      <c r="K685" s="11" t="n"/>
    </row>
    <row r="686">
      <c r="A686" s="11" t="inlineStr">
        <is>
          <t>Quiz Participation (quiz_participations)</t>
        </is>
      </c>
      <c r="B686" s="11" t="inlineStr">
        <is>
          <t>created_at</t>
        </is>
      </c>
      <c r="C686" s="11" t="inlineStr">
        <is>
          <t>TIMESTAMPTZ</t>
        </is>
      </c>
      <c r="D686" s="11" t="inlineStr">
        <is>
          <t>—</t>
        </is>
      </c>
      <c r="E686" s="11" t="inlineStr">
        <is>
          <t>No</t>
        </is>
      </c>
      <c r="F686" s="11" t="inlineStr">
        <is>
          <t>No</t>
        </is>
      </c>
      <c r="G686" s="11" t="inlineStr">
        <is>
          <t>—</t>
        </is>
      </c>
      <c r="H686" s="11" t="inlineStr">
        <is>
          <t>—</t>
        </is>
      </c>
      <c r="I686" s="11" t="inlineStr">
        <is>
          <t>While the account exists; anonymised 30 days after closure (SRS 4.3).</t>
        </is>
      </c>
      <c r="J686" s="11" t="inlineStr">
        <is>
          <t>game-service</t>
        </is>
      </c>
      <c r="K686" s="11" t="n"/>
    </row>
    <row r="687">
      <c r="A687" s="13" t="inlineStr">
        <is>
          <t>Leaderboard Period (leaderboard_periods)</t>
        </is>
      </c>
      <c r="B687" s="12" t="inlineStr">
        <is>
          <t>id</t>
        </is>
      </c>
      <c r="C687" s="13" t="inlineStr">
        <is>
          <t>UUID</t>
        </is>
      </c>
      <c r="D687" s="13" t="inlineStr">
        <is>
          <t>PK</t>
        </is>
      </c>
      <c r="E687" s="13" t="inlineStr">
        <is>
          <t>No</t>
        </is>
      </c>
      <c r="F687" s="13" t="inlineStr">
        <is>
          <t>Yes</t>
        </is>
      </c>
      <c r="G687" s="13" t="inlineStr">
        <is>
          <t>—</t>
        </is>
      </c>
      <c r="H687" s="13" t="inlineStr">
        <is>
          <t>—</t>
        </is>
      </c>
      <c r="I687" s="13" t="inlineStr">
        <is>
          <t>While the account exists; anonymised 30 days after closure (SRS 4.3).</t>
        </is>
      </c>
      <c r="J687" s="13" t="inlineStr">
        <is>
          <t>game-service</t>
        </is>
      </c>
      <c r="K687" s="13" t="inlineStr">
        <is>
          <t>Defines the activity and time window of a leaderboard. Table leaderboard_periods; owner game-service; created in V1__create_game_tables.sql.</t>
        </is>
      </c>
    </row>
    <row r="688">
      <c r="A688" s="13" t="inlineStr">
        <is>
          <t>Leaderboard Period (leaderboard_periods)</t>
        </is>
      </c>
      <c r="B688" s="13" t="inlineStr">
        <is>
          <t>topic_id</t>
        </is>
      </c>
      <c r="C688" s="13" t="inlineStr">
        <is>
          <t>UUID</t>
        </is>
      </c>
      <c r="D688" s="13" t="inlineStr">
        <is>
          <t>Ref→Topic (no FK)</t>
        </is>
      </c>
      <c r="E688" s="13" t="inlineStr">
        <is>
          <t>Yes</t>
        </is>
      </c>
      <c r="F688" s="13" t="inlineStr">
        <is>
          <t>No</t>
        </is>
      </c>
      <c r="G688" s="13" t="inlineStr">
        <is>
          <t>NULL</t>
        </is>
      </c>
      <c r="H688" s="13" t="inlineStr">
        <is>
          <t>—</t>
        </is>
      </c>
      <c r="I688" s="13" t="inlineStr">
        <is>
          <t>While the account exists; anonymised 30 days after closure (SRS 4.3).</t>
        </is>
      </c>
      <c r="J688" s="13" t="inlineStr">
        <is>
          <t>game-service</t>
        </is>
      </c>
      <c r="K688" s="13" t="inlineStr">
        <is>
          <t>Stored id only; no SQL foreign key (cross-service or polymorphic).</t>
        </is>
      </c>
    </row>
    <row r="689">
      <c r="A689" s="13" t="inlineStr">
        <is>
          <t>Leaderboard Period (leaderboard_periods)</t>
        </is>
      </c>
      <c r="B689" s="13" t="inlineStr">
        <is>
          <t>activity_type</t>
        </is>
      </c>
      <c r="C689" s="13" t="inlineStr">
        <is>
          <t>VARCHAR(50)</t>
        </is>
      </c>
      <c r="D689" s="13" t="inlineStr">
        <is>
          <t>—</t>
        </is>
      </c>
      <c r="E689" s="13" t="inlineStr">
        <is>
          <t>No</t>
        </is>
      </c>
      <c r="F689" s="13" t="inlineStr">
        <is>
          <t>No</t>
        </is>
      </c>
      <c r="G689" s="13" t="inlineStr">
        <is>
          <t>—</t>
        </is>
      </c>
      <c r="H689" s="13" t="inlineStr">
        <is>
          <t>—</t>
        </is>
      </c>
      <c r="I689" s="13" t="inlineStr">
        <is>
          <t>While the account exists; anonymised 30 days after closure (SRS 4.3).</t>
        </is>
      </c>
      <c r="J689" s="13" t="inlineStr">
        <is>
          <t>game-service</t>
        </is>
      </c>
      <c r="K689" s="13" t="n"/>
    </row>
    <row r="690">
      <c r="A690" s="13" t="inlineStr">
        <is>
          <t>Leaderboard Period (leaderboard_periods)</t>
        </is>
      </c>
      <c r="B690" s="13" t="inlineStr">
        <is>
          <t>period_type</t>
        </is>
      </c>
      <c r="C690" s="13" t="inlineStr">
        <is>
          <t>VARCHAR(30)</t>
        </is>
      </c>
      <c r="D690" s="13" t="inlineStr">
        <is>
          <t>—</t>
        </is>
      </c>
      <c r="E690" s="13" t="inlineStr">
        <is>
          <t>No</t>
        </is>
      </c>
      <c r="F690" s="13" t="inlineStr">
        <is>
          <t>No</t>
        </is>
      </c>
      <c r="G690" s="13" t="inlineStr">
        <is>
          <t>—</t>
        </is>
      </c>
      <c r="H690" s="13" t="inlineStr">
        <is>
          <t>CHECK (period_type IN ('DAILY', 'WEEKLY', 'MONTHLY', 'ALL_TIME', 'CUSTOM'))</t>
        </is>
      </c>
      <c r="I690" s="13" t="inlineStr">
        <is>
          <t>While the account exists; anonymised 30 days after closure (SRS 4.3).</t>
        </is>
      </c>
      <c r="J690" s="13" t="inlineStr">
        <is>
          <t>game-service</t>
        </is>
      </c>
      <c r="K690" s="13" t="n"/>
    </row>
    <row r="691">
      <c r="A691" s="13" t="inlineStr">
        <is>
          <t>Leaderboard Period (leaderboard_periods)</t>
        </is>
      </c>
      <c r="B691" s="13" t="inlineStr">
        <is>
          <t>starts_at</t>
        </is>
      </c>
      <c r="C691" s="13" t="inlineStr">
        <is>
          <t>TIMESTAMPTZ</t>
        </is>
      </c>
      <c r="D691" s="13" t="inlineStr">
        <is>
          <t>—</t>
        </is>
      </c>
      <c r="E691" s="13" t="inlineStr">
        <is>
          <t>No</t>
        </is>
      </c>
      <c r="F691" s="13" t="inlineStr">
        <is>
          <t>No</t>
        </is>
      </c>
      <c r="G691" s="13" t="inlineStr">
        <is>
          <t>—</t>
        </is>
      </c>
      <c r="H691" s="13" t="inlineStr">
        <is>
          <t>CHECK (ends_at IS NULL OR ends_at &gt; starts_at)</t>
        </is>
      </c>
      <c r="I691" s="13" t="inlineStr">
        <is>
          <t>While the account exists; anonymised 30 days after closure (SRS 4.3).</t>
        </is>
      </c>
      <c r="J691" s="13" t="inlineStr">
        <is>
          <t>game-service</t>
        </is>
      </c>
      <c r="K691" s="13" t="n"/>
    </row>
    <row r="692">
      <c r="A692" s="13" t="inlineStr">
        <is>
          <t>Leaderboard Period (leaderboard_periods)</t>
        </is>
      </c>
      <c r="B692" s="13" t="inlineStr">
        <is>
          <t>ends_at</t>
        </is>
      </c>
      <c r="C692" s="13" t="inlineStr">
        <is>
          <t>TIMESTAMPTZ</t>
        </is>
      </c>
      <c r="D692" s="13" t="inlineStr">
        <is>
          <t>—</t>
        </is>
      </c>
      <c r="E692" s="13" t="inlineStr">
        <is>
          <t>Yes</t>
        </is>
      </c>
      <c r="F692" s="13" t="inlineStr">
        <is>
          <t>No</t>
        </is>
      </c>
      <c r="G692" s="13" t="inlineStr">
        <is>
          <t>NULL</t>
        </is>
      </c>
      <c r="H692" s="13" t="inlineStr">
        <is>
          <t>CHECK (ends_at IS NULL OR ends_at &gt; starts_at)</t>
        </is>
      </c>
      <c r="I692" s="13" t="inlineStr">
        <is>
          <t>While the account exists; anonymised 30 days after closure (SRS 4.3).</t>
        </is>
      </c>
      <c r="J692" s="13" t="inlineStr">
        <is>
          <t>game-service</t>
        </is>
      </c>
      <c r="K692" s="13" t="n"/>
    </row>
    <row r="693">
      <c r="A693" s="13" t="inlineStr">
        <is>
          <t>Leaderboard Period (leaderboard_periods)</t>
        </is>
      </c>
      <c r="B693" s="13" t="inlineStr">
        <is>
          <t>timezone</t>
        </is>
      </c>
      <c r="C693" s="13" t="inlineStr">
        <is>
          <t>VARCHAR(100)</t>
        </is>
      </c>
      <c r="D693" s="13" t="inlineStr">
        <is>
          <t>—</t>
        </is>
      </c>
      <c r="E693" s="13" t="inlineStr">
        <is>
          <t>No</t>
        </is>
      </c>
      <c r="F693" s="13" t="inlineStr">
        <is>
          <t>No</t>
        </is>
      </c>
      <c r="G693" s="13" t="inlineStr">
        <is>
          <t>—</t>
        </is>
      </c>
      <c r="H693" s="13" t="inlineStr">
        <is>
          <t>—</t>
        </is>
      </c>
      <c r="I693" s="13" t="inlineStr">
        <is>
          <t>While the account exists; anonymised 30 days after closure (SRS 4.3).</t>
        </is>
      </c>
      <c r="J693" s="13" t="inlineStr">
        <is>
          <t>game-service</t>
        </is>
      </c>
      <c r="K693" s="13" t="n"/>
    </row>
    <row r="694">
      <c r="A694" s="13" t="inlineStr">
        <is>
          <t>Leaderboard Period (leaderboard_periods)</t>
        </is>
      </c>
      <c r="B694" s="13" t="inlineStr">
        <is>
          <t>rules_version</t>
        </is>
      </c>
      <c r="C694" s="13" t="inlineStr">
        <is>
          <t>VARCHAR(50)</t>
        </is>
      </c>
      <c r="D694" s="13" t="inlineStr">
        <is>
          <t>—</t>
        </is>
      </c>
      <c r="E694" s="13" t="inlineStr">
        <is>
          <t>Yes</t>
        </is>
      </c>
      <c r="F694" s="13" t="inlineStr">
        <is>
          <t>No</t>
        </is>
      </c>
      <c r="G694" s="13" t="inlineStr">
        <is>
          <t>NULL</t>
        </is>
      </c>
      <c r="H694" s="13" t="inlineStr">
        <is>
          <t>—</t>
        </is>
      </c>
      <c r="I694" s="13" t="inlineStr">
        <is>
          <t>While the account exists; anonymised 30 days after closure (SRS 4.3).</t>
        </is>
      </c>
      <c r="J694" s="13" t="inlineStr">
        <is>
          <t>game-service</t>
        </is>
      </c>
      <c r="K694" s="13" t="n"/>
    </row>
    <row r="695">
      <c r="A695" s="13" t="inlineStr">
        <is>
          <t>Leaderboard Period (leaderboard_periods)</t>
        </is>
      </c>
      <c r="B695" s="13" t="inlineStr">
        <is>
          <t>created_at</t>
        </is>
      </c>
      <c r="C695" s="13" t="inlineStr">
        <is>
          <t>TIMESTAMPTZ</t>
        </is>
      </c>
      <c r="D695" s="13" t="inlineStr">
        <is>
          <t>—</t>
        </is>
      </c>
      <c r="E695" s="13" t="inlineStr">
        <is>
          <t>No</t>
        </is>
      </c>
      <c r="F695" s="13" t="inlineStr">
        <is>
          <t>No</t>
        </is>
      </c>
      <c r="G695" s="13" t="inlineStr">
        <is>
          <t>—</t>
        </is>
      </c>
      <c r="H695" s="13" t="inlineStr">
        <is>
          <t>—</t>
        </is>
      </c>
      <c r="I695" s="13" t="inlineStr">
        <is>
          <t>While the account exists; anonymised 30 days after closure (SRS 4.3).</t>
        </is>
      </c>
      <c r="J695" s="13" t="inlineStr">
        <is>
          <t>game-service</t>
        </is>
      </c>
      <c r="K695" s="13" t="n"/>
    </row>
    <row r="696">
      <c r="A696" s="11" t="inlineStr">
        <is>
          <t>Leaderboard Entry (leaderboard_entries)</t>
        </is>
      </c>
      <c r="B696" s="10" t="inlineStr">
        <is>
          <t>id</t>
        </is>
      </c>
      <c r="C696" s="11" t="inlineStr">
        <is>
          <t>UUID</t>
        </is>
      </c>
      <c r="D696" s="11" t="inlineStr">
        <is>
          <t>PK</t>
        </is>
      </c>
      <c r="E696" s="11" t="inlineStr">
        <is>
          <t>No</t>
        </is>
      </c>
      <c r="F696" s="11" t="inlineStr">
        <is>
          <t>Yes</t>
        </is>
      </c>
      <c r="G696" s="11" t="inlineStr">
        <is>
          <t>—</t>
        </is>
      </c>
      <c r="H696" s="11" t="inlineStr">
        <is>
          <t>—</t>
        </is>
      </c>
      <c r="I696" s="11" t="inlineStr">
        <is>
          <t>While the account exists; anonymised 30 days after closure (SRS 4.3).</t>
        </is>
      </c>
      <c r="J696" s="11" t="inlineStr">
        <is>
          <t>game-service</t>
        </is>
      </c>
      <c r="K696" s="11" t="inlineStr">
        <is>
          <t>Records a user's score and rank for a leaderboard period. Table leaderboard_entries; owner game-service; created in V1__create_game_tables.sql.</t>
        </is>
      </c>
    </row>
    <row r="697">
      <c r="A697" s="11" t="inlineStr">
        <is>
          <t>Leaderboard Entry (leaderboard_entries)</t>
        </is>
      </c>
      <c r="B697" s="11" t="inlineStr">
        <is>
          <t>period_id</t>
        </is>
      </c>
      <c r="C697" s="11" t="inlineStr">
        <is>
          <t>UUID</t>
        </is>
      </c>
      <c r="D697" s="11" t="inlineStr">
        <is>
          <t>FK→Leaderboard Period.id</t>
        </is>
      </c>
      <c r="E697" s="11" t="inlineStr">
        <is>
          <t>No</t>
        </is>
      </c>
      <c r="F697" s="11" t="inlineStr">
        <is>
          <t>Composite (period_id, user_id)</t>
        </is>
      </c>
      <c r="G697" s="11" t="inlineStr">
        <is>
          <t>—</t>
        </is>
      </c>
      <c r="H697" s="11" t="inlineStr">
        <is>
          <t>—</t>
        </is>
      </c>
      <c r="I697" s="11" t="inlineStr">
        <is>
          <t>While the account exists; anonymised 30 days after closure (SRS 4.3).</t>
        </is>
      </c>
      <c r="J697" s="11" t="inlineStr">
        <is>
          <t>game-service</t>
        </is>
      </c>
      <c r="K697" s="11" t="n"/>
    </row>
    <row r="698">
      <c r="A698" s="11" t="inlineStr">
        <is>
          <t>Leaderboard Entry (leaderboard_entries)</t>
        </is>
      </c>
      <c r="B698" s="11" t="inlineStr">
        <is>
          <t>user_id</t>
        </is>
      </c>
      <c r="C698" s="11" t="inlineStr">
        <is>
          <t>UUID</t>
        </is>
      </c>
      <c r="D698" s="11" t="inlineStr">
        <is>
          <t>Ref→User (no FK)</t>
        </is>
      </c>
      <c r="E698" s="11" t="inlineStr">
        <is>
          <t>No</t>
        </is>
      </c>
      <c r="F698" s="11" t="inlineStr">
        <is>
          <t>Composite (period_id, user_id)</t>
        </is>
      </c>
      <c r="G698" s="11" t="inlineStr">
        <is>
          <t>—</t>
        </is>
      </c>
      <c r="H698" s="11" t="inlineStr">
        <is>
          <t>—</t>
        </is>
      </c>
      <c r="I698" s="11" t="inlineStr">
        <is>
          <t>While the account exists; anonymised 30 days after closure (SRS 4.3).</t>
        </is>
      </c>
      <c r="J698" s="11" t="inlineStr">
        <is>
          <t>game-service</t>
        </is>
      </c>
      <c r="K698" s="11" t="inlineStr">
        <is>
          <t>Stored id only; no SQL foreign key (cross-service or polymorphic).</t>
        </is>
      </c>
    </row>
    <row r="699">
      <c r="A699" s="11" t="inlineStr">
        <is>
          <t>Leaderboard Entry (leaderboard_entries)</t>
        </is>
      </c>
      <c r="B699" s="11" t="inlineStr">
        <is>
          <t>score</t>
        </is>
      </c>
      <c r="C699" s="11" t="inlineStr">
        <is>
          <t>BIGINT</t>
        </is>
      </c>
      <c r="D699" s="11" t="inlineStr">
        <is>
          <t>—</t>
        </is>
      </c>
      <c r="E699" s="11" t="inlineStr">
        <is>
          <t>No</t>
        </is>
      </c>
      <c r="F699" s="11" t="inlineStr">
        <is>
          <t>No</t>
        </is>
      </c>
      <c r="G699" s="11" t="inlineStr">
        <is>
          <t>—</t>
        </is>
      </c>
      <c r="H699" s="11" t="inlineStr">
        <is>
          <t>—</t>
        </is>
      </c>
      <c r="I699" s="11" t="inlineStr">
        <is>
          <t>While the account exists; anonymised 30 days after closure (SRS 4.3).</t>
        </is>
      </c>
      <c r="J699" s="11" t="inlineStr">
        <is>
          <t>game-service</t>
        </is>
      </c>
      <c r="K699" s="11" t="n"/>
    </row>
    <row r="700">
      <c r="A700" s="11" t="inlineStr">
        <is>
          <t>Leaderboard Entry (leaderboard_entries)</t>
        </is>
      </c>
      <c r="B700" s="11" t="inlineStr">
        <is>
          <t>tie_break_duration_milliseconds</t>
        </is>
      </c>
      <c r="C700" s="11" t="inlineStr">
        <is>
          <t>BIGINT</t>
        </is>
      </c>
      <c r="D700" s="11" t="inlineStr">
        <is>
          <t>—</t>
        </is>
      </c>
      <c r="E700" s="11" t="inlineStr">
        <is>
          <t>Yes</t>
        </is>
      </c>
      <c r="F700" s="11" t="inlineStr">
        <is>
          <t>No</t>
        </is>
      </c>
      <c r="G700" s="11" t="inlineStr">
        <is>
          <t>NULL</t>
        </is>
      </c>
      <c r="H700" s="11" t="inlineStr">
        <is>
          <t>CHECK (tie_break_duration_milliseconds &gt;= 0)</t>
        </is>
      </c>
      <c r="I700" s="11" t="inlineStr">
        <is>
          <t>While the account exists; anonymised 30 days after closure (SRS 4.3).</t>
        </is>
      </c>
      <c r="J700" s="11" t="inlineStr">
        <is>
          <t>game-service</t>
        </is>
      </c>
      <c r="K700" s="11" t="n"/>
    </row>
    <row r="701">
      <c r="A701" s="11" t="inlineStr">
        <is>
          <t>Leaderboard Entry (leaderboard_entries)</t>
        </is>
      </c>
      <c r="B701" s="11" t="inlineStr">
        <is>
          <t>rank</t>
        </is>
      </c>
      <c r="C701" s="11" t="inlineStr">
        <is>
          <t>BIGINT</t>
        </is>
      </c>
      <c r="D701" s="11" t="inlineStr">
        <is>
          <t>—</t>
        </is>
      </c>
      <c r="E701" s="11" t="inlineStr">
        <is>
          <t>Yes</t>
        </is>
      </c>
      <c r="F701" s="11" t="inlineStr">
        <is>
          <t>No</t>
        </is>
      </c>
      <c r="G701" s="11" t="inlineStr">
        <is>
          <t>NULL</t>
        </is>
      </c>
      <c r="H701" s="11" t="inlineStr">
        <is>
          <t>CHECK (rank &gt; 0)</t>
        </is>
      </c>
      <c r="I701" s="11" t="inlineStr">
        <is>
          <t>While the account exists; anonymised 30 days after closure (SRS 4.3).</t>
        </is>
      </c>
      <c r="J701" s="11" t="inlineStr">
        <is>
          <t>game-service</t>
        </is>
      </c>
      <c r="K701" s="11" t="n"/>
    </row>
    <row r="702">
      <c r="A702" s="11" t="inlineStr">
        <is>
          <t>Leaderboard Entry (leaderboard_entries)</t>
        </is>
      </c>
      <c r="B702" s="11" t="inlineStr">
        <is>
          <t>calculated_at</t>
        </is>
      </c>
      <c r="C702" s="11" t="inlineStr">
        <is>
          <t>TIMESTAMPTZ</t>
        </is>
      </c>
      <c r="D702" s="11" t="inlineStr">
        <is>
          <t>—</t>
        </is>
      </c>
      <c r="E702" s="11" t="inlineStr">
        <is>
          <t>No</t>
        </is>
      </c>
      <c r="F702" s="11" t="inlineStr">
        <is>
          <t>No</t>
        </is>
      </c>
      <c r="G702" s="11" t="inlineStr">
        <is>
          <t>—</t>
        </is>
      </c>
      <c r="H702" s="11" t="inlineStr">
        <is>
          <t>—</t>
        </is>
      </c>
      <c r="I702" s="11" t="inlineStr">
        <is>
          <t>While the account exists; anonymised 30 days after closure (SRS 4.3).</t>
        </is>
      </c>
      <c r="J702" s="11" t="inlineStr">
        <is>
          <t>game-service</t>
        </is>
      </c>
      <c r="K702" s="11" t="n"/>
    </row>
    <row r="703">
      <c r="A703" s="13" t="inlineStr">
        <is>
          <t>Post (posts)</t>
        </is>
      </c>
      <c r="B703" s="12" t="inlineStr">
        <is>
          <t>id</t>
        </is>
      </c>
      <c r="C703" s="13" t="inlineStr">
        <is>
          <t>UUID</t>
        </is>
      </c>
      <c r="D703" s="13" t="inlineStr">
        <is>
          <t>PK</t>
        </is>
      </c>
      <c r="E703" s="13" t="inlineStr">
        <is>
          <t>No</t>
        </is>
      </c>
      <c r="F703" s="13" t="inlineStr">
        <is>
          <t>Yes</t>
        </is>
      </c>
      <c r="G703" s="13" t="inlineStr">
        <is>
          <t>—</t>
        </is>
      </c>
      <c r="H703" s="13" t="inlineStr">
        <is>
          <t>—</t>
        </is>
      </c>
      <c r="I703" s="13" t="inlineStr">
        <is>
          <t>While visible; deleted content removed after 90 days; the author's content deleted 30 days after closure (SRS 4.3).</t>
        </is>
      </c>
      <c r="J703" s="13" t="inlineStr">
        <is>
          <t>community-service</t>
        </is>
      </c>
      <c r="K703" s="13" t="inlineStr">
        <is>
          <t>Stores a user-authored community post and its moderation status. Table posts; owner community-service; created in V1__create_community_tables.sql.</t>
        </is>
      </c>
    </row>
    <row r="704">
      <c r="A704" s="13" t="inlineStr">
        <is>
          <t>Post (posts)</t>
        </is>
      </c>
      <c r="B704" s="13" t="inlineStr">
        <is>
          <t>author_id</t>
        </is>
      </c>
      <c r="C704" s="13" t="inlineStr">
        <is>
          <t>UUID</t>
        </is>
      </c>
      <c r="D704" s="13" t="inlineStr">
        <is>
          <t>Ref→User (no FK)</t>
        </is>
      </c>
      <c r="E704" s="13" t="inlineStr">
        <is>
          <t>No</t>
        </is>
      </c>
      <c r="F704" s="13" t="inlineStr">
        <is>
          <t>No</t>
        </is>
      </c>
      <c r="G704" s="13" t="inlineStr">
        <is>
          <t>—</t>
        </is>
      </c>
      <c r="H704" s="13" t="inlineStr">
        <is>
          <t>—</t>
        </is>
      </c>
      <c r="I704" s="13" t="inlineStr">
        <is>
          <t>While visible; deleted content removed after 90 days; the author's content deleted 30 days after closure (SRS 4.3).</t>
        </is>
      </c>
      <c r="J704" s="13" t="inlineStr">
        <is>
          <t>community-service</t>
        </is>
      </c>
      <c r="K704" s="13" t="inlineStr">
        <is>
          <t>Stored id only; no SQL foreign key (cross-service or polymorphic).</t>
        </is>
      </c>
    </row>
    <row r="705">
      <c r="A705" s="13" t="inlineStr">
        <is>
          <t>Post (posts)</t>
        </is>
      </c>
      <c r="B705" s="13" t="inlineStr">
        <is>
          <t>category</t>
        </is>
      </c>
      <c r="C705" s="13" t="inlineStr">
        <is>
          <t>VARCHAR(30)</t>
        </is>
      </c>
      <c r="D705" s="13" t="inlineStr">
        <is>
          <t>—</t>
        </is>
      </c>
      <c r="E705" s="13" t="inlineStr">
        <is>
          <t>No</t>
        </is>
      </c>
      <c r="F705" s="13" t="inlineStr">
        <is>
          <t>No</t>
        </is>
      </c>
      <c r="G705" s="13" t="inlineStr">
        <is>
          <t>—</t>
        </is>
      </c>
      <c r="H705" s="13" t="inlineStr">
        <is>
          <t>CHECK (category IN ('GENERAL','QUESTION','DISCUSSION'))</t>
        </is>
      </c>
      <c r="I705" s="13" t="inlineStr">
        <is>
          <t>While visible; deleted content removed after 90 days; the author's content deleted 30 days after closure (SRS 4.3).</t>
        </is>
      </c>
      <c r="J705" s="13" t="inlineStr">
        <is>
          <t>community-service</t>
        </is>
      </c>
      <c r="K705" s="13" t="n"/>
    </row>
    <row r="706">
      <c r="A706" s="13" t="inlineStr">
        <is>
          <t>Post (posts)</t>
        </is>
      </c>
      <c r="B706" s="13" t="inlineStr">
        <is>
          <t>title</t>
        </is>
      </c>
      <c r="C706" s="13" t="inlineStr">
        <is>
          <t>VARCHAR(200)</t>
        </is>
      </c>
      <c r="D706" s="13" t="inlineStr">
        <is>
          <t>—</t>
        </is>
      </c>
      <c r="E706" s="13" t="inlineStr">
        <is>
          <t>Yes</t>
        </is>
      </c>
      <c r="F706" s="13" t="inlineStr">
        <is>
          <t>No</t>
        </is>
      </c>
      <c r="G706" s="13" t="inlineStr">
        <is>
          <t>NULL</t>
        </is>
      </c>
      <c r="H706" s="13" t="inlineStr">
        <is>
          <t>—</t>
        </is>
      </c>
      <c r="I706" s="13" t="inlineStr">
        <is>
          <t>While visible; deleted content removed after 90 days; the author's content deleted 30 days after closure (SRS 4.3).</t>
        </is>
      </c>
      <c r="J706" s="13" t="inlineStr">
        <is>
          <t>community-service</t>
        </is>
      </c>
      <c r="K706" s="13" t="n"/>
    </row>
    <row r="707">
      <c r="A707" s="13" t="inlineStr">
        <is>
          <t>Post (posts)</t>
        </is>
      </c>
      <c r="B707" s="13" t="inlineStr">
        <is>
          <t>body</t>
        </is>
      </c>
      <c r="C707" s="13" t="inlineStr">
        <is>
          <t>TEXT</t>
        </is>
      </c>
      <c r="D707" s="13" t="inlineStr">
        <is>
          <t>—</t>
        </is>
      </c>
      <c r="E707" s="13" t="inlineStr">
        <is>
          <t>No</t>
        </is>
      </c>
      <c r="F707" s="13" t="inlineStr">
        <is>
          <t>No</t>
        </is>
      </c>
      <c r="G707" s="13" t="inlineStr">
        <is>
          <t>—</t>
        </is>
      </c>
      <c r="H707" s="13" t="inlineStr">
        <is>
          <t>—</t>
        </is>
      </c>
      <c r="I707" s="13" t="inlineStr">
        <is>
          <t>While visible; deleted content removed after 90 days; the author's content deleted 30 days after closure (SRS 4.3).</t>
        </is>
      </c>
      <c r="J707" s="13" t="inlineStr">
        <is>
          <t>community-service</t>
        </is>
      </c>
      <c r="K707" s="13" t="n"/>
    </row>
    <row r="708">
      <c r="A708" s="13" t="inlineStr">
        <is>
          <t>Post (posts)</t>
        </is>
      </c>
      <c r="B708" s="13" t="inlineStr">
        <is>
          <t>status</t>
        </is>
      </c>
      <c r="C708" s="13" t="inlineStr">
        <is>
          <t>VARCHAR(20)</t>
        </is>
      </c>
      <c r="D708" s="13" t="inlineStr">
        <is>
          <t>—</t>
        </is>
      </c>
      <c r="E708" s="13" t="inlineStr">
        <is>
          <t>No</t>
        </is>
      </c>
      <c r="F708" s="13" t="inlineStr">
        <is>
          <t>No</t>
        </is>
      </c>
      <c r="G708" s="13" t="inlineStr">
        <is>
          <t>—</t>
        </is>
      </c>
      <c r="H708" s="13" t="inlineStr">
        <is>
          <t>CHECK (status IN ('ACTIVE','HIDDEN','DELETED'))</t>
        </is>
      </c>
      <c r="I708" s="13" t="inlineStr">
        <is>
          <t>While visible; deleted content removed after 90 days; the author's content deleted 30 days after closure (SRS 4.3).</t>
        </is>
      </c>
      <c r="J708" s="13" t="inlineStr">
        <is>
          <t>community-service</t>
        </is>
      </c>
      <c r="K708" s="13" t="n"/>
    </row>
    <row r="709">
      <c r="A709" s="13" t="inlineStr">
        <is>
          <t>Post (posts)</t>
        </is>
      </c>
      <c r="B709" s="13" t="inlineStr">
        <is>
          <t>created_at</t>
        </is>
      </c>
      <c r="C709" s="13" t="inlineStr">
        <is>
          <t>TIMESTAMPTZ</t>
        </is>
      </c>
      <c r="D709" s="13" t="inlineStr">
        <is>
          <t>—</t>
        </is>
      </c>
      <c r="E709" s="13" t="inlineStr">
        <is>
          <t>No</t>
        </is>
      </c>
      <c r="F709" s="13" t="inlineStr">
        <is>
          <t>No</t>
        </is>
      </c>
      <c r="G709" s="13" t="inlineStr">
        <is>
          <t>—</t>
        </is>
      </c>
      <c r="H709" s="13" t="inlineStr">
        <is>
          <t>—</t>
        </is>
      </c>
      <c r="I709" s="13" t="inlineStr">
        <is>
          <t>While visible; deleted content removed after 90 days; the author's content deleted 30 days after closure (SRS 4.3).</t>
        </is>
      </c>
      <c r="J709" s="13" t="inlineStr">
        <is>
          <t>community-service</t>
        </is>
      </c>
      <c r="K709" s="13" t="n"/>
    </row>
    <row r="710">
      <c r="A710" s="13" t="inlineStr">
        <is>
          <t>Post (posts)</t>
        </is>
      </c>
      <c r="B710" s="13" t="inlineStr">
        <is>
          <t>updated_at</t>
        </is>
      </c>
      <c r="C710" s="13" t="inlineStr">
        <is>
          <t>TIMESTAMPTZ</t>
        </is>
      </c>
      <c r="D710" s="13" t="inlineStr">
        <is>
          <t>—</t>
        </is>
      </c>
      <c r="E710" s="13" t="inlineStr">
        <is>
          <t>No</t>
        </is>
      </c>
      <c r="F710" s="13" t="inlineStr">
        <is>
          <t>No</t>
        </is>
      </c>
      <c r="G710" s="13" t="inlineStr">
        <is>
          <t>—</t>
        </is>
      </c>
      <c r="H710" s="13" t="inlineStr">
        <is>
          <t>—</t>
        </is>
      </c>
      <c r="I710" s="13" t="inlineStr">
        <is>
          <t>While visible; deleted content removed after 90 days; the author's content deleted 30 days after closure (SRS 4.3).</t>
        </is>
      </c>
      <c r="J710" s="13" t="inlineStr">
        <is>
          <t>community-service</t>
        </is>
      </c>
      <c r="K710" s="13" t="n"/>
    </row>
    <row r="711">
      <c r="A711" s="13" t="inlineStr">
        <is>
          <t>Post (posts)</t>
        </is>
      </c>
      <c r="B711" s="13" t="inlineStr">
        <is>
          <t>version</t>
        </is>
      </c>
      <c r="C711" s="13" t="inlineStr">
        <is>
          <t>BIGINT</t>
        </is>
      </c>
      <c r="D711" s="13" t="inlineStr">
        <is>
          <t>—</t>
        </is>
      </c>
      <c r="E711" s="13" t="inlineStr">
        <is>
          <t>No</t>
        </is>
      </c>
      <c r="F711" s="13" t="inlineStr">
        <is>
          <t>No</t>
        </is>
      </c>
      <c r="G711" s="13" t="inlineStr">
        <is>
          <t>0</t>
        </is>
      </c>
      <c r="H711" s="13" t="inlineStr">
        <is>
          <t>—</t>
        </is>
      </c>
      <c r="I711" s="13" t="inlineStr">
        <is>
          <t>While visible; deleted content removed after 90 days; the author's content deleted 30 days after closure (SRS 4.3).</t>
        </is>
      </c>
      <c r="J711" s="13" t="inlineStr">
        <is>
          <t>community-service</t>
        </is>
      </c>
      <c r="K711" s="13" t="n"/>
    </row>
    <row r="712">
      <c r="A712" s="11" t="inlineStr">
        <is>
          <t>Comment (comments)</t>
        </is>
      </c>
      <c r="B712" s="10" t="inlineStr">
        <is>
          <t>id</t>
        </is>
      </c>
      <c r="C712" s="11" t="inlineStr">
        <is>
          <t>UUID</t>
        </is>
      </c>
      <c r="D712" s="11" t="inlineStr">
        <is>
          <t>PK</t>
        </is>
      </c>
      <c r="E712" s="11" t="inlineStr">
        <is>
          <t>No</t>
        </is>
      </c>
      <c r="F712" s="11" t="inlineStr">
        <is>
          <t>Yes</t>
        </is>
      </c>
      <c r="G712" s="11" t="inlineStr">
        <is>
          <t>—</t>
        </is>
      </c>
      <c r="H712" s="11" t="inlineStr">
        <is>
          <t>—</t>
        </is>
      </c>
      <c r="I712" s="11" t="inlineStr">
        <is>
          <t>While visible; deleted content removed after 90 days; the author's content deleted 30 days after closure (SRS 4.3).</t>
        </is>
      </c>
      <c r="J712" s="11" t="inlineStr">
        <is>
          <t>community-service</t>
        </is>
      </c>
      <c r="K712" s="11" t="inlineStr">
        <is>
          <t>Stores a reply to a post, optionally nested below another comment. Table comments; owner community-service; created in V1__create_community_tables.sql.</t>
        </is>
      </c>
    </row>
    <row r="713">
      <c r="A713" s="11" t="inlineStr">
        <is>
          <t>Comment (comments)</t>
        </is>
      </c>
      <c r="B713" s="11" t="inlineStr">
        <is>
          <t>post_id</t>
        </is>
      </c>
      <c r="C713" s="11" t="inlineStr">
        <is>
          <t>UUID</t>
        </is>
      </c>
      <c r="D713" s="11" t="inlineStr">
        <is>
          <t>FK→Post.id</t>
        </is>
      </c>
      <c r="E713" s="11" t="inlineStr">
        <is>
          <t>No</t>
        </is>
      </c>
      <c r="F713" s="11" t="inlineStr">
        <is>
          <t>No</t>
        </is>
      </c>
      <c r="G713" s="11" t="inlineStr">
        <is>
          <t>—</t>
        </is>
      </c>
      <c r="H713" s="11" t="inlineStr">
        <is>
          <t>—</t>
        </is>
      </c>
      <c r="I713" s="11" t="inlineStr">
        <is>
          <t>While visible; deleted content removed after 90 days; the author's content deleted 30 days after closure (SRS 4.3).</t>
        </is>
      </c>
      <c r="J713" s="11" t="inlineStr">
        <is>
          <t>community-service</t>
        </is>
      </c>
      <c r="K713" s="11" t="n"/>
    </row>
    <row r="714">
      <c r="A714" s="11" t="inlineStr">
        <is>
          <t>Comment (comments)</t>
        </is>
      </c>
      <c r="B714" s="11" t="inlineStr">
        <is>
          <t>author_id</t>
        </is>
      </c>
      <c r="C714" s="11" t="inlineStr">
        <is>
          <t>UUID</t>
        </is>
      </c>
      <c r="D714" s="11" t="inlineStr">
        <is>
          <t>Ref→User (no FK)</t>
        </is>
      </c>
      <c r="E714" s="11" t="inlineStr">
        <is>
          <t>No</t>
        </is>
      </c>
      <c r="F714" s="11" t="inlineStr">
        <is>
          <t>No</t>
        </is>
      </c>
      <c r="G714" s="11" t="inlineStr">
        <is>
          <t>—</t>
        </is>
      </c>
      <c r="H714" s="11" t="inlineStr">
        <is>
          <t>—</t>
        </is>
      </c>
      <c r="I714" s="11" t="inlineStr">
        <is>
          <t>While visible; deleted content removed after 90 days; the author's content deleted 30 days after closure (SRS 4.3).</t>
        </is>
      </c>
      <c r="J714" s="11" t="inlineStr">
        <is>
          <t>community-service</t>
        </is>
      </c>
      <c r="K714" s="11" t="inlineStr">
        <is>
          <t>Stored id only; no SQL foreign key (cross-service or polymorphic).</t>
        </is>
      </c>
    </row>
    <row r="715">
      <c r="A715" s="11" t="inlineStr">
        <is>
          <t>Comment (comments)</t>
        </is>
      </c>
      <c r="B715" s="11" t="inlineStr">
        <is>
          <t>parent_comment_id</t>
        </is>
      </c>
      <c r="C715" s="11" t="inlineStr">
        <is>
          <t>UUID</t>
        </is>
      </c>
      <c r="D715" s="11" t="inlineStr">
        <is>
          <t>FK→Comment.id</t>
        </is>
      </c>
      <c r="E715" s="11" t="inlineStr">
        <is>
          <t>Yes</t>
        </is>
      </c>
      <c r="F715" s="11" t="inlineStr">
        <is>
          <t>No</t>
        </is>
      </c>
      <c r="G715" s="11" t="inlineStr">
        <is>
          <t>NULL</t>
        </is>
      </c>
      <c r="H715" s="11" t="inlineStr">
        <is>
          <t>—</t>
        </is>
      </c>
      <c r="I715" s="11" t="inlineStr">
        <is>
          <t>While visible; deleted content removed after 90 days; the author's content deleted 30 days after closure (SRS 4.3).</t>
        </is>
      </c>
      <c r="J715" s="11" t="inlineStr">
        <is>
          <t>community-service</t>
        </is>
      </c>
      <c r="K715" s="11" t="n"/>
    </row>
    <row r="716">
      <c r="A716" s="11" t="inlineStr">
        <is>
          <t>Comment (comments)</t>
        </is>
      </c>
      <c r="B716" s="11" t="inlineStr">
        <is>
          <t>body</t>
        </is>
      </c>
      <c r="C716" s="11" t="inlineStr">
        <is>
          <t>TEXT</t>
        </is>
      </c>
      <c r="D716" s="11" t="inlineStr">
        <is>
          <t>—</t>
        </is>
      </c>
      <c r="E716" s="11" t="inlineStr">
        <is>
          <t>No</t>
        </is>
      </c>
      <c r="F716" s="11" t="inlineStr">
        <is>
          <t>No</t>
        </is>
      </c>
      <c r="G716" s="11" t="inlineStr">
        <is>
          <t>—</t>
        </is>
      </c>
      <c r="H716" s="11" t="inlineStr">
        <is>
          <t>—</t>
        </is>
      </c>
      <c r="I716" s="11" t="inlineStr">
        <is>
          <t>While visible; deleted content removed after 90 days; the author's content deleted 30 days after closure (SRS 4.3).</t>
        </is>
      </c>
      <c r="J716" s="11" t="inlineStr">
        <is>
          <t>community-service</t>
        </is>
      </c>
      <c r="K716" s="11" t="n"/>
    </row>
    <row r="717">
      <c r="A717" s="11" t="inlineStr">
        <is>
          <t>Comment (comments)</t>
        </is>
      </c>
      <c r="B717" s="11" t="inlineStr">
        <is>
          <t>status</t>
        </is>
      </c>
      <c r="C717" s="11" t="inlineStr">
        <is>
          <t>VARCHAR(20)</t>
        </is>
      </c>
      <c r="D717" s="11" t="inlineStr">
        <is>
          <t>—</t>
        </is>
      </c>
      <c r="E717" s="11" t="inlineStr">
        <is>
          <t>No</t>
        </is>
      </c>
      <c r="F717" s="11" t="inlineStr">
        <is>
          <t>No</t>
        </is>
      </c>
      <c r="G717" s="11" t="inlineStr">
        <is>
          <t>—</t>
        </is>
      </c>
      <c r="H717" s="11" t="inlineStr">
        <is>
          <t>CHECK (status IN ('ACTIVE','HIDDEN','DELETED'))</t>
        </is>
      </c>
      <c r="I717" s="11" t="inlineStr">
        <is>
          <t>While visible; deleted content removed after 90 days; the author's content deleted 30 days after closure (SRS 4.3).</t>
        </is>
      </c>
      <c r="J717" s="11" t="inlineStr">
        <is>
          <t>community-service</t>
        </is>
      </c>
      <c r="K717" s="11" t="n"/>
    </row>
    <row r="718">
      <c r="A718" s="11" t="inlineStr">
        <is>
          <t>Comment (comments)</t>
        </is>
      </c>
      <c r="B718" s="11" t="inlineStr">
        <is>
          <t>created_at</t>
        </is>
      </c>
      <c r="C718" s="11" t="inlineStr">
        <is>
          <t>TIMESTAMPTZ</t>
        </is>
      </c>
      <c r="D718" s="11" t="inlineStr">
        <is>
          <t>—</t>
        </is>
      </c>
      <c r="E718" s="11" t="inlineStr">
        <is>
          <t>No</t>
        </is>
      </c>
      <c r="F718" s="11" t="inlineStr">
        <is>
          <t>No</t>
        </is>
      </c>
      <c r="G718" s="11" t="inlineStr">
        <is>
          <t>—</t>
        </is>
      </c>
      <c r="H718" s="11" t="inlineStr">
        <is>
          <t>—</t>
        </is>
      </c>
      <c r="I718" s="11" t="inlineStr">
        <is>
          <t>While visible; deleted content removed after 90 days; the author's content deleted 30 days after closure (SRS 4.3).</t>
        </is>
      </c>
      <c r="J718" s="11" t="inlineStr">
        <is>
          <t>community-service</t>
        </is>
      </c>
      <c r="K718" s="11" t="n"/>
    </row>
    <row r="719">
      <c r="A719" s="11" t="inlineStr">
        <is>
          <t>Comment (comments)</t>
        </is>
      </c>
      <c r="B719" s="11" t="inlineStr">
        <is>
          <t>updated_at</t>
        </is>
      </c>
      <c r="C719" s="11" t="inlineStr">
        <is>
          <t>TIMESTAMPTZ</t>
        </is>
      </c>
      <c r="D719" s="11" t="inlineStr">
        <is>
          <t>—</t>
        </is>
      </c>
      <c r="E719" s="11" t="inlineStr">
        <is>
          <t>No</t>
        </is>
      </c>
      <c r="F719" s="11" t="inlineStr">
        <is>
          <t>No</t>
        </is>
      </c>
      <c r="G719" s="11" t="inlineStr">
        <is>
          <t>—</t>
        </is>
      </c>
      <c r="H719" s="11" t="inlineStr">
        <is>
          <t>—</t>
        </is>
      </c>
      <c r="I719" s="11" t="inlineStr">
        <is>
          <t>While visible; deleted content removed after 90 days; the author's content deleted 30 days after closure (SRS 4.3).</t>
        </is>
      </c>
      <c r="J719" s="11" t="inlineStr">
        <is>
          <t>community-service</t>
        </is>
      </c>
      <c r="K719" s="11" t="n"/>
    </row>
    <row r="720">
      <c r="A720" s="11" t="inlineStr">
        <is>
          <t>Comment (comments)</t>
        </is>
      </c>
      <c r="B720" s="11" t="inlineStr">
        <is>
          <t>version</t>
        </is>
      </c>
      <c r="C720" s="11" t="inlineStr">
        <is>
          <t>BIGINT</t>
        </is>
      </c>
      <c r="D720" s="11" t="inlineStr">
        <is>
          <t>—</t>
        </is>
      </c>
      <c r="E720" s="11" t="inlineStr">
        <is>
          <t>No</t>
        </is>
      </c>
      <c r="F720" s="11" t="inlineStr">
        <is>
          <t>No</t>
        </is>
      </c>
      <c r="G720" s="11" t="inlineStr">
        <is>
          <t>0</t>
        </is>
      </c>
      <c r="H720" s="11" t="inlineStr">
        <is>
          <t>—</t>
        </is>
      </c>
      <c r="I720" s="11" t="inlineStr">
        <is>
          <t>While visible; deleted content removed after 90 days; the author's content deleted 30 days after closure (SRS 4.3).</t>
        </is>
      </c>
      <c r="J720" s="11" t="inlineStr">
        <is>
          <t>community-service</t>
        </is>
      </c>
      <c r="K720" s="11" t="n"/>
    </row>
    <row r="721">
      <c r="A721" s="13" t="inlineStr">
        <is>
          <t>Reaction (post_reactions)</t>
        </is>
      </c>
      <c r="B721" s="12" t="inlineStr">
        <is>
          <t>post_id</t>
        </is>
      </c>
      <c r="C721" s="13" t="inlineStr">
        <is>
          <t>UUID</t>
        </is>
      </c>
      <c r="D721" s="13" t="inlineStr">
        <is>
          <t>PK (post_id, user_id, reaction_type), FK→Post.id</t>
        </is>
      </c>
      <c r="E721" s="13" t="inlineStr">
        <is>
          <t>No</t>
        </is>
      </c>
      <c r="F721" s="13" t="inlineStr">
        <is>
          <t>No</t>
        </is>
      </c>
      <c r="G721" s="13" t="inlineStr">
        <is>
          <t>—</t>
        </is>
      </c>
      <c r="H721" s="13" t="inlineStr">
        <is>
          <t>—</t>
        </is>
      </c>
      <c r="I721" s="13" t="inlineStr">
        <is>
          <t>While visible; deleted content removed after 90 days; the author's content deleted 30 days after closure (SRS 4.3).</t>
        </is>
      </c>
      <c r="J721" s="13" t="inlineStr">
        <is>
          <t>community-service</t>
        </is>
      </c>
      <c r="K721" s="13" t="inlineStr">
        <is>
          <t>Records a user's reaction type on a post. Table post_reactions; owner community-service; created in V1__create_community_tables.sql.</t>
        </is>
      </c>
    </row>
    <row r="722">
      <c r="A722" s="13" t="inlineStr">
        <is>
          <t>Reaction (post_reactions)</t>
        </is>
      </c>
      <c r="B722" s="12" t="inlineStr">
        <is>
          <t>user_id</t>
        </is>
      </c>
      <c r="C722" s="13" t="inlineStr">
        <is>
          <t>UUID</t>
        </is>
      </c>
      <c r="D722" s="13" t="inlineStr">
        <is>
          <t>PK (post_id, user_id, reaction_type), Ref→User (no FK)</t>
        </is>
      </c>
      <c r="E722" s="13" t="inlineStr">
        <is>
          <t>No</t>
        </is>
      </c>
      <c r="F722" s="13" t="inlineStr">
        <is>
          <t>No</t>
        </is>
      </c>
      <c r="G722" s="13" t="inlineStr">
        <is>
          <t>—</t>
        </is>
      </c>
      <c r="H722" s="13" t="inlineStr">
        <is>
          <t>—</t>
        </is>
      </c>
      <c r="I722" s="13" t="inlineStr">
        <is>
          <t>While visible; deleted content removed after 90 days; the author's content deleted 30 days after closure (SRS 4.3).</t>
        </is>
      </c>
      <c r="J722" s="13" t="inlineStr">
        <is>
          <t>community-service</t>
        </is>
      </c>
      <c r="K722" s="13" t="inlineStr">
        <is>
          <t>Stored id only; no SQL foreign key (cross-service or polymorphic).</t>
        </is>
      </c>
    </row>
    <row r="723">
      <c r="A723" s="13" t="inlineStr">
        <is>
          <t>Reaction (post_reactions)</t>
        </is>
      </c>
      <c r="B723" s="12" t="inlineStr">
        <is>
          <t>reaction_type</t>
        </is>
      </c>
      <c r="C723" s="13" t="inlineStr">
        <is>
          <t>VARCHAR(20)</t>
        </is>
      </c>
      <c r="D723" s="13" t="inlineStr">
        <is>
          <t>PK (post_id, user_id, reaction_type)</t>
        </is>
      </c>
      <c r="E723" s="13" t="inlineStr">
        <is>
          <t>No</t>
        </is>
      </c>
      <c r="F723" s="13" t="inlineStr">
        <is>
          <t>No</t>
        </is>
      </c>
      <c r="G723" s="13" t="inlineStr">
        <is>
          <t>—</t>
        </is>
      </c>
      <c r="H723" s="13" t="inlineStr">
        <is>
          <t>CHECK (reaction_type IN ('LIKE','LOVE'))</t>
        </is>
      </c>
      <c r="I723" s="13" t="inlineStr">
        <is>
          <t>While visible; deleted content removed after 90 days; the author's content deleted 30 days after closure (SRS 4.3).</t>
        </is>
      </c>
      <c r="J723" s="13" t="inlineStr">
        <is>
          <t>community-service</t>
        </is>
      </c>
      <c r="K723" s="13" t="n"/>
    </row>
    <row r="724">
      <c r="A724" s="13" t="inlineStr">
        <is>
          <t>Reaction (post_reactions)</t>
        </is>
      </c>
      <c r="B724" s="13" t="inlineStr">
        <is>
          <t>created_at</t>
        </is>
      </c>
      <c r="C724" s="13" t="inlineStr">
        <is>
          <t>TIMESTAMPTZ</t>
        </is>
      </c>
      <c r="D724" s="13" t="inlineStr">
        <is>
          <t>—</t>
        </is>
      </c>
      <c r="E724" s="13" t="inlineStr">
        <is>
          <t>No</t>
        </is>
      </c>
      <c r="F724" s="13" t="inlineStr">
        <is>
          <t>No</t>
        </is>
      </c>
      <c r="G724" s="13" t="inlineStr">
        <is>
          <t>—</t>
        </is>
      </c>
      <c r="H724" s="13" t="inlineStr">
        <is>
          <t>—</t>
        </is>
      </c>
      <c r="I724" s="13" t="inlineStr">
        <is>
          <t>While visible; deleted content removed after 90 days; the author's content deleted 30 days after closure (SRS 4.3).</t>
        </is>
      </c>
      <c r="J724" s="13" t="inlineStr">
        <is>
          <t>community-service</t>
        </is>
      </c>
      <c r="K724" s="13" t="n"/>
    </row>
    <row r="725">
      <c r="A725" s="11" t="inlineStr">
        <is>
          <t>Notification Preference (Draft)</t>
        </is>
      </c>
      <c r="B725" s="11" t="inlineStr">
        <is>
          <t>id</t>
        </is>
      </c>
      <c r="C725" s="11" t="inlineStr">
        <is>
          <t>UUID</t>
        </is>
      </c>
      <c r="D725" s="11" t="inlineStr">
        <is>
          <t>PK</t>
        </is>
      </c>
      <c r="E725" s="11" t="inlineStr">
        <is>
          <t>No</t>
        </is>
      </c>
      <c r="F725" s="11" t="inlineStr">
        <is>
          <t>Yes</t>
        </is>
      </c>
      <c r="G725" s="11" t="inlineStr">
        <is>
          <t>—</t>
        </is>
      </c>
      <c r="H725" s="11" t="inlineStr">
        <is>
          <t>—</t>
        </is>
      </c>
      <c r="I725" s="11" t="inlineStr">
        <is>
          <t>While the account exists; deleted 30 days after closure (SRS 4.3).</t>
        </is>
      </c>
      <c r="J725" s="11" t="inlineStr">
        <is>
          <t>notification-service</t>
        </is>
      </c>
      <c r="K725" s="11" t="inlineStr">
        <is>
          <t>A learner's on/off choice and preferred time for one channel. Draft: notification-service has no database yet (FT-51).</t>
        </is>
      </c>
    </row>
    <row r="726">
      <c r="A726" s="11" t="inlineStr">
        <is>
          <t>Notification Preference (Draft)</t>
        </is>
      </c>
      <c r="B726" s="11" t="inlineStr">
        <is>
          <t>user_id</t>
        </is>
      </c>
      <c r="C726" s="11" t="inlineStr">
        <is>
          <t>UUID</t>
        </is>
      </c>
      <c r="D726" s="11" t="inlineStr">
        <is>
          <t>Ref→User (no FK)</t>
        </is>
      </c>
      <c r="E726" s="11" t="inlineStr">
        <is>
          <t>No</t>
        </is>
      </c>
      <c r="F726" s="11" t="inlineStr">
        <is>
          <t>Partial (user_id, channel)</t>
        </is>
      </c>
      <c r="G726" s="11" t="inlineStr">
        <is>
          <t>—</t>
        </is>
      </c>
      <c r="H726" s="11" t="inlineStr">
        <is>
          <t>—</t>
        </is>
      </c>
      <c r="I726" s="11" t="inlineStr">
        <is>
          <t>While the account exists; deleted 30 days after closure (SRS 4.3).</t>
        </is>
      </c>
      <c r="J726" s="11" t="inlineStr">
        <is>
          <t>notification-service</t>
        </is>
      </c>
      <c r="K726" s="11" t="inlineStr">
        <is>
          <t>Stored id only; no SQL foreign key (cross-service or polymorphic).</t>
        </is>
      </c>
    </row>
    <row r="727">
      <c r="A727" s="11" t="inlineStr">
        <is>
          <t>Notification Preference (Draft)</t>
        </is>
      </c>
      <c r="B727" s="11" t="inlineStr">
        <is>
          <t>channel</t>
        </is>
      </c>
      <c r="C727" s="11" t="inlineStr">
        <is>
          <t>VARCHAR(20)</t>
        </is>
      </c>
      <c r="D727" s="11" t="inlineStr">
        <is>
          <t>—</t>
        </is>
      </c>
      <c r="E727" s="11" t="inlineStr">
        <is>
          <t>No</t>
        </is>
      </c>
      <c r="F727" s="11" t="inlineStr">
        <is>
          <t>Partial (user_id, channel)</t>
        </is>
      </c>
      <c r="G727" s="11" t="inlineStr">
        <is>
          <t>—</t>
        </is>
      </c>
      <c r="H727" s="11" t="inlineStr">
        <is>
          <t>CHECK (channel IN ('PUSH', 'EMAIL', 'IN_APP'))</t>
        </is>
      </c>
      <c r="I727" s="11" t="inlineStr">
        <is>
          <t>While the account exists; deleted 30 days after closure (SRS 4.3).</t>
        </is>
      </c>
      <c r="J727" s="11" t="inlineStr">
        <is>
          <t>notification-service</t>
        </is>
      </c>
      <c r="K727" s="11" t="inlineStr">
        <is>
          <t>One preference per channel (BR-32).</t>
        </is>
      </c>
    </row>
    <row r="728">
      <c r="A728" s="11" t="inlineStr">
        <is>
          <t>Notification Preference (Draft)</t>
        </is>
      </c>
      <c r="B728" s="11" t="inlineStr">
        <is>
          <t>enabled</t>
        </is>
      </c>
      <c r="C728" s="11" t="inlineStr">
        <is>
          <t>BOOLEAN</t>
        </is>
      </c>
      <c r="D728" s="11" t="inlineStr">
        <is>
          <t>—</t>
        </is>
      </c>
      <c r="E728" s="11" t="inlineStr">
        <is>
          <t>No</t>
        </is>
      </c>
      <c r="F728" s="11" t="inlineStr">
        <is>
          <t>No</t>
        </is>
      </c>
      <c r="G728" s="11" t="inlineStr">
        <is>
          <t>TRUE</t>
        </is>
      </c>
      <c r="H728" s="11" t="inlineStr">
        <is>
          <t>—</t>
        </is>
      </c>
      <c r="I728" s="11" t="inlineStr">
        <is>
          <t>While the account exists; deleted 30 days after closure (SRS 4.3).</t>
        </is>
      </c>
      <c r="J728" s="11" t="inlineStr">
        <is>
          <t>notification-service</t>
        </is>
      </c>
      <c r="K728" s="11" t="n"/>
    </row>
    <row r="729">
      <c r="A729" s="11" t="inlineStr">
        <is>
          <t>Notification Preference (Draft)</t>
        </is>
      </c>
      <c r="B729" s="11" t="inlineStr">
        <is>
          <t>preferred_time</t>
        </is>
      </c>
      <c r="C729" s="11" t="inlineStr">
        <is>
          <t>TIME</t>
        </is>
      </c>
      <c r="D729" s="11" t="inlineStr">
        <is>
          <t>—</t>
        </is>
      </c>
      <c r="E729" s="11" t="inlineStr">
        <is>
          <t>Yes</t>
        </is>
      </c>
      <c r="F729" s="11" t="inlineStr">
        <is>
          <t>No</t>
        </is>
      </c>
      <c r="G729" s="11" t="inlineStr">
        <is>
          <t>NULL</t>
        </is>
      </c>
      <c r="H729" s="11" t="inlineStr">
        <is>
          <t>—</t>
        </is>
      </c>
      <c r="I729" s="11" t="inlineStr">
        <is>
          <t>While the account exists; deleted 30 days after closure (SRS 4.3).</t>
        </is>
      </c>
      <c r="J729" s="11" t="inlineStr">
        <is>
          <t>notification-service</t>
        </is>
      </c>
      <c r="K729" s="11" t="inlineStr">
        <is>
          <t>Local time for study reminders.</t>
        </is>
      </c>
    </row>
    <row r="730">
      <c r="A730" s="11" t="inlineStr">
        <is>
          <t>Notification Preference (Draft)</t>
        </is>
      </c>
      <c r="B730" s="11" t="inlineStr">
        <is>
          <t>timezone</t>
        </is>
      </c>
      <c r="C730" s="11" t="inlineStr">
        <is>
          <t>VARCHAR(50)</t>
        </is>
      </c>
      <c r="D730" s="11" t="inlineStr">
        <is>
          <t>—</t>
        </is>
      </c>
      <c r="E730" s="11" t="inlineStr">
        <is>
          <t>No</t>
        </is>
      </c>
      <c r="F730" s="11" t="inlineStr">
        <is>
          <t>No</t>
        </is>
      </c>
      <c r="G730" s="11" t="inlineStr">
        <is>
          <t>'Asia/Ho_Chi_Minh'</t>
        </is>
      </c>
      <c r="H730" s="11" t="inlineStr">
        <is>
          <t>—</t>
        </is>
      </c>
      <c r="I730" s="11" t="inlineStr">
        <is>
          <t>While the account exists; deleted 30 days after closure (SRS 4.3).</t>
        </is>
      </c>
      <c r="J730" s="11" t="inlineStr">
        <is>
          <t>notification-service</t>
        </is>
      </c>
      <c r="K730" s="11" t="n"/>
    </row>
    <row r="731">
      <c r="A731" s="11" t="inlineStr">
        <is>
          <t>Notification Preference (Draft)</t>
        </is>
      </c>
      <c r="B731" s="11" t="inlineStr">
        <is>
          <t>updated_at</t>
        </is>
      </c>
      <c r="C731" s="11" t="inlineStr">
        <is>
          <t>TIMESTAMPTZ</t>
        </is>
      </c>
      <c r="D731" s="11" t="inlineStr">
        <is>
          <t>—</t>
        </is>
      </c>
      <c r="E731" s="11" t="inlineStr">
        <is>
          <t>No</t>
        </is>
      </c>
      <c r="F731" s="11" t="inlineStr">
        <is>
          <t>No</t>
        </is>
      </c>
      <c r="G731" s="11" t="inlineStr">
        <is>
          <t>CURRENT_TIMESTAMP</t>
        </is>
      </c>
      <c r="H731" s="11" t="inlineStr">
        <is>
          <t>—</t>
        </is>
      </c>
      <c r="I731" s="11" t="inlineStr">
        <is>
          <t>While the account exists; deleted 30 days after closure (SRS 4.3).</t>
        </is>
      </c>
      <c r="J731" s="11" t="inlineStr">
        <is>
          <t>notification-service</t>
        </is>
      </c>
      <c r="K731" s="11" t="n"/>
    </row>
    <row r="732">
      <c r="A732" s="11" t="inlineStr">
        <is>
          <t>Push Device (Draft)</t>
        </is>
      </c>
      <c r="B732" s="11" t="inlineStr">
        <is>
          <t>id</t>
        </is>
      </c>
      <c r="C732" s="11" t="inlineStr">
        <is>
          <t>UUID</t>
        </is>
      </c>
      <c r="D732" s="11" t="inlineStr">
        <is>
          <t>PK</t>
        </is>
      </c>
      <c r="E732" s="11" t="inlineStr">
        <is>
          <t>No</t>
        </is>
      </c>
      <c r="F732" s="11" t="inlineStr">
        <is>
          <t>Yes</t>
        </is>
      </c>
      <c r="G732" s="11" t="inlineStr">
        <is>
          <t>—</t>
        </is>
      </c>
      <c r="H732" s="11" t="inlineStr">
        <is>
          <t>—</t>
        </is>
      </c>
      <c r="I732" s="11" t="inlineStr">
        <is>
          <t>While the account exists; deleted 30 days after closure (SRS 4.3).</t>
        </is>
      </c>
      <c r="J732" s="11" t="inlineStr">
        <is>
          <t>notification-service</t>
        </is>
      </c>
      <c r="K732" s="11" t="inlineStr">
        <is>
          <t>A device that can receive push notifications. Draft: notification-service has no database yet (FT-51).</t>
        </is>
      </c>
    </row>
    <row r="733">
      <c r="A733" s="11" t="inlineStr">
        <is>
          <t>Push Device (Draft)</t>
        </is>
      </c>
      <c r="B733" s="11" t="inlineStr">
        <is>
          <t>user_id</t>
        </is>
      </c>
      <c r="C733" s="11" t="inlineStr">
        <is>
          <t>UUID</t>
        </is>
      </c>
      <c r="D733" s="11" t="inlineStr">
        <is>
          <t>Ref→User (no FK)</t>
        </is>
      </c>
      <c r="E733" s="11" t="inlineStr">
        <is>
          <t>No</t>
        </is>
      </c>
      <c r="F733" s="11" t="inlineStr">
        <is>
          <t>No</t>
        </is>
      </c>
      <c r="G733" s="11" t="inlineStr">
        <is>
          <t>—</t>
        </is>
      </c>
      <c r="H733" s="11" t="inlineStr">
        <is>
          <t>—</t>
        </is>
      </c>
      <c r="I733" s="11" t="inlineStr">
        <is>
          <t>While the account exists; deleted 30 days after closure (SRS 4.3).</t>
        </is>
      </c>
      <c r="J733" s="11" t="inlineStr">
        <is>
          <t>notification-service</t>
        </is>
      </c>
      <c r="K733" s="11" t="inlineStr">
        <is>
          <t>Stored id only; no SQL foreign key (cross-service or polymorphic).</t>
        </is>
      </c>
    </row>
    <row r="734">
      <c r="A734" s="11" t="inlineStr">
        <is>
          <t>Push Device (Draft)</t>
        </is>
      </c>
      <c r="B734" s="11" t="inlineStr">
        <is>
          <t>device_token</t>
        </is>
      </c>
      <c r="C734" s="11" t="inlineStr">
        <is>
          <t>VARCHAR(512)</t>
        </is>
      </c>
      <c r="D734" s="11" t="inlineStr">
        <is>
          <t>—</t>
        </is>
      </c>
      <c r="E734" s="11" t="inlineStr">
        <is>
          <t>No</t>
        </is>
      </c>
      <c r="F734" s="11" t="inlineStr">
        <is>
          <t>Yes</t>
        </is>
      </c>
      <c r="G734" s="11" t="inlineStr">
        <is>
          <t>—</t>
        </is>
      </c>
      <c r="H734" s="11" t="inlineStr">
        <is>
          <t>—</t>
        </is>
      </c>
      <c r="I734" s="11" t="inlineStr">
        <is>
          <t>While the account exists; deleted 30 days after closure (SRS 4.3).</t>
        </is>
      </c>
      <c r="J734" s="11" t="inlineStr">
        <is>
          <t>notification-service</t>
        </is>
      </c>
      <c r="K734" s="11" t="inlineStr">
        <is>
          <t>Firebase Cloud Messaging token.</t>
        </is>
      </c>
    </row>
    <row r="735">
      <c r="A735" s="11" t="inlineStr">
        <is>
          <t>Push Device (Draft)</t>
        </is>
      </c>
      <c r="B735" s="11" t="inlineStr">
        <is>
          <t>platform</t>
        </is>
      </c>
      <c r="C735" s="11" t="inlineStr">
        <is>
          <t>VARCHAR(20)</t>
        </is>
      </c>
      <c r="D735" s="11" t="inlineStr">
        <is>
          <t>—</t>
        </is>
      </c>
      <c r="E735" s="11" t="inlineStr">
        <is>
          <t>No</t>
        </is>
      </c>
      <c r="F735" s="11" t="inlineStr">
        <is>
          <t>No</t>
        </is>
      </c>
      <c r="G735" s="11" t="inlineStr">
        <is>
          <t>—</t>
        </is>
      </c>
      <c r="H735" s="11" t="inlineStr">
        <is>
          <t>CHECK (platform IN ('ANDROID', 'IOS', 'WEB'))</t>
        </is>
      </c>
      <c r="I735" s="11" t="inlineStr">
        <is>
          <t>While the account exists; deleted 30 days after closure (SRS 4.3).</t>
        </is>
      </c>
      <c r="J735" s="11" t="inlineStr">
        <is>
          <t>notification-service</t>
        </is>
      </c>
      <c r="K735" s="11" t="n"/>
    </row>
    <row r="736">
      <c r="A736" s="11" t="inlineStr">
        <is>
          <t>Push Device (Draft)</t>
        </is>
      </c>
      <c r="B736" s="11" t="inlineStr">
        <is>
          <t>registered_at</t>
        </is>
      </c>
      <c r="C736" s="11" t="inlineStr">
        <is>
          <t>TIMESTAMPTZ</t>
        </is>
      </c>
      <c r="D736" s="11" t="inlineStr">
        <is>
          <t>—</t>
        </is>
      </c>
      <c r="E736" s="11" t="inlineStr">
        <is>
          <t>No</t>
        </is>
      </c>
      <c r="F736" s="11" t="inlineStr">
        <is>
          <t>No</t>
        </is>
      </c>
      <c r="G736" s="11" t="inlineStr">
        <is>
          <t>CURRENT_TIMESTAMP</t>
        </is>
      </c>
      <c r="H736" s="11" t="inlineStr">
        <is>
          <t>—</t>
        </is>
      </c>
      <c r="I736" s="11" t="inlineStr">
        <is>
          <t>While the account exists; deleted 30 days after closure (SRS 4.3).</t>
        </is>
      </c>
      <c r="J736" s="11" t="inlineStr">
        <is>
          <t>notification-service</t>
        </is>
      </c>
      <c r="K736" s="11" t="n"/>
    </row>
    <row r="737">
      <c r="A737" s="11" t="inlineStr">
        <is>
          <t>Reminder Schedule (Draft)</t>
        </is>
      </c>
      <c r="B737" s="11" t="inlineStr">
        <is>
          <t>id</t>
        </is>
      </c>
      <c r="C737" s="11" t="inlineStr">
        <is>
          <t>UUID</t>
        </is>
      </c>
      <c r="D737" s="11" t="inlineStr">
        <is>
          <t>PK</t>
        </is>
      </c>
      <c r="E737" s="11" t="inlineStr">
        <is>
          <t>No</t>
        </is>
      </c>
      <c r="F737" s="11" t="inlineStr">
        <is>
          <t>Yes</t>
        </is>
      </c>
      <c r="G737" s="11" t="inlineStr">
        <is>
          <t>—</t>
        </is>
      </c>
      <c r="H737" s="11" t="inlineStr">
        <is>
          <t>—</t>
        </is>
      </c>
      <c r="I737" s="11" t="inlineStr">
        <is>
          <t>Deleted 90 days after creation (SRS 4.3).</t>
        </is>
      </c>
      <c r="J737" s="11" t="inlineStr">
        <is>
          <t>notification-service</t>
        </is>
      </c>
      <c r="K737" s="11" t="inlineStr">
        <is>
          <t>A planned study reminder, de-duplicated per learner. Draft: notification-service has no database yet (FT-53).</t>
        </is>
      </c>
    </row>
    <row r="738">
      <c r="A738" s="11" t="inlineStr">
        <is>
          <t>Reminder Schedule (Draft)</t>
        </is>
      </c>
      <c r="B738" s="11" t="inlineStr">
        <is>
          <t>user_id</t>
        </is>
      </c>
      <c r="C738" s="11" t="inlineStr">
        <is>
          <t>UUID</t>
        </is>
      </c>
      <c r="D738" s="11" t="inlineStr">
        <is>
          <t>Ref→User (no FK)</t>
        </is>
      </c>
      <c r="E738" s="11" t="inlineStr">
        <is>
          <t>No</t>
        </is>
      </c>
      <c r="F738" s="11" t="inlineStr">
        <is>
          <t>No</t>
        </is>
      </c>
      <c r="G738" s="11" t="inlineStr">
        <is>
          <t>—</t>
        </is>
      </c>
      <c r="H738" s="11" t="inlineStr">
        <is>
          <t>—</t>
        </is>
      </c>
      <c r="I738" s="11" t="inlineStr">
        <is>
          <t>Deleted 90 days after creation (SRS 4.3).</t>
        </is>
      </c>
      <c r="J738" s="11" t="inlineStr">
        <is>
          <t>notification-service</t>
        </is>
      </c>
      <c r="K738" s="11" t="inlineStr">
        <is>
          <t>Stored id only; no SQL foreign key (cross-service or polymorphic).</t>
        </is>
      </c>
    </row>
    <row r="739">
      <c r="A739" s="11" t="inlineStr">
        <is>
          <t>Reminder Schedule (Draft)</t>
        </is>
      </c>
      <c r="B739" s="11" t="inlineStr">
        <is>
          <t>dedup_key</t>
        </is>
      </c>
      <c r="C739" s="11" t="inlineStr">
        <is>
          <t>VARCHAR(200)</t>
        </is>
      </c>
      <c r="D739" s="11" t="inlineStr">
        <is>
          <t>—</t>
        </is>
      </c>
      <c r="E739" s="11" t="inlineStr">
        <is>
          <t>No</t>
        </is>
      </c>
      <c r="F739" s="11" t="inlineStr">
        <is>
          <t>Yes</t>
        </is>
      </c>
      <c r="G739" s="11" t="inlineStr">
        <is>
          <t>—</t>
        </is>
      </c>
      <c r="H739" s="11" t="inlineStr">
        <is>
          <t>—</t>
        </is>
      </c>
      <c r="I739" s="11" t="inlineStr">
        <is>
          <t>Deleted 90 days after creation (SRS 4.3).</t>
        </is>
      </c>
      <c r="J739" s="11" t="inlineStr">
        <is>
          <t>notification-service</t>
        </is>
      </c>
      <c r="K739" s="11" t="inlineStr">
        <is>
          <t>At most one reminder per key and one per day (BR-32).</t>
        </is>
      </c>
    </row>
    <row r="740">
      <c r="A740" s="11" t="inlineStr">
        <is>
          <t>Reminder Schedule (Draft)</t>
        </is>
      </c>
      <c r="B740" s="11" t="inlineStr">
        <is>
          <t>scheduled_for</t>
        </is>
      </c>
      <c r="C740" s="11" t="inlineStr">
        <is>
          <t>TIMESTAMPTZ</t>
        </is>
      </c>
      <c r="D740" s="11" t="inlineStr">
        <is>
          <t>—</t>
        </is>
      </c>
      <c r="E740" s="11" t="inlineStr">
        <is>
          <t>No</t>
        </is>
      </c>
      <c r="F740" s="11" t="inlineStr">
        <is>
          <t>No</t>
        </is>
      </c>
      <c r="G740" s="11" t="inlineStr">
        <is>
          <t>—</t>
        </is>
      </c>
      <c r="H740" s="11" t="inlineStr">
        <is>
          <t>—</t>
        </is>
      </c>
      <c r="I740" s="11" t="inlineStr">
        <is>
          <t>Deleted 90 days after creation (SRS 4.3).</t>
        </is>
      </c>
      <c r="J740" s="11" t="inlineStr">
        <is>
          <t>notification-service</t>
        </is>
      </c>
      <c r="K740" s="11" t="n"/>
    </row>
    <row r="741">
      <c r="A741" s="11" t="inlineStr">
        <is>
          <t>Reminder Schedule (Draft)</t>
        </is>
      </c>
      <c r="B741" s="11" t="inlineStr">
        <is>
          <t>status</t>
        </is>
      </c>
      <c r="C741" s="11" t="inlineStr">
        <is>
          <t>VARCHAR(20)</t>
        </is>
      </c>
      <c r="D741" s="11" t="inlineStr">
        <is>
          <t>—</t>
        </is>
      </c>
      <c r="E741" s="11" t="inlineStr">
        <is>
          <t>No</t>
        </is>
      </c>
      <c r="F741" s="11" t="inlineStr">
        <is>
          <t>No</t>
        </is>
      </c>
      <c r="G741" s="11" t="inlineStr">
        <is>
          <t>'SCHEDULED'</t>
        </is>
      </c>
      <c r="H741" s="11" t="inlineStr">
        <is>
          <t>CHECK (status IN ('SCHEDULED', 'SENT', 'CANCELLED'))</t>
        </is>
      </c>
      <c r="I741" s="11" t="inlineStr">
        <is>
          <t>Deleted 90 days after creation (SRS 4.3).</t>
        </is>
      </c>
      <c r="J741" s="11" t="inlineStr">
        <is>
          <t>notification-service</t>
        </is>
      </c>
      <c r="K741" s="11" t="n"/>
    </row>
    <row r="742">
      <c r="A742" s="11" t="inlineStr">
        <is>
          <t>Notification (Draft)</t>
        </is>
      </c>
      <c r="B742" s="11" t="inlineStr">
        <is>
          <t>id</t>
        </is>
      </c>
      <c r="C742" s="11" t="inlineStr">
        <is>
          <t>UUID</t>
        </is>
      </c>
      <c r="D742" s="11" t="inlineStr">
        <is>
          <t>PK</t>
        </is>
      </c>
      <c r="E742" s="11" t="inlineStr">
        <is>
          <t>No</t>
        </is>
      </c>
      <c r="F742" s="11" t="inlineStr">
        <is>
          <t>Yes</t>
        </is>
      </c>
      <c r="G742" s="11" t="inlineStr">
        <is>
          <t>—</t>
        </is>
      </c>
      <c r="H742" s="11" t="inlineStr">
        <is>
          <t>—</t>
        </is>
      </c>
      <c r="I742" s="11" t="inlineStr">
        <is>
          <t>Deleted 90 days after creation (SRS 4.3).</t>
        </is>
      </c>
      <c r="J742" s="11" t="inlineStr">
        <is>
          <t>notification-service</t>
        </is>
      </c>
      <c r="K742" s="11" t="inlineStr">
        <is>
          <t>The message a learner sees in the app, with its read time. Draft: notification-service has no database yet (FT-52 to FT-54).</t>
        </is>
      </c>
    </row>
    <row r="743">
      <c r="A743" s="11" t="inlineStr">
        <is>
          <t>Notification (Draft)</t>
        </is>
      </c>
      <c r="B743" s="11" t="inlineStr">
        <is>
          <t>user_id</t>
        </is>
      </c>
      <c r="C743" s="11" t="inlineStr">
        <is>
          <t>UUID</t>
        </is>
      </c>
      <c r="D743" s="11" t="inlineStr">
        <is>
          <t>Ref→User (no FK)</t>
        </is>
      </c>
      <c r="E743" s="11" t="inlineStr">
        <is>
          <t>No</t>
        </is>
      </c>
      <c r="F743" s="11" t="inlineStr">
        <is>
          <t>No</t>
        </is>
      </c>
      <c r="G743" s="11" t="inlineStr">
        <is>
          <t>—</t>
        </is>
      </c>
      <c r="H743" s="11" t="inlineStr">
        <is>
          <t>—</t>
        </is>
      </c>
      <c r="I743" s="11" t="inlineStr">
        <is>
          <t>Deleted 90 days after creation (SRS 4.3).</t>
        </is>
      </c>
      <c r="J743" s="11" t="inlineStr">
        <is>
          <t>notification-service</t>
        </is>
      </c>
      <c r="K743" s="11" t="inlineStr">
        <is>
          <t>Stored id only; no SQL foreign key (cross-service or polymorphic).</t>
        </is>
      </c>
    </row>
    <row r="744">
      <c r="A744" s="11" t="inlineStr">
        <is>
          <t>Notification (Draft)</t>
        </is>
      </c>
      <c r="B744" s="11" t="inlineStr">
        <is>
          <t>type</t>
        </is>
      </c>
      <c r="C744" s="11" t="inlineStr">
        <is>
          <t>VARCHAR(30)</t>
        </is>
      </c>
      <c r="D744" s="11" t="inlineStr">
        <is>
          <t>—</t>
        </is>
      </c>
      <c r="E744" s="11" t="inlineStr">
        <is>
          <t>No</t>
        </is>
      </c>
      <c r="F744" s="11" t="inlineStr">
        <is>
          <t>No</t>
        </is>
      </c>
      <c r="G744" s="11" t="inlineStr">
        <is>
          <t>—</t>
        </is>
      </c>
      <c r="H744" s="11" t="inlineStr">
        <is>
          <t>CHECK (type IN ('GRADING_DONE', 'STUDY_REMINDER'))</t>
        </is>
      </c>
      <c r="I744" s="11" t="inlineStr">
        <is>
          <t>Deleted 90 days after creation (SRS 4.3).</t>
        </is>
      </c>
      <c r="J744" s="11" t="inlineStr">
        <is>
          <t>notification-service</t>
        </is>
      </c>
      <c r="K744" s="11" t="n"/>
    </row>
    <row r="745">
      <c r="A745" s="11" t="inlineStr">
        <is>
          <t>Notification (Draft)</t>
        </is>
      </c>
      <c r="B745" s="11" t="inlineStr">
        <is>
          <t>reminder_schedule_id</t>
        </is>
      </c>
      <c r="C745" s="11" t="inlineStr">
        <is>
          <t>UUID</t>
        </is>
      </c>
      <c r="D745" s="11" t="inlineStr">
        <is>
          <t>FK→Reminder Schedule.id</t>
        </is>
      </c>
      <c r="E745" s="11" t="inlineStr">
        <is>
          <t>Yes</t>
        </is>
      </c>
      <c r="F745" s="11" t="inlineStr">
        <is>
          <t>No</t>
        </is>
      </c>
      <c r="G745" s="11" t="inlineStr">
        <is>
          <t>NULL</t>
        </is>
      </c>
      <c r="H745" s="11" t="inlineStr">
        <is>
          <t>—</t>
        </is>
      </c>
      <c r="I745" s="11" t="inlineStr">
        <is>
          <t>Deleted 90 days after creation (SRS 4.3).</t>
        </is>
      </c>
      <c r="J745" s="11" t="inlineStr">
        <is>
          <t>notification-service</t>
        </is>
      </c>
      <c r="K745" s="11" t="n"/>
    </row>
    <row r="746">
      <c r="A746" s="11" t="inlineStr">
        <is>
          <t>Notification (Draft)</t>
        </is>
      </c>
      <c r="B746" s="11" t="inlineStr">
        <is>
          <t>source_reference</t>
        </is>
      </c>
      <c r="C746" s="11" t="inlineStr">
        <is>
          <t>VARCHAR(100)</t>
        </is>
      </c>
      <c r="D746" s="11" t="inlineStr">
        <is>
          <t>—</t>
        </is>
      </c>
      <c r="E746" s="11" t="inlineStr">
        <is>
          <t>Yes</t>
        </is>
      </c>
      <c r="F746" s="11" t="inlineStr">
        <is>
          <t>Yes</t>
        </is>
      </c>
      <c r="G746" s="11" t="inlineStr">
        <is>
          <t>NULL</t>
        </is>
      </c>
      <c r="H746" s="11" t="inlineStr">
        <is>
          <t>—</t>
        </is>
      </c>
      <c r="I746" s="11" t="inlineStr">
        <is>
          <t>Deleted 90 days after creation (SRS 4.3).</t>
        </is>
      </c>
      <c r="J746" s="11" t="inlineStr">
        <is>
          <t>notification-service</t>
        </is>
      </c>
      <c r="K746" s="11" t="inlineStr">
        <is>
          <t>Result version for a grading-done alert; one alert per finalized result (BR-32).</t>
        </is>
      </c>
    </row>
    <row r="747">
      <c r="A747" s="11" t="inlineStr">
        <is>
          <t>Notification (Draft)</t>
        </is>
      </c>
      <c r="B747" s="11" t="inlineStr">
        <is>
          <t>title</t>
        </is>
      </c>
      <c r="C747" s="11" t="inlineStr">
        <is>
          <t>VARCHAR(200)</t>
        </is>
      </c>
      <c r="D747" s="11" t="inlineStr">
        <is>
          <t>—</t>
        </is>
      </c>
      <c r="E747" s="11" t="inlineStr">
        <is>
          <t>No</t>
        </is>
      </c>
      <c r="F747" s="11" t="inlineStr">
        <is>
          <t>No</t>
        </is>
      </c>
      <c r="G747" s="11" t="inlineStr">
        <is>
          <t>—</t>
        </is>
      </c>
      <c r="H747" s="11" t="inlineStr">
        <is>
          <t>—</t>
        </is>
      </c>
      <c r="I747" s="11" t="inlineStr">
        <is>
          <t>Deleted 90 days after creation (SRS 4.3).</t>
        </is>
      </c>
      <c r="J747" s="11" t="inlineStr">
        <is>
          <t>notification-service</t>
        </is>
      </c>
      <c r="K747" s="11" t="n"/>
    </row>
    <row r="748">
      <c r="A748" s="11" t="inlineStr">
        <is>
          <t>Notification (Draft)</t>
        </is>
      </c>
      <c r="B748" s="11" t="inlineStr">
        <is>
          <t>body</t>
        </is>
      </c>
      <c r="C748" s="11" t="inlineStr">
        <is>
          <t>TEXT</t>
        </is>
      </c>
      <c r="D748" s="11" t="inlineStr">
        <is>
          <t>—</t>
        </is>
      </c>
      <c r="E748" s="11" t="inlineStr">
        <is>
          <t>No</t>
        </is>
      </c>
      <c r="F748" s="11" t="inlineStr">
        <is>
          <t>No</t>
        </is>
      </c>
      <c r="G748" s="11" t="inlineStr">
        <is>
          <t>—</t>
        </is>
      </c>
      <c r="H748" s="11" t="inlineStr">
        <is>
          <t>—</t>
        </is>
      </c>
      <c r="I748" s="11" t="inlineStr">
        <is>
          <t>Deleted 90 days after creation (SRS 4.3).</t>
        </is>
      </c>
      <c r="J748" s="11" t="inlineStr">
        <is>
          <t>notification-service</t>
        </is>
      </c>
      <c r="K748" s="11" t="n"/>
    </row>
    <row r="749">
      <c r="A749" s="11" t="inlineStr">
        <is>
          <t>Notification (Draft)</t>
        </is>
      </c>
      <c r="B749" s="11" t="inlineStr">
        <is>
          <t>created_at</t>
        </is>
      </c>
      <c r="C749" s="11" t="inlineStr">
        <is>
          <t>TIMESTAMPTZ</t>
        </is>
      </c>
      <c r="D749" s="11" t="inlineStr">
        <is>
          <t>—</t>
        </is>
      </c>
      <c r="E749" s="11" t="inlineStr">
        <is>
          <t>No</t>
        </is>
      </c>
      <c r="F749" s="11" t="inlineStr">
        <is>
          <t>No</t>
        </is>
      </c>
      <c r="G749" s="11" t="inlineStr">
        <is>
          <t>CURRENT_TIMESTAMP</t>
        </is>
      </c>
      <c r="H749" s="11" t="inlineStr">
        <is>
          <t>—</t>
        </is>
      </c>
      <c r="I749" s="11" t="inlineStr">
        <is>
          <t>Deleted 90 days after creation (SRS 4.3).</t>
        </is>
      </c>
      <c r="J749" s="11" t="inlineStr">
        <is>
          <t>notification-service</t>
        </is>
      </c>
      <c r="K749" s="11" t="n"/>
    </row>
    <row r="750">
      <c r="A750" s="11" t="inlineStr">
        <is>
          <t>Notification (Draft)</t>
        </is>
      </c>
      <c r="B750" s="11" t="inlineStr">
        <is>
          <t>read_at</t>
        </is>
      </c>
      <c r="C750" s="11" t="inlineStr">
        <is>
          <t>TIMESTAMPTZ</t>
        </is>
      </c>
      <c r="D750" s="11" t="inlineStr">
        <is>
          <t>—</t>
        </is>
      </c>
      <c r="E750" s="11" t="inlineStr">
        <is>
          <t>Yes</t>
        </is>
      </c>
      <c r="F750" s="11" t="inlineStr">
        <is>
          <t>No</t>
        </is>
      </c>
      <c r="G750" s="11" t="inlineStr">
        <is>
          <t>NULL</t>
        </is>
      </c>
      <c r="H750" s="11" t="inlineStr">
        <is>
          <t>—</t>
        </is>
      </c>
      <c r="I750" s="11" t="inlineStr">
        <is>
          <t>Deleted 90 days after creation (SRS 4.3).</t>
        </is>
      </c>
      <c r="J750" s="11" t="inlineStr">
        <is>
          <t>notification-service</t>
        </is>
      </c>
      <c r="K750" s="11" t="n"/>
    </row>
    <row r="751">
      <c r="A751" s="11" t="inlineStr">
        <is>
          <t>Notification Delivery (Draft)</t>
        </is>
      </c>
      <c r="B751" s="11" t="inlineStr">
        <is>
          <t>id</t>
        </is>
      </c>
      <c r="C751" s="11" t="inlineStr">
        <is>
          <t>UUID</t>
        </is>
      </c>
      <c r="D751" s="11" t="inlineStr">
        <is>
          <t>PK</t>
        </is>
      </c>
      <c r="E751" s="11" t="inlineStr">
        <is>
          <t>No</t>
        </is>
      </c>
      <c r="F751" s="11" t="inlineStr">
        <is>
          <t>Yes</t>
        </is>
      </c>
      <c r="G751" s="11" t="inlineStr">
        <is>
          <t>—</t>
        </is>
      </c>
      <c r="H751" s="11" t="inlineStr">
        <is>
          <t>—</t>
        </is>
      </c>
      <c r="I751" s="11" t="inlineStr">
        <is>
          <t>Deleted 90 days after creation (SRS 4.3).</t>
        </is>
      </c>
      <c r="J751" s="11" t="inlineStr">
        <is>
          <t>notification-service</t>
        </is>
      </c>
      <c r="K751" s="11" t="inlineStr">
        <is>
          <t>One attempt to deliver a notification through an external channel. Draft: notification-service has no database yet (FT-54).</t>
        </is>
      </c>
    </row>
    <row r="752">
      <c r="A752" s="11" t="inlineStr">
        <is>
          <t>Notification Delivery (Draft)</t>
        </is>
      </c>
      <c r="B752" s="11" t="inlineStr">
        <is>
          <t>notification_id</t>
        </is>
      </c>
      <c r="C752" s="11" t="inlineStr">
        <is>
          <t>UUID</t>
        </is>
      </c>
      <c r="D752" s="11" t="inlineStr">
        <is>
          <t>FK→Notification.id</t>
        </is>
      </c>
      <c r="E752" s="11" t="inlineStr">
        <is>
          <t>No</t>
        </is>
      </c>
      <c r="F752" s="11" t="inlineStr">
        <is>
          <t>No</t>
        </is>
      </c>
      <c r="G752" s="11" t="inlineStr">
        <is>
          <t>—</t>
        </is>
      </c>
      <c r="H752" s="11" t="inlineStr">
        <is>
          <t>—</t>
        </is>
      </c>
      <c r="I752" s="11" t="inlineStr">
        <is>
          <t>Deleted 90 days after creation (SRS 4.3).</t>
        </is>
      </c>
      <c r="J752" s="11" t="inlineStr">
        <is>
          <t>notification-service</t>
        </is>
      </c>
      <c r="K752" s="11" t="n"/>
    </row>
    <row r="753">
      <c r="A753" s="11" t="inlineStr">
        <is>
          <t>Notification Delivery (Draft)</t>
        </is>
      </c>
      <c r="B753" s="11" t="inlineStr">
        <is>
          <t>channel</t>
        </is>
      </c>
      <c r="C753" s="11" t="inlineStr">
        <is>
          <t>VARCHAR(20)</t>
        </is>
      </c>
      <c r="D753" s="11" t="inlineStr">
        <is>
          <t>—</t>
        </is>
      </c>
      <c r="E753" s="11" t="inlineStr">
        <is>
          <t>No</t>
        </is>
      </c>
      <c r="F753" s="11" t="inlineStr">
        <is>
          <t>No</t>
        </is>
      </c>
      <c r="G753" s="11" t="inlineStr">
        <is>
          <t>—</t>
        </is>
      </c>
      <c r="H753" s="11" t="inlineStr">
        <is>
          <t>CHECK (channel IN ('PUSH', 'EMAIL'))</t>
        </is>
      </c>
      <c r="I753" s="11" t="inlineStr">
        <is>
          <t>Deleted 90 days after creation (SRS 4.3).</t>
        </is>
      </c>
      <c r="J753" s="11" t="inlineStr">
        <is>
          <t>notification-service</t>
        </is>
      </c>
      <c r="K753" s="11" t="n"/>
    </row>
    <row r="754">
      <c r="A754" s="11" t="inlineStr">
        <is>
          <t>Notification Delivery (Draft)</t>
        </is>
      </c>
      <c r="B754" s="11" t="inlineStr">
        <is>
          <t>push_device_id</t>
        </is>
      </c>
      <c r="C754" s="11" t="inlineStr">
        <is>
          <t>UUID</t>
        </is>
      </c>
      <c r="D754" s="11" t="inlineStr">
        <is>
          <t>FK→Push Device.id</t>
        </is>
      </c>
      <c r="E754" s="11" t="inlineStr">
        <is>
          <t>Yes</t>
        </is>
      </c>
      <c r="F754" s="11" t="inlineStr">
        <is>
          <t>No</t>
        </is>
      </c>
      <c r="G754" s="11" t="inlineStr">
        <is>
          <t>NULL</t>
        </is>
      </c>
      <c r="H754" s="11" t="inlineStr">
        <is>
          <t>—</t>
        </is>
      </c>
      <c r="I754" s="11" t="inlineStr">
        <is>
          <t>Deleted 90 days after creation (SRS 4.3).</t>
        </is>
      </c>
      <c r="J754" s="11" t="inlineStr">
        <is>
          <t>notification-service</t>
        </is>
      </c>
      <c r="K754" s="11" t="n"/>
    </row>
    <row r="755">
      <c r="A755" s="11" t="inlineStr">
        <is>
          <t>Notification Delivery (Draft)</t>
        </is>
      </c>
      <c r="B755" s="11" t="inlineStr">
        <is>
          <t>status</t>
        </is>
      </c>
      <c r="C755" s="11" t="inlineStr">
        <is>
          <t>VARCHAR(20)</t>
        </is>
      </c>
      <c r="D755" s="11" t="inlineStr">
        <is>
          <t>—</t>
        </is>
      </c>
      <c r="E755" s="11" t="inlineStr">
        <is>
          <t>No</t>
        </is>
      </c>
      <c r="F755" s="11" t="inlineStr">
        <is>
          <t>No</t>
        </is>
      </c>
      <c r="G755" s="11" t="inlineStr">
        <is>
          <t>'PENDING'</t>
        </is>
      </c>
      <c r="H755" s="11" t="inlineStr">
        <is>
          <t>CHECK (status IN ('PENDING', 'SENT', 'FAILED'))</t>
        </is>
      </c>
      <c r="I755" s="11" t="inlineStr">
        <is>
          <t>Deleted 90 days after creation (SRS 4.3).</t>
        </is>
      </c>
      <c r="J755" s="11" t="inlineStr">
        <is>
          <t>notification-service</t>
        </is>
      </c>
      <c r="K755" s="11" t="n"/>
    </row>
    <row r="756">
      <c r="A756" s="11" t="inlineStr">
        <is>
          <t>Notification Delivery (Draft)</t>
        </is>
      </c>
      <c r="B756" s="11" t="inlineStr">
        <is>
          <t>retry_count</t>
        </is>
      </c>
      <c r="C756" s="11" t="inlineStr">
        <is>
          <t>INTEGER</t>
        </is>
      </c>
      <c r="D756" s="11" t="inlineStr">
        <is>
          <t>—</t>
        </is>
      </c>
      <c r="E756" s="11" t="inlineStr">
        <is>
          <t>No</t>
        </is>
      </c>
      <c r="F756" s="11" t="inlineStr">
        <is>
          <t>No</t>
        </is>
      </c>
      <c r="G756" s="11" t="inlineStr">
        <is>
          <t>0</t>
        </is>
      </c>
      <c r="H756" s="11" t="inlineStr">
        <is>
          <t>CHECK (retry_count BETWEEN 0 AND 3)</t>
        </is>
      </c>
      <c r="I756" s="11" t="inlineStr">
        <is>
          <t>Deleted 90 days after creation (SRS 4.3).</t>
        </is>
      </c>
      <c r="J756" s="11" t="inlineStr">
        <is>
          <t>notification-service</t>
        </is>
      </c>
      <c r="K756" s="11" t="inlineStr">
        <is>
          <t>Up to 3 retries (FT-54).</t>
        </is>
      </c>
    </row>
    <row r="757">
      <c r="A757" s="11" t="inlineStr">
        <is>
          <t>Notification Delivery (Draft)</t>
        </is>
      </c>
      <c r="B757" s="11" t="inlineStr">
        <is>
          <t>sent_at</t>
        </is>
      </c>
      <c r="C757" s="11" t="inlineStr">
        <is>
          <t>TIMESTAMPTZ</t>
        </is>
      </c>
      <c r="D757" s="11" t="inlineStr">
        <is>
          <t>—</t>
        </is>
      </c>
      <c r="E757" s="11" t="inlineStr">
        <is>
          <t>Yes</t>
        </is>
      </c>
      <c r="F757" s="11" t="inlineStr">
        <is>
          <t>No</t>
        </is>
      </c>
      <c r="G757" s="11" t="inlineStr">
        <is>
          <t>NULL</t>
        </is>
      </c>
      <c r="H757" s="11" t="inlineStr">
        <is>
          <t>—</t>
        </is>
      </c>
      <c r="I757" s="11" t="inlineStr">
        <is>
          <t>Deleted 90 days after creation (SRS 4.3).</t>
        </is>
      </c>
      <c r="J757" s="11" t="inlineStr">
        <is>
          <t>notification-service</t>
        </is>
      </c>
      <c r="K757" s="11" t="n"/>
    </row>
  </sheetData>
  <autoFilter ref="A3:K670"/>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7F6000"/>
    <outlinePr summaryBelow="1" summaryRight="1"/>
    <pageSetUpPr/>
  </sheetPr>
  <dimension ref="A1:I44"/>
  <sheetViews>
    <sheetView showGridLines="0" tabSelected="1" zoomScaleNormal="100" workbookViewId="0">
      <pane xSplit="2" ySplit="3" topLeftCell="C14" activePane="bottomRight" state="frozen"/>
      <selection pane="topRight" activeCell="C1" sqref="C1"/>
      <selection pane="bottomLeft" activeCell="A4" sqref="A4"/>
      <selection pane="bottomRight" activeCell="C4" sqref="C4"/>
    </sheetView>
  </sheetViews>
  <sheetFormatPr baseColWidth="8" defaultColWidth="8.6640625" defaultRowHeight="14.4"/>
  <cols>
    <col width="8" customWidth="1" style="31" min="1" max="1"/>
    <col width="60" customWidth="1" style="31" min="2" max="2"/>
    <col width="22" customWidth="1" style="31" min="3" max="3"/>
    <col width="32" customWidth="1" style="31" min="4" max="4"/>
    <col width="46" customWidth="1" style="31" min="5" max="5"/>
    <col width="22" customWidth="1" style="31" min="6" max="6"/>
    <col width="11" customWidth="1" style="31" min="7" max="7"/>
    <col width="20" customWidth="1" style="31" min="8" max="8"/>
    <col width="40" customWidth="1" style="31" min="9" max="9"/>
  </cols>
  <sheetData>
    <row r="1" ht="17.7" customHeight="1" s="31">
      <c r="A1" s="7" t="inlineStr">
        <is>
          <t>Business Rules Register</t>
        </is>
      </c>
    </row>
    <row r="2">
      <c r="A2" s="8" t="inlineStr">
        <is>
          <t>Source: Report 3.0_SRS_IELTSPath_IeltsPath_v1.docx — Part 5 (BR IDs and one-line rules), Part 3 (behaviour, NAC, 'Applicable Business Rules' → Applies to Feature), Part 4.1 (entities in Notes). Status: Approved = in effect in the current release; Draft = depends on behaviour not built yet. Owner = owning module.</t>
        </is>
      </c>
    </row>
    <row r="3">
      <c r="A3" s="3" t="inlineStr">
        <is>
          <t>BR ID</t>
        </is>
      </c>
      <c r="B3" s="3" t="inlineStr">
        <is>
          <t>Rule Description</t>
        </is>
      </c>
      <c r="C3" s="3" t="inlineStr">
        <is>
          <t>Applies to Feature(s)</t>
        </is>
      </c>
      <c r="D3" s="3" t="inlineStr">
        <is>
          <t>Trigger / Condition</t>
        </is>
      </c>
      <c r="E3" s="3" t="inlineStr">
        <is>
          <t>Exception Handling</t>
        </is>
      </c>
      <c r="F3" s="3" t="inlineStr">
        <is>
          <t>Source / Authority</t>
        </is>
      </c>
      <c r="G3" s="3" t="inlineStr">
        <is>
          <t>Status</t>
        </is>
      </c>
      <c r="H3" s="3" t="inlineStr">
        <is>
          <t>Owner</t>
        </is>
      </c>
      <c r="I3" s="3" t="inlineStr">
        <is>
          <t>Notes</t>
        </is>
      </c>
    </row>
    <row r="4" ht="120" customHeight="1" s="31">
      <c r="A4" s="10" t="inlineStr">
        <is>
          <t>BR-01</t>
        </is>
      </c>
      <c r="B4" s="11" t="inlineStr">
        <is>
          <t>Public registration creates exactly one ACTIVE account whose only role is CUSTOMER; registration can never grant another role. An email address belongs to at most one account (a first OAuth sign-in follows the same rule).</t>
        </is>
      </c>
      <c r="C4" s="11" t="inlineStr">
        <is>
          <t>FT-01, FT-05</t>
        </is>
      </c>
      <c r="D4" s="11" t="inlineStr">
        <is>
          <t>A guest registers, or signs in through OAuth for the first time.</t>
        </is>
      </c>
      <c r="E4" s="11" t="inlineStr">
        <is>
          <t>Email already used → HTTP 409, no account created. Requested role other than CUSTOMER → HTTP 400, nothing created.</t>
        </is>
      </c>
      <c r="F4" s="11" t="inlineStr">
        <is>
          <t>Business Policy</t>
        </is>
      </c>
      <c r="G4" s="11" t="inlineStr">
        <is>
          <t>Approved</t>
        </is>
      </c>
      <c r="H4" s="11" t="inlineStr">
        <is>
          <t>user-service</t>
        </is>
      </c>
      <c r="I4" s="11" t="inlineStr">
        <is>
          <t>Entities: User, Role. Staff roles are granted only by ADMIN (BR-06). A first OAuth sign-in links an account by verified email or creates a CUSTOMER account (FT-05, Draft).</t>
        </is>
      </c>
    </row>
    <row r="5" ht="120" customHeight="1" s="31">
      <c r="A5" s="12" t="inlineStr">
        <is>
          <t>BR-02</t>
        </is>
      </c>
      <c r="B5" s="13" t="inlineStr">
        <is>
          <t>A password has 6 to 72 characters at registration and at least 6 characters at password reset. The system stores only its BCrypt hash; the raw password never appears in any response or log.</t>
        </is>
      </c>
      <c r="C5" s="13" t="inlineStr">
        <is>
          <t>FT-01, FT-04</t>
        </is>
      </c>
      <c r="D5" s="13" t="inlineStr">
        <is>
          <t>Registration or password reset.</t>
        </is>
      </c>
      <c r="E5" s="13" t="inlineStr">
        <is>
          <t>Password outside the range → HTTP 400 with the failing fields; nothing is stored and a reset token stays unused.</t>
        </is>
      </c>
      <c r="F5" s="13" t="inlineStr">
        <is>
          <t>System Design (security)</t>
        </is>
      </c>
      <c r="G5" s="13" t="inlineStr">
        <is>
          <t>Approved</t>
        </is>
      </c>
      <c r="H5" s="13" t="inlineStr">
        <is>
          <t>user-service</t>
        </is>
      </c>
      <c r="I5" s="13" t="inlineStr">
        <is>
          <t>Entity: User. BV: 5 reject, 6 accept, 72 accept, 73 reject.</t>
        </is>
      </c>
    </row>
    <row r="6" ht="120" customHeight="1" s="31">
      <c r="A6" s="10" t="inlineStr">
        <is>
          <t>BR-03</t>
        </is>
      </c>
      <c r="B6" s="11" t="inlineStr">
        <is>
          <t>A password reset token is random, stored only as a hash with purpose PASSWORD_RESET, single-use, and expires 15 minutes after creation.</t>
        </is>
      </c>
      <c r="C6" s="11" t="inlineStr">
        <is>
          <t>FT-04</t>
        </is>
      </c>
      <c r="D6" s="11" t="inlineStr">
        <is>
          <t>A user requests a reset link or submits a new password with a token.</t>
        </is>
      </c>
      <c r="E6" s="11" t="inlineStr">
        <is>
          <t>Unknown email → HTTP 404, no token. Unknown, used or expired token → HTTP 400; the password does not change.</t>
        </is>
      </c>
      <c r="F6" s="11" t="inlineStr">
        <is>
          <t>System Design (security)</t>
        </is>
      </c>
      <c r="G6" s="11" t="inlineStr">
        <is>
          <t>Approved</t>
        </is>
      </c>
      <c r="H6" s="11" t="inlineStr">
        <is>
          <t>user-service</t>
        </is>
      </c>
      <c r="I6" s="11" t="inlineStr">
        <is>
          <t>Email delivery of the link is Draft (FT-04).</t>
        </is>
      </c>
    </row>
    <row r="7" ht="120" customHeight="1" s="31">
      <c r="A7" s="12" t="inlineStr">
        <is>
          <t>BR-04</t>
        </is>
      </c>
      <c r="B7" s="13" t="inlineStr">
        <is>
          <t>An access token is valid for 3,600 seconds and carries the user id and roles. A refresh token is valid for 604,800 seconds (7 days), stored only as a hash, and is revoked atomically on each use; a new pair is issued only if the account is still ACTIVE. Sign-out revokes the presented refresh token only (other devices stay signed in).</t>
        </is>
      </c>
      <c r="C7" s="13" t="inlineStr">
        <is>
          <t>FT-02, FT-03, FT-05</t>
        </is>
      </c>
      <c r="D7" s="13" t="inlineStr">
        <is>
          <t>Sign-in, session refresh or sign-out.</t>
        </is>
      </c>
      <c r="E7" s="13" t="inlineStr">
        <is>
          <t>Used, revoked, expired or unknown refresh token, or account no longer ACTIVE → HTTP 401, no token. Two simultaneous refreshes with one token → exactly one succeeds, the other gets HTTP 401.</t>
        </is>
      </c>
      <c r="F7" s="13" t="inlineStr">
        <is>
          <t>System Design (security)</t>
        </is>
      </c>
      <c r="G7" s="13" t="inlineStr">
        <is>
          <t>Approved</t>
        </is>
      </c>
      <c r="H7" s="13" t="inlineStr">
        <is>
          <t>user-service</t>
        </is>
      </c>
      <c r="I7" s="13" t="inlineStr">
        <is>
          <t>Applies equally to tokens issued after OAuth sign-in.</t>
        </is>
      </c>
    </row>
    <row r="8" ht="120" customHeight="1" s="31">
      <c r="A8" s="10" t="inlineStr">
        <is>
          <t>BR-05</t>
        </is>
      </c>
      <c r="B8" s="11" t="inlineStr">
        <is>
          <t>A learner has at most one ACTIVE learning goal (target band 1.0–9.0, exam date in the future, at least 5 study minutes per day). Changing the goal updates the ACTIVE goal instead of creating a second one.</t>
        </is>
      </c>
      <c r="C8" s="11" t="inlineStr">
        <is>
          <t>FT-09</t>
        </is>
      </c>
      <c r="D8" s="11" t="inlineStr">
        <is>
          <t>A learner sets or changes a learning goal.</t>
        </is>
      </c>
      <c r="E8" s="11" t="inlineStr">
        <is>
          <t>Values out of range → HTTP 400, the ACTIVE goal does not change. Two concurrent goal requests → one succeeds, the other HTTP 409. Invalid status transition → HTTP 400.</t>
        </is>
      </c>
      <c r="F8" s="11" t="inlineStr">
        <is>
          <t>Business Policy</t>
        </is>
      </c>
      <c r="G8" s="11" t="inlineStr">
        <is>
          <t>Approved</t>
        </is>
      </c>
      <c r="H8" s="11" t="inlineStr">
        <is>
          <t>user-service</t>
        </is>
      </c>
      <c r="I8" s="11" t="inlineStr">
        <is>
          <t>Entity: Learning Goal. Update-in-place of the goal is Draft (FT-09). The goal does not change topic order (BR-16).</t>
        </is>
      </c>
    </row>
    <row r="9" ht="120" customHeight="1" s="31">
      <c r="A9" s="12" t="inlineStr">
        <is>
          <t>BR-06</t>
        </is>
      </c>
      <c r="B9" s="13" t="inlineStr">
        <is>
          <t>Every operation is allowed only to the five canonical roles that need it: ADMIN, CUSTOMER, CONTENT_AUTHOR, EXAMINER, SALES_STAFF. Only ADMIN manages users, roles and account status. Identity comes only from a valid token, never from X-User-* headers.</t>
        </is>
      </c>
      <c r="C9" s="13" t="inlineStr">
        <is>
          <t>FT-02, FT-07, FT-08</t>
        </is>
      </c>
      <c r="D9" s="13" t="inlineStr">
        <is>
          <t>Every authenticated request; any user-administration request.</t>
        </is>
      </c>
      <c r="E9" s="13" t="inlineStr">
        <is>
          <t>Token with a role outside the canonical set or no valid token → HTTP 401 at the Gateway. Non-ADMIN user administration → HTTP 403. Empty or unknown role set → HTTP 400.</t>
        </is>
      </c>
      <c r="F9" s="13" t="inlineStr">
        <is>
          <t>System Design (security)</t>
        </is>
      </c>
      <c r="G9" s="13" t="inlineStr">
        <is>
          <t>Approved</t>
        </is>
      </c>
      <c r="H9" s="13" t="inlineStr">
        <is>
          <t>user-service, api-gateway</t>
        </is>
      </c>
      <c r="I9" s="13" t="inlineStr">
        <is>
          <t>Entities: User, Role. Client calls to /internal paths through the Gateway are rejected.</t>
        </is>
      </c>
    </row>
    <row r="10" ht="120" customHeight="1" s="31">
      <c r="A10" s="10" t="inlineStr">
        <is>
          <t>BR-07</t>
        </is>
      </c>
      <c r="B10" s="11" t="inlineStr">
        <is>
          <t>An activation key is redeemed at most once. A key that is REDEEMED, REVOKED or past its expiry is rejected. A key that is not redeemed can be revoked; a redeemed key cannot. Staff generate 1 to 1,000 keys per request; the raw key is returned once and only its SHA-256 hash and a 4-character hint are stored.</t>
        </is>
      </c>
      <c r="C10" s="11" t="inlineStr">
        <is>
          <t>FT-11</t>
        </is>
      </c>
      <c r="D10" s="11" t="inlineStr">
        <is>
          <t>A learner activates a key; staff generate or revoke keys.</t>
        </is>
      </c>
      <c r="E10" s="11" t="inlineStr">
        <is>
          <t>REDEEMED, REVOKED or expired key → HTTP 400, no subscription or wallet change. Unknown key → HTTP 404. Count 0 or &gt; 1,000 → HTTP 400. Revoking a REDEEMED key → HTTP 400. Missing role → HTTP 403.</t>
        </is>
      </c>
      <c r="F10" s="11" t="inlineStr">
        <is>
          <t>Business Policy</t>
        </is>
      </c>
      <c r="G10" s="11" t="inlineStr">
        <is>
          <t>Approved</t>
        </is>
      </c>
      <c r="H10" s="11" t="inlineStr">
        <is>
          <t>access-service</t>
        </is>
      </c>
      <c r="I10" s="11" t="inlineStr">
        <is>
          <t>Entities: Activation Key, Key Activation, Key Product. SALES_STAFF access to generate/list keys is Draft (FT-11).</t>
        </is>
      </c>
    </row>
    <row r="11" ht="120" customHeight="1" s="31">
      <c r="A11" s="12" t="inlineStr">
        <is>
          <t>BR-08</t>
        </is>
      </c>
      <c r="B11" s="13" t="inlineStr">
        <is>
          <t>Redeeming a PREMIUM key extends the learner's ACTIVE subscription by the product's Premium days (and adds its examiner credits), or starts a new subscription when none is active. A POINTS key credits the product's points to the wallet. Key products must have points &gt; 0 (POINTS) or days &gt; 0 and credits ≥ 1 (PREMIUM).</t>
        </is>
      </c>
      <c r="C11" s="13" t="inlineStr">
        <is>
          <t>FT-10, FT-11</t>
        </is>
      </c>
      <c r="D11" s="13" t="inlineStr">
        <is>
          <t>A learner redeems a valid key; an Administrator defines key products.</t>
        </is>
      </c>
      <c r="E11" s="13" t="inlineStr">
        <is>
          <t>Invalid key → see BR-07. Key product with 0 points, 0 days or 0 credits → HTTP 400; non-ADMIN product or plan creation → HTTP 403.</t>
        </is>
      </c>
      <c r="F11" s="13" t="inlineStr">
        <is>
          <t>Business Policy</t>
        </is>
      </c>
      <c r="G11" s="13" t="inlineStr">
        <is>
          <t>Approved</t>
        </is>
      </c>
      <c r="H11" s="13" t="inlineStr">
        <is>
          <t>access-service</t>
        </is>
      </c>
      <c r="I11" s="13" t="inlineStr">
        <is>
          <t>Entities: Subscription, Key Product, Plan, Point Wallet.</t>
        </is>
      </c>
    </row>
    <row r="12" ht="120" customHeight="1" s="31">
      <c r="A12" s="10" t="inlineStr">
        <is>
          <t>BR-09</t>
        </is>
      </c>
      <c r="B12" s="11" t="inlineStr">
        <is>
          <t>A point balance is a whole number that never goes below 0. Every credit, debit, refund or adjustment writes a ledger entry with amount, balance after, type (KEY_CREDIT, AI_GRADING_DEBIT, AI_GRADING_REFUND, ADMIN_ADJUSTMENT), reference and idempotency key. A debit is made with the learner's own token, for at least 1 point; an adjustment needs a reason.</t>
        </is>
      </c>
      <c r="C12" s="11" t="inlineStr">
        <is>
          <t>FT-12, FT-33</t>
        </is>
      </c>
      <c r="D12" s="11" t="inlineStr">
        <is>
          <t>Any change of a learner's point balance.</t>
        </is>
      </c>
      <c r="E12" s="11" t="inlineStr">
        <is>
          <t>Debit larger than the balance → HTTP 402, nothing changes. User id differs from token subject → HTTP 403. Amount ≤ 0 or adjustment without reason → HTTP 400; adjustment by non-ADMIN → HTTP 403.</t>
        </is>
      </c>
      <c r="F12" s="11" t="inlineStr">
        <is>
          <t>Business Policy</t>
        </is>
      </c>
      <c r="G12" s="11" t="inlineStr">
        <is>
          <t>Approved</t>
        </is>
      </c>
      <c r="H12" s="11" t="inlineStr">
        <is>
          <t>access-service</t>
        </is>
      </c>
      <c r="I12" s="11" t="inlineStr">
        <is>
          <t>Entities: Point Wallet, Point Ledger Entry. Idempotency details in BR-30.</t>
        </is>
      </c>
    </row>
    <row r="13" ht="120" customHeight="1" s="31">
      <c r="A13" s="12" t="inlineStr">
        <is>
          <t>BR-10</t>
        </is>
      </c>
      <c r="B13" s="13" t="inlineStr">
        <is>
          <t>AI grading of one Writing essay costs 3 points. The points are debited exactly once and only after the LLM returns a successful grade; a failed grading charges nothing.</t>
        </is>
      </c>
      <c r="C13" s="13" t="inlineStr">
        <is>
          <t>FT-12, FT-25</t>
        </is>
      </c>
      <c r="D13" s="13" t="inlineStr">
        <is>
          <t>A learner submits a Writing Task 1 or Task 2 essay for grading.</t>
        </is>
      </c>
      <c r="E13" s="13" t="inlineStr">
        <is>
          <t>Balance below 3 → HTTP 402 INSUFFICIENT_POINTS before any LLM call. LLM failing → HTTP 503 GRADING_UNAVAILABLE; points service down → HTTP 503 PAYMENT_UNAVAILABLE; no charge.</t>
        </is>
      </c>
      <c r="F13" s="13" t="inlineStr">
        <is>
          <t>Business Policy (pricing)</t>
        </is>
      </c>
      <c r="G13" s="13" t="inlineStr">
        <is>
          <t>Approved</t>
        </is>
      </c>
      <c r="H13" s="13" t="inlineStr">
        <is>
          <t>learning-service, access-service</t>
        </is>
      </c>
      <c r="I13" s="13" t="inlineStr">
        <is>
          <t>Entities: Writing Submission, Point Ledger Entry. AI grading jobs of FT-33 cost 3 points for Writing and 5 for Speaking.</t>
        </is>
      </c>
    </row>
    <row r="14" ht="120" customHeight="1" s="31">
      <c r="A14" s="10" t="inlineStr">
        <is>
          <t>BR-11</t>
        </is>
      </c>
      <c r="B14" s="11" t="inlineStr">
        <is>
          <t>A learner can start at most 10 AI Writing gradings per calendar day in Vietnam time (Asia/Ho_Chi_Minh).</t>
        </is>
      </c>
      <c r="C14" s="11" t="inlineStr">
        <is>
          <t>FT-25</t>
        </is>
      </c>
      <c r="D14" s="11" t="inlineStr">
        <is>
          <t>A learner submits an essay for AI grading.</t>
        </is>
      </c>
      <c r="E14" s="11" t="inlineStr">
        <is>
          <t>11th grading of the day → HTTP 429 DAILY_LIMIT_REACHED; no LLM call and no charge.</t>
        </is>
      </c>
      <c r="F14" s="11" t="inlineStr">
        <is>
          <t>Business Policy (LLM cost control)</t>
        </is>
      </c>
      <c r="G14" s="11" t="inlineStr">
        <is>
          <t>Approved</t>
        </is>
      </c>
      <c r="H14" s="11" t="inlineStr">
        <is>
          <t>learning-service</t>
        </is>
      </c>
      <c r="I14" s="11" t="inlineStr">
        <is>
          <t>Stored as a daily LLM usage counter (supporting structure, Part 4.1).</t>
        </is>
      </c>
    </row>
    <row r="15" ht="120" customHeight="1" s="31">
      <c r="A15" s="12" t="inlineStr">
        <is>
          <t>BR-12</t>
        </is>
      </c>
      <c r="B15" s="13" t="inlineStr">
        <is>
          <t>A topic declares at most one skill, which cannot change once the topic has published lessons; a lesson teaches the skills of its questions, so a topic's lessons may cover several skills. Every question and knowledge point of a lesson belongs to its topic.</t>
        </is>
      </c>
      <c r="C15" s="13" t="inlineStr">
        <is>
          <t>FT-15</t>
        </is>
      </c>
      <c r="D15" s="13" t="inlineStr">
        <is>
          <t>Creating or updating a topic; authoring a lesson.</t>
        </is>
      </c>
      <c r="E15" s="13" t="inlineStr">
        <is>
          <t>Changing the skill of a topic with published lessons → HTTP 409 TOPIC_SKILL_LOCKED; the topic keeps its skill. CUSTOMER, EXAMINER or SALES_STAFF writes → HTTP 403.</t>
        </is>
      </c>
      <c r="F15" s="13" t="inlineStr">
        <is>
          <t>Business Policy (curriculum)</t>
        </is>
      </c>
      <c r="G15" s="13" t="inlineStr">
        <is>
          <t>Approved</t>
        </is>
      </c>
      <c r="H15" s="13" t="inlineStr">
        <is>
          <t>content-service</t>
        </is>
      </c>
      <c r="I15" s="13" t="inlineStr">
        <is>
          <t>Entities: Topic, Lesson, Knowledge Point. Lesson authoring is Draft (FT-19).</t>
        </is>
      </c>
    </row>
    <row r="16" ht="120" customHeight="1" s="31">
      <c r="A16" s="10" t="inlineStr">
        <is>
          <t>BR-13</t>
        </is>
      </c>
      <c r="B16" s="11" t="inlineStr">
        <is>
          <t>A question has at most one owner: one lesson, or one practice set, topic test, course test, mock test or placement test. Publishing checks ownership with the questions locked in id order and saves nothing on any failure.</t>
        </is>
      </c>
      <c r="C16" s="11" t="inlineStr">
        <is>
          <t>FT-17, FT-19</t>
        </is>
      </c>
      <c r="D16" s="11" t="inlineStr">
        <is>
          <t>Publishing a package version or a lesson.</t>
        </is>
      </c>
      <c r="E16" s="11" t="inlineStr">
        <is>
          <t>Question already owned → HTTP 422 QUESTION_ALREADY_USED listing at most 10 conflicts. Unknown lesson or skill mismatch → HTTP 422 INVALID_PACKAGE_LESSON. Nothing is saved or published.</t>
        </is>
      </c>
      <c r="F16" s="11" t="inlineStr">
        <is>
          <t>Business Policy (content integrity)</t>
        </is>
      </c>
      <c r="G16" s="11" t="inlineStr">
        <is>
          <t>Approved</t>
        </is>
      </c>
      <c r="H16" s="11" t="inlineStr">
        <is>
          <t>content-service</t>
        </is>
      </c>
      <c r="I16" s="11" t="inlineStr">
        <is>
          <t>Entities: Question, Question Version, Content Package, Package Version, Lesson Block.</t>
        </is>
      </c>
    </row>
    <row r="17" ht="120" customHeight="1" s="31">
      <c r="A17" s="12" t="inlineStr">
        <is>
          <t>BR-14</t>
        </is>
      </c>
      <c r="B17" s="13" t="inlineStr">
        <is>
          <t>A question's purpose is fixed: LEARNING for lessons, practice, topic tests and course tests; EXAM for mock tests; PLACEMENT for placement tests.</t>
        </is>
      </c>
      <c r="C17" s="13" t="inlineStr">
        <is>
          <t>FT-16, FT-17, FT-34, FT-35</t>
        </is>
      </c>
      <c r="D17" s="13" t="inlineStr">
        <is>
          <t>Creating a question or publishing a package.</t>
        </is>
      </c>
      <c r="E17" s="13" t="inlineStr">
        <is>
          <t>Purpose other than LEARNING, EXAM or PLACEMENT → HTTP 400. A package holding a question of another purpose → HTTP 422 QUESTION_PURPOSE_MISMATCH; nothing is published.</t>
        </is>
      </c>
      <c r="F17" s="13" t="inlineStr">
        <is>
          <t>Business Policy</t>
        </is>
      </c>
      <c r="G17" s="13" t="inlineStr">
        <is>
          <t>Approved</t>
        </is>
      </c>
      <c r="H17" s="13" t="inlineStr">
        <is>
          <t>content-service</t>
        </is>
      </c>
      <c r="I17" s="13" t="inlineStr">
        <is>
          <t>Entity: Question Version.</t>
        </is>
      </c>
    </row>
    <row r="18" ht="120" customHeight="1" s="31">
      <c r="A18" s="10" t="inlineStr">
        <is>
          <t>BR-15</t>
        </is>
      </c>
      <c r="B18" s="11" t="inlineStr">
        <is>
          <t>The pass mark is 70% for lesson exercise blocks, review sets, topic and course final tests, and for each objective skill of a practice set.</t>
        </is>
      </c>
      <c r="C18" s="11" t="inlineStr">
        <is>
          <t>FT-20, FT-22, FT-27, FT-28, FT-29, FT-55</t>
        </is>
      </c>
      <c r="D18" s="11" t="inlineStr">
        <is>
          <t>Grading any of these submissions.</t>
        </is>
      </c>
      <c r="E18" s="11" t="inlineStr">
        <is>
          <t>Below 70%: block not passed (retry with hints), the skill of the practice opens reviews, the review gives another set, the topic or course is not passed.</t>
        </is>
      </c>
      <c r="F18" s="11" t="inlineStr">
        <is>
          <t>Business Policy (pedagogy)</t>
        </is>
      </c>
      <c r="G18" s="11" t="inlineStr">
        <is>
          <t>Approved</t>
        </is>
      </c>
      <c r="H18" s="11" t="inlineStr">
        <is>
          <t>learning-service, assessment-service</t>
        </is>
      </c>
      <c r="I18" s="11" t="inlineStr">
        <is>
          <t>Defined as 'Pass mark' in Glossary 1.4.</t>
        </is>
      </c>
    </row>
    <row r="19" ht="120" customHeight="1" s="31">
      <c r="A19" s="12" t="inlineStr">
        <is>
          <t>BR-16</t>
        </is>
      </c>
      <c r="B19" s="13" t="inlineStr">
        <is>
          <t>In each course the first unpassed topic is IN_PROGRESS and later topics are LOCKED; topics follow the course band level, then free before Premium, then curriculum order; passing is permanent. Topic status is derived at read time; the learning goal and the placement band do not change the order.</t>
        </is>
      </c>
      <c r="C19" s="13" t="inlineStr">
        <is>
          <t>FT-13, FT-20, FT-29</t>
        </is>
      </c>
      <c r="D19" s="13" t="inlineStr">
        <is>
          <t>A learner opens the learning path or a topic.</t>
        </is>
      </c>
      <c r="E19" s="13" t="inlineStr">
        <is>
          <t>Opening a lesson of a LOCKED topic → HTTP 403 TOPIC_LOCKED. Content module unreachable → HTTP 503 CONTENT_UNAVAILABLE; other content failure → HTTP 502 CONTENT_FAILURE.</t>
        </is>
      </c>
      <c r="F19" s="13" t="inlineStr">
        <is>
          <t>Business Policy</t>
        </is>
      </c>
      <c r="G19" s="13" t="inlineStr">
        <is>
          <t>Approved</t>
        </is>
      </c>
      <c r="H19" s="13" t="inlineStr">
        <is>
          <t>learning-service</t>
        </is>
      </c>
      <c r="I19" s="13" t="inlineStr">
        <is>
          <t>Entities: Course, Topic, Topic Progress. Order from Content topic-sequence.</t>
        </is>
      </c>
    </row>
    <row r="20" ht="120" customHeight="1" s="31">
      <c r="A20" s="10" t="inlineStr">
        <is>
          <t>BR-17</t>
        </is>
      </c>
      <c r="B20" s="11" t="inlineStr">
        <is>
          <t>A lesson opens only when every earlier lesson of its topic is completed and has cleared practice; a review takes the skill of its knowledge point, and while pending it blocks every lesson that teaches that skill, their practice and the final test of a topic that teaches it, and a review opened by a lesson's practice also blocks the later lessons of that topic. Gates are checked in the order: pending review → topic locked → earlier lesson incomplete → earlier practice not cleared.</t>
        </is>
      </c>
      <c r="C20" s="11" t="inlineStr">
        <is>
          <t>FT-21, FT-27, FT-28, FT-29</t>
        </is>
      </c>
      <c r="D20" s="11" t="inlineStr">
        <is>
          <t>A learner opens, submits or completes a lesson, starts practice or requests a final test.</t>
        </is>
      </c>
      <c r="E20" s="11" t="inlineStr">
        <is>
          <t>Pending review → HTTP 403 REVIEW_REQUIRED listing the reviews. Earlier lesson not completed → HTTP 403 LESSON_LOCKED. Earlier lesson's practice not cleared → HTTP 403 PRACTICE_REQUIRED with the lesson ids. Practice before the lesson is completed → HTTP 409 PRACTICE_LOCKED. Nothing is graded or stored.</t>
        </is>
      </c>
      <c r="F20" s="11" t="inlineStr">
        <is>
          <t>Business Policy</t>
        </is>
      </c>
      <c r="G20" s="11" t="inlineStr">
        <is>
          <t>Draft</t>
        </is>
      </c>
      <c r="H20" s="11" t="inlineStr">
        <is>
          <t>learning-service</t>
        </is>
      </c>
      <c r="I20" s="11" t="inlineStr">
        <is>
          <t>Entities: Lesson Progress, Practice Pass, Review Item. Current release: a lesson opens once the earlier lessons are completed, and a pending review blocks only the lessons of its skill.</t>
        </is>
      </c>
    </row>
    <row r="21" ht="120" customHeight="1" s="31">
      <c r="A21" s="12" t="inlineStr">
        <is>
          <t>BR-18</t>
        </is>
      </c>
      <c r="B21" s="13" t="inlineStr">
        <is>
          <t>Knowledge-point evidence is recorded only from the first submission of each lesson exercise block and the first submission of a practice set whose answers were not yet revealed to the learner. Repeated block submissions, submissions of a revealed set and quick-check answers record no evidence.</t>
        </is>
      </c>
      <c r="C21" s="13" t="inlineStr">
        <is>
          <t>FT-22, FT-26, FT-27</t>
        </is>
      </c>
      <c r="D21" s="13" t="inlineStr">
        <is>
          <t>A learner submits a lesson block or a practice set.</t>
        </is>
      </c>
      <c r="E21" s="13" t="inlineStr">
        <is>
          <t>Later or revealed submissions are graded but write no evidence; mastery does not change.</t>
        </is>
      </c>
      <c r="F21" s="13" t="inlineStr">
        <is>
          <t>Business Policy</t>
        </is>
      </c>
      <c r="G21" s="13" t="inlineStr">
        <is>
          <t>Approved</t>
        </is>
      </c>
      <c r="H21" s="13" t="inlineStr">
        <is>
          <t>learning-service</t>
        </is>
      </c>
      <c r="I21" s="13" t="inlineStr">
        <is>
          <t>Entities: KP Evidence, Exercise Submission, Practice Attempt.</t>
        </is>
      </c>
    </row>
    <row r="22" ht="120" customHeight="1" s="31">
      <c r="A22" s="10" t="inlineStr">
        <is>
          <t>BR-19</t>
        </is>
      </c>
      <c r="B22" s="11" t="inlineStr">
        <is>
          <t>Correct answers and explanations stay hidden until the block is passed or the practice/review set is submitted. A hint appears only for a question answered wrongly in a block not yet passed, and only for fill, True/False/Not Given or choice questions with at least 3 options. Listening transcripts appear only after completion. Learners never receive answer specifications or chart facts.</t>
        </is>
      </c>
      <c r="C22" s="11" t="inlineStr">
        <is>
          <t>FT-18, FT-21, FT-22, FT-23, FT-24, FT-25</t>
        </is>
      </c>
      <c r="D22" s="11" t="inlineStr">
        <is>
          <t>Delivering a lesson, an exercise result, a practice or review result, or an essay result.</t>
        </is>
      </c>
      <c r="E22" s="11" t="inlineStr">
        <is>
          <t>Two-choice question, essay, question without hint or any assessment attempt → no hint. Invalid media reference → INVALID_MEDIA_REFERENCE; the content is not served.</t>
        </is>
      </c>
      <c r="F22" s="11" t="inlineStr">
        <is>
          <t>Business Policy</t>
        </is>
      </c>
      <c r="G22" s="11" t="inlineStr">
        <is>
          <t>Approved</t>
        </is>
      </c>
      <c r="H22" s="11" t="inlineStr">
        <is>
          <t>learning-service, content-service</t>
        </is>
      </c>
      <c r="I22" s="11" t="inlineStr">
        <is>
          <t>Entities: Lesson Block, Question Version, Content Asset. Practice, review sets and quick-checks reveal solutions right after submit.</t>
        </is>
      </c>
    </row>
    <row r="23" ht="120" customHeight="1" s="31">
      <c r="A23" s="12" t="inlineStr">
        <is>
          <t>BR-20</t>
        </is>
      </c>
      <c r="B23" s="13" t="inlineStr">
        <is>
          <t>A practice package whose answers a learner has seen, in practice or in a review, is never assigned to that learner again as a review set.</t>
        </is>
      </c>
      <c r="C23" s="13" t="inlineStr">
        <is>
          <t>FT-27, FT-28</t>
        </is>
      </c>
      <c r="D23" s="13" t="inlineStr">
        <is>
          <t>The system picks a set for a learner's review.</t>
        </is>
      </c>
      <c r="E23" s="13" t="inlineStr">
        <is>
          <t>No unrevealed set left → the review becomes SKIPPED (BR-21).</t>
        </is>
      </c>
      <c r="F23" s="13" t="inlineStr">
        <is>
          <t>Business Policy</t>
        </is>
      </c>
      <c r="G23" s="13" t="inlineStr">
        <is>
          <t>Approved</t>
        </is>
      </c>
      <c r="H23" s="13" t="inlineStr">
        <is>
          <t>learning-service</t>
        </is>
      </c>
      <c r="I23" s="13" t="inlineStr">
        <is>
          <t>Entities: Practice Attempt, Review Set ('revealed package').</t>
        </is>
      </c>
    </row>
    <row r="24" ht="120" customHeight="1" s="31">
      <c r="A24" s="10" t="inlineStr">
        <is>
          <t>BR-21</t>
        </is>
      </c>
      <c r="B24" s="11" t="inlineStr">
        <is>
          <t>A review gives unseen sets until one reaches 70% (DONE); the first failed set is followed by theory with up to 3 quick-check questions (no evidence) and later failed sets go straight to a new set; it is SKIPPED only when no unseen set remains. Each set can be submitted once.</t>
        </is>
      </c>
      <c r="C24" s="11" t="inlineStr">
        <is>
          <t>FT-27, FT-28</t>
        </is>
      </c>
      <c r="D24" s="11" t="inlineStr">
        <is>
          <t>A review is opened by practice or by an assessment result; the learner works through it.</t>
        </is>
      </c>
      <c r="E24" s="11" t="inlineStr">
        <is>
          <t>Set already submitted → HTTP 409 REVIEW_SET_CLOSED. Set while at THEORY → HTTP 409 THEORY_REQUIRED. Quick check when not at THEORY → HTTP 409 THEORY_NOT_REQUIRED. Another learner's review → HTTP 404.</t>
        </is>
      </c>
      <c r="F24" s="11" t="inlineStr">
        <is>
          <t>Business Policy</t>
        </is>
      </c>
      <c r="G24" s="11" t="inlineStr">
        <is>
          <t>Draft</t>
        </is>
      </c>
      <c r="H24" s="11" t="inlineStr">
        <is>
          <t>learning-service</t>
        </is>
      </c>
      <c r="I24" s="11" t="inlineStr">
        <is>
          <t>Entities: Review Item, Review Set, Theory Check. Current release: the second failed set makes the review SKIPPED.</t>
        </is>
      </c>
    </row>
    <row r="25" ht="120" customHeight="1" s="31">
      <c r="A25" s="12" t="inlineStr">
        <is>
          <t>BR-22</t>
        </is>
      </c>
      <c r="B25" s="13" t="inlineStr">
        <is>
          <t>A topic final test needs every lesson completed and practice-cleared; a topic or course test code is single-use and consumed even on failure; codes rotate to the least recently used test. A topic final test also needs no review pending in a skill the topic teaches; the learner's open assignment is returned if one exists.</t>
        </is>
      </c>
      <c r="C25" s="13" t="inlineStr">
        <is>
          <t>FT-29, FT-55</t>
        </is>
      </c>
      <c r="D25" s="13" t="inlineStr">
        <is>
          <t>A learner requests a topic or course final test; an AssessmentCompleted.v2 result arrives.</t>
        </is>
      </c>
      <c r="E25" s="13" t="inlineStr">
        <is>
          <t>Pending review → HTTP 403 REVIEW_REQUIRED. Lesson not completed → HTTP 403 TEST_LOCKED. Practice not cleared → HTTP 409 PRACTICE_REQUIRED. No final test → HTTP 409 NO_TOPIC_TEST; all versions unavailable → HTTP 409 TEST_UNAVAILABLE.</t>
        </is>
      </c>
      <c r="F25" s="13" t="inlineStr">
        <is>
          <t>Business Policy</t>
        </is>
      </c>
      <c r="G25" s="13" t="inlineStr">
        <is>
          <t>Approved</t>
        </is>
      </c>
      <c r="H25" s="13" t="inlineStr">
        <is>
          <t>learning-service</t>
        </is>
      </c>
      <c r="I25" s="13" t="inlineStr">
        <is>
          <t>Entities: Topic Test Assignment, Course Test Assignment.</t>
        </is>
      </c>
    </row>
    <row r="26" ht="120" customHeight="1" s="31">
      <c r="A26" s="10" t="inlineStr">
        <is>
          <t>BR-23</t>
        </is>
      </c>
      <c r="B26" s="11" t="inlineStr">
        <is>
          <t>Mastery of a knowledge point is computed at read time from the latest 5 outcomes in recording order with recency weights 0.5, 0.7, 0.85, 0.95, 1.0; it is capped at 0.5 with one outcome and 0.8 with two, and is 0 with none. When an assessment result arrives, a review is opened for every knowledge point of the result with mastery below 0.6.</t>
        </is>
      </c>
      <c r="C26" s="11" t="inlineStr">
        <is>
          <t>FT-26, FT-29, FT-34, FT-55</t>
        </is>
      </c>
      <c r="D26" s="11" t="inlineStr">
        <is>
          <t>A learner reads mastery; a topic, course or mock test result is applied.</t>
        </is>
      </c>
      <c r="E26" s="11" t="inlineStr">
        <is>
          <t>Not applicable (calculation). Request without a valid token → HTTP 401.</t>
        </is>
      </c>
      <c r="F26" s="11" t="inlineStr">
        <is>
          <t>System Design (DeepTutor v1.6.9 port, Apache-2.0)</t>
        </is>
      </c>
      <c r="G26" s="11" t="inlineStr">
        <is>
          <t>Approved</t>
        </is>
      </c>
      <c r="H26" s="11" t="inlineStr">
        <is>
          <t>learning-service</t>
        </is>
      </c>
      <c r="I26" s="11" t="inlineStr">
        <is>
          <t>Entity: KP Evidence. Mastery is never stored.</t>
        </is>
      </c>
    </row>
    <row r="27" ht="120" customHeight="1" s="31">
      <c r="A27" s="12" t="inlineStr">
        <is>
          <t>BR-24</t>
        </is>
      </c>
      <c r="B27" s="13" t="inlineStr">
        <is>
          <t>In a test result, correct answers, explanations and section transcripts are shown only when the result is 70% or more; otherwise the learner sees the score and per-item correctness only.</t>
        </is>
      </c>
      <c r="C27" s="13" t="inlineStr">
        <is>
          <t>FT-24, FT-31, FT-34</t>
        </is>
      </c>
      <c r="D27" s="13" t="inlineStr">
        <is>
          <t>A learner opens a test result (topic, mock or placement test).</t>
        </is>
      </c>
      <c r="E27" s="13" t="inlineStr">
        <is>
          <t>Result below 70% → no solutions and no transcript. Passing result without transcript → empty list, not an error. Another learner's result → HTTP 403.</t>
        </is>
      </c>
      <c r="F27" s="13" t="inlineStr">
        <is>
          <t>Business Policy</t>
        </is>
      </c>
      <c r="G27" s="13" t="inlineStr">
        <is>
          <t>Approved</t>
        </is>
      </c>
      <c r="H27" s="13" t="inlineStr">
        <is>
          <t>assessment-service</t>
        </is>
      </c>
      <c r="I27" s="13" t="inlineStr">
        <is>
          <t>Entities: Assessment Result, Item Result.</t>
        </is>
      </c>
    </row>
    <row r="28" ht="120" customHeight="1" s="31">
      <c r="A28" s="10" t="inlineStr">
        <is>
          <t>BR-25</t>
        </is>
      </c>
      <c r="B28" s="11" t="inlineStr">
        <is>
          <t>Each assessment result version is applied to learning once, by (attempt id, result version). A newer version, for example after re-grading, replaces the evidence of the older version; an equal or older version is ignored.</t>
        </is>
      </c>
      <c r="C28" s="11" t="inlineStr">
        <is>
          <t>FT-26, FT-29, FT-31, FT-32, FT-34, FT-35, FT-55</t>
        </is>
      </c>
      <c r="D28" s="11" t="inlineStr">
        <is>
          <t>The learning module consumes AssessmentCompleted.v2.</t>
        </is>
      </c>
      <c r="E28" s="11" t="inlineStr">
        <is>
          <t>Equal or older version → ignored, nothing changes. Event breaking the contract → dead-letter queue at once. Other failure → retried every 30 s up to 5 deliveries, then dead-letter queue.</t>
        </is>
      </c>
      <c r="F28" s="11" t="inlineStr">
        <is>
          <t>System Design (event contract AssessmentCompleted.v2)</t>
        </is>
      </c>
      <c r="G28" s="11" t="inlineStr">
        <is>
          <t>Approved</t>
        </is>
      </c>
      <c r="H28" s="11" t="inlineStr">
        <is>
          <t>learning-service, assessment-service</t>
        </is>
      </c>
      <c r="I28" s="11" t="inlineStr">
        <is>
          <t>Entities: Assessment Result, KP Evidence; processed versions kept as a supporting structure.</t>
        </is>
      </c>
    </row>
    <row r="29" ht="120" customHeight="1" s="31">
      <c r="A29" s="12" t="inlineStr">
        <is>
          <t>BR-26</t>
        </is>
      </c>
      <c r="B29" s="13" t="inlineStr">
        <is>
          <t>Only EXAMINER and ADMIN grade and finalize results of attempts that cannot be graded automatically. Item scores cannot exceed the item's maximum, the overall band is 0.0–9.0, and finalizing the same version twice has no further effect.</t>
        </is>
      </c>
      <c r="C29" s="13" t="inlineStr">
        <is>
          <t>FT-32</t>
        </is>
      </c>
      <c r="D29" s="13" t="inlineStr">
        <is>
          <t>An examiner opens, grades or finalizes a result version.</t>
        </is>
      </c>
      <c r="E29" s="13" t="inlineStr">
        <is>
          <t>CUSTOMER, CONTENT_AUTHOR or SALES_STAFF → HTTP 403. Version opened while the latest is DRAFT/PROCESSING or attempt not submitted → HTTP 400. Score above max, foreign item, KP not on the item or band out of range → HTTP 400.</t>
        </is>
      </c>
      <c r="F29" s="13" t="inlineStr">
        <is>
          <t>Business Policy</t>
        </is>
      </c>
      <c r="G29" s="13" t="inlineStr">
        <is>
          <t>Approved</t>
        </is>
      </c>
      <c r="H29" s="13" t="inlineStr">
        <is>
          <t>assessment-service</t>
        </is>
      </c>
      <c r="I29" s="13" t="inlineStr">
        <is>
          <t>Entities: Assessment Result, Item Result, Skill Score, Error Analysis Item.</t>
        </is>
      </c>
    </row>
    <row r="30" ht="120" customHeight="1" s="31">
      <c r="A30" s="10" t="inlineStr">
        <is>
          <t>BR-27</t>
        </is>
      </c>
      <c r="B30" s="11" t="inlineStr">
        <is>
          <t>Personal data — profile, notes, flashcards, video progress, saved segments, activities, streak, attempts, practice, reviews, grading jobs and notifications — is visible and changeable only by its owner. Catalog data (vocabulary, videos, assets) is written only by ADMIN or CONTENT_AUTHOR.</t>
        </is>
      </c>
      <c r="C30" s="11" t="inlineStr">
        <is>
          <t>FT-06, FT-30, FT-36, FT-37, FT-38, FT-39, FT-40, FT-41, FT-42, FT-43, FT-44, FT-45, FT-51, FT-52, FT-53, FT-54</t>
        </is>
      </c>
      <c r="D30" s="11" t="inlineStr">
        <is>
          <t>Any read or write of personal or catalog data.</t>
        </is>
      </c>
      <c r="E30" s="11" t="inlineStr">
        <is>
          <t>Another learner's personal record → HTTP 404 (or 403 in assessment); nothing changes. Catalog write by CUSTOMER or EXAMINER → HTTP 403.</t>
        </is>
      </c>
      <c r="F30" s="11" t="inlineStr">
        <is>
          <t>Business Policy / Legal (privacy)</t>
        </is>
      </c>
      <c r="G30" s="11" t="inlineStr">
        <is>
          <t>Approved</t>
        </is>
      </c>
      <c r="H30" s="11" t="inlineStr">
        <is>
          <t>All services owning personal data</t>
        </is>
      </c>
      <c r="I30" s="11" t="inlineStr">
        <is>
          <t>Notification records are Draft (FT-51–FT-54). Retention follows SRS Part 4.3.</t>
        </is>
      </c>
    </row>
    <row r="31" ht="120" customHeight="1" s="31">
      <c r="A31" s="12" t="inlineStr">
        <is>
          <t>BR-28</t>
        </is>
      </c>
      <c r="B31" s="13" t="inlineStr">
        <is>
          <t>Users edit and delete only their own ACTIVE community posts and comments; deletion is soft. Only ADMIN hides an ACTIVE post or comment or restores a HIDDEN one; DELETED content can be neither hidden nor restored. Repeating the same reaction changes nothing.</t>
        </is>
      </c>
      <c r="C31" s="13" t="inlineStr">
        <is>
          <t>FT-49, FT-50</t>
        </is>
      </c>
      <c r="D31" s="13" t="inlineStr">
        <is>
          <t>Editing, deleting or moderating community content.</t>
        </is>
      </c>
      <c r="E31" s="13" t="inlineStr">
        <is>
          <t>Editing or deleting another user's content → HTTP 403. Moderation by non-ADMIN → HTTP 403. Hiding/restoring DELETED content → HTTP 400. Concurrent edits → one succeeds, the other HTTP 409.</t>
        </is>
      </c>
      <c r="F31" s="13" t="inlineStr">
        <is>
          <t>Business Policy (community)</t>
        </is>
      </c>
      <c r="G31" s="13" t="inlineStr">
        <is>
          <t>Approved</t>
        </is>
      </c>
      <c r="H31" s="13" t="inlineStr">
        <is>
          <t>community-service</t>
        </is>
      </c>
      <c r="I31" s="13" t="inlineStr">
        <is>
          <t>Entities: Post, Comment, Reaction.</t>
        </is>
      </c>
    </row>
    <row r="32" ht="120" customHeight="1" s="31">
      <c r="A32" s="10" t="inlineStr">
        <is>
          <t>BR-29</t>
        </is>
      </c>
      <c r="B32" s="11" t="inlineStr">
        <is>
          <t>A game gives 1 point per correct answer and is played only on a frozen content snapshot of 1 to 20 items. A multiplayer room holds 2 to 32 players; only the host starts the match, once at least 2 active members are ready, and only the host closes the room.</t>
        </is>
      </c>
      <c r="C32" s="11" t="inlineStr">
        <is>
          <t>FT-46, FT-47, FT-48</t>
        </is>
      </c>
      <c r="D32" s="11" t="inlineStr">
        <is>
          <t>Starting a game session; joining, starting or closing a room.</t>
        </is>
      </c>
      <c r="E32" s="11" t="inlineStr">
        <is>
          <t>Unsupported game type/domain, 0 or &gt; 20 items, answering twice or after the end → HTTP 400. Full or non-WAITING room, fewer than 2 ready, non-host start/close → HTTP 400. Snapshot owner unreachable → HTTP 503.</t>
        </is>
      </c>
      <c r="F32" s="11" t="inlineStr">
        <is>
          <t>Business Policy (game)</t>
        </is>
      </c>
      <c r="G32" s="11" t="inlineStr">
        <is>
          <t>Approved</t>
        </is>
      </c>
      <c r="H32" s="11" t="inlineStr">
        <is>
          <t>game-service</t>
        </is>
      </c>
      <c r="I32" s="11" t="inlineStr">
        <is>
          <t>Entities: Game Room, Room Member, Game Match, Game Session. Matchmaking is Draft (FT-48).</t>
        </is>
      </c>
    </row>
    <row r="33" ht="120" customHeight="1" s="31">
      <c r="A33" s="12" t="inlineStr">
        <is>
          <t>BR-30</t>
        </is>
      </c>
      <c r="B33" s="13" t="inlineStr">
        <is>
          <t>Resending a request with the same requestId or idempotency key returns the original result and never grades, credits or charges twice, even when identical requests arrive at the same time. Reusing a key for a different user, amount, reference, lesson or block is rejected.</t>
        </is>
      </c>
      <c r="C33" s="13" t="inlineStr">
        <is>
          <t>FT-11, FT-12, FT-22, FT-25, FT-27, FT-31, FT-33, FT-39, FT-40</t>
        </is>
      </c>
      <c r="D33" s="13" t="inlineStr">
        <is>
          <t>Any submission, key activation, point change or grading request carrying a requestId or idempotency key.</t>
        </is>
      </c>
      <c r="E33" s="13" t="inlineStr">
        <is>
          <t>Key reused with different data → HTTP 409 (REQUEST_CONFLICT in learning); the original entry is unchanged. Repeated submit of an attempt → nothing changes, no second event.</t>
        </is>
      </c>
      <c r="F33" s="13" t="inlineStr">
        <is>
          <t>System Design (idempotency)</t>
        </is>
      </c>
      <c r="G33" s="13" t="inlineStr">
        <is>
          <t>Approved</t>
        </is>
      </c>
      <c r="H33" s="13" t="inlineStr">
        <is>
          <t>learning-service, access-service, assessment-service</t>
        </is>
      </c>
      <c r="I33" s="13" t="inlineStr">
        <is>
          <t>Defined as 'requestId' in Glossary 1.4.</t>
        </is>
      </c>
    </row>
    <row r="34" ht="120" customHeight="1" s="31">
      <c r="A34" s="10" t="inlineStr">
        <is>
          <t>BR-31</t>
        </is>
      </c>
      <c r="B34" s="11" t="inlineStr">
        <is>
          <t>Sending an attempt for examiner grading consumes 1 examiner grading credit from the learner's ACTIVE subscription. With no credit left, or without an ACTIVE subscription, the request is rejected.</t>
        </is>
      </c>
      <c r="C34" s="11" t="inlineStr">
        <is>
          <t>FT-14</t>
        </is>
      </c>
      <c r="D34" s="11" t="inlineStr">
        <is>
          <t>A learner requests examiner grading of an attempt.</t>
        </is>
      </c>
      <c r="E34" s="11" t="inlineStr">
        <is>
          <t>0 credits or no ACTIVE subscription → HTTP 402; nothing is consumed and the attempt is not sent. Missing role → HTTP 403.</t>
        </is>
      </c>
      <c r="F34" s="11" t="inlineStr">
        <is>
          <t>Business Policy</t>
        </is>
      </c>
      <c r="G34" s="11" t="inlineStr">
        <is>
          <t>Draft</t>
        </is>
      </c>
      <c r="H34" s="11" t="inlineStr">
        <is>
          <t>access-service, assessment-service</t>
        </is>
      </c>
      <c r="I34" s="11" t="inlineStr">
        <is>
          <t>Entity: Subscription. Credits on plans/keys are built; the learner request flow is Draft (FT-14).</t>
        </is>
      </c>
    </row>
    <row r="35" ht="120" customHeight="1" s="31">
      <c r="A35" s="12" t="inlineStr">
        <is>
          <t>BR-32</t>
        </is>
      </c>
      <c r="B35" s="13" t="inlineStr">
        <is>
          <t>A learner has one notification preference per channel. A reminder is scheduled at most once per deduplication key, a learner receives at most one study reminder per day, and a channel or reminder type the learner turned off sends nothing. Finalizing the same result twice creates one alert only.</t>
        </is>
      </c>
      <c r="C35" s="13" t="inlineStr">
        <is>
          <t>FT-51, FT-52, FT-53, FT-54</t>
        </is>
      </c>
      <c r="D35" s="13" t="inlineStr">
        <is>
          <t>Scheduling reminders; creating grading-done alerts; saving preferences.</t>
        </is>
      </c>
      <c r="E35" s="13" t="inlineStr">
        <is>
          <t>Second preference for the same channel → the existing one is updated. Duplicate deduplication key → no second reminder. A failed delivery is retried up to 3 times, then recorded as FAILED.</t>
        </is>
      </c>
      <c r="F35" s="13" t="inlineStr">
        <is>
          <t>Business Policy</t>
        </is>
      </c>
      <c r="G35" s="13" t="inlineStr">
        <is>
          <t>Draft</t>
        </is>
      </c>
      <c r="H35" s="13" t="inlineStr">
        <is>
          <t>notification-service</t>
        </is>
      </c>
      <c r="I35" s="13" t="inlineStr">
        <is>
          <t>notification-service is a skeleton; channels PUSH, EMAIL and IN_APP; grading-done alerts within 5 minutes.</t>
        </is>
      </c>
    </row>
    <row r="36" ht="120" customHeight="1" s="31">
      <c r="A36" s="10" t="inlineStr">
        <is>
          <t>BR-33</t>
        </is>
      </c>
      <c r="B36" s="11" t="inlineStr">
        <is>
          <t>Mock test skill scores convert to bands from 0 to 9 in steps of 0.5 by the official IELTS Academic band tables (Listening and Reading scaled to 40 answers; Writing and Speaking take the examiner's band); the overall band is the mean of the four skill bands rounded to the nearest half band.</t>
        </is>
      </c>
      <c r="C36" s="11" t="inlineStr">
        <is>
          <t>FT-34</t>
        </is>
      </c>
      <c r="D36" s="11" t="inlineStr">
        <is>
          <t>A mock test result is produced.</t>
        </is>
      </c>
      <c r="E36" s="11" t="inlineStr">
        <is>
          <t>Writing or Speaking not graded by an Examiner yet → the result waits and no band is shown.</t>
        </is>
      </c>
      <c r="F36" s="11" t="inlineStr">
        <is>
          <t>Business Policy (IELTS band scale)</t>
        </is>
      </c>
      <c r="G36" s="11" t="inlineStr">
        <is>
          <t>Draft</t>
        </is>
      </c>
      <c r="H36" s="11" t="inlineStr">
        <is>
          <t>assessment-service</t>
        </is>
      </c>
      <c r="I36" s="11" t="inlineStr">
        <is>
          <t>Mock test is Draft (FT-34).</t>
        </is>
      </c>
    </row>
    <row r="37" ht="120" customHeight="1" s="31">
      <c r="A37" s="12" t="inlineStr">
        <is>
          <t>BR-34</t>
        </is>
      </c>
      <c r="B37" s="13" t="inlineStr">
        <is>
          <t>Only a learner whose ACTIVE subscription includes the content's required feature key can open Premium lessons and practice sets; free content is open to every signed-in learner.</t>
        </is>
      </c>
      <c r="C37" s="13" t="inlineStr">
        <is>
          <t>FT-13</t>
        </is>
      </c>
      <c r="D37" s="13" t="inlineStr">
        <is>
          <t>A learner opens a Premium lesson or practice set.</t>
        </is>
      </c>
      <c r="E37" s="13" t="inlineStr">
        <is>
          <t>No such subscription, or subscription expired → HTTP 403; nothing is recorded.</t>
        </is>
      </c>
      <c r="F37" s="13" t="inlineStr">
        <is>
          <t>Business Policy</t>
        </is>
      </c>
      <c r="G37" s="13" t="inlineStr">
        <is>
          <t>Draft</t>
        </is>
      </c>
      <c r="H37" s="13" t="inlineStr">
        <is>
          <t>learning-service, access-service</t>
        </is>
      </c>
      <c r="I37" s="13" t="inlineStr">
        <is>
          <t>Entities: Plan Feature, Subscription. Current release shows the PREMIUM label but does not enforce it (FT-13).</t>
        </is>
      </c>
    </row>
    <row r="38">
      <c r="A38" s="12" t="inlineStr">
        <is>
          <t>BR-35</t>
        </is>
      </c>
      <c r="B38" s="13" t="inlineStr">
        <is>
          <t>Courses are band levels shared by all skills and ordered by band level; a band level belongs to one course; only topics of ACTIVE courses are in the learning path.</t>
        </is>
      </c>
      <c r="C38" s="13" t="inlineStr">
        <is>
          <t>FT-15, FT-20</t>
        </is>
      </c>
      <c r="D38" s="13" t="inlineStr">
        <is>
          <t>An author creates or updates a course; a learner opens the learning path.</t>
        </is>
      </c>
      <c r="E38" s="13" t="inlineStr">
        <is>
          <t>Code or band level already used → HTTP 409. Band level outside 0–9 or not a multiple of 0.5 → HTTP 400. Topics of an INACTIVE course leave the path.</t>
        </is>
      </c>
      <c r="F38" s="13" t="inlineStr">
        <is>
          <t>Business Policy (curriculum)</t>
        </is>
      </c>
      <c r="G38" s="13" t="inlineStr">
        <is>
          <t>Approved</t>
        </is>
      </c>
      <c r="H38" s="13" t="inlineStr">
        <is>
          <t>content-service, learning-service</t>
        </is>
      </c>
      <c r="I38" s="13" t="inlineStr">
        <is>
          <t>Entities: Course, Topic (DC-41).</t>
        </is>
      </c>
    </row>
    <row r="39">
      <c r="A39" s="12" t="inlineStr">
        <is>
          <t>BR-36</t>
        </is>
      </c>
      <c r="B39" s="13" t="inlineStr">
        <is>
          <t>The placement test is optional and taken at most once; a second attempt needs a reset by an Administrator. The result recommends the lowest course whose band level is at or above the placement band, or the highest course when none is, and never changes a topic or course status.</t>
        </is>
      </c>
      <c r="C39" s="13" t="inlineStr">
        <is>
          <t>FT-20, FT-35</t>
        </is>
      </c>
      <c r="D39" s="13" t="inlineStr">
        <is>
          <t>A learner requests the placement test; a placement result arrives; the course list is read.</t>
        </is>
      </c>
      <c r="E39" s="13" t="inlineStr">
        <is>
          <t>Second attempt without a reset → HTTP 409 PLACEMENT_ALREADY_DONE; the first result stays. Reset by a role other than ADMIN → HTTP 403. No placement result → no course is recommended.</t>
        </is>
      </c>
      <c r="F39" s="13" t="inlineStr">
        <is>
          <t>Business Policy</t>
        </is>
      </c>
      <c r="G39" s="13" t="inlineStr">
        <is>
          <t>Approved</t>
        </is>
      </c>
      <c r="H39" s="13" t="inlineStr">
        <is>
          <t>learning-service, assessment-service</t>
        </is>
      </c>
      <c r="I39" s="13" t="inlineStr">
        <is>
          <t>Entity: Learner Placement. Reset by an Administrator is Draft (FT-35).</t>
        </is>
      </c>
    </row>
    <row r="40">
      <c r="A40" s="12" t="inlineStr">
        <is>
          <t>BR-37</t>
        </is>
      </c>
      <c r="B40" s="13" t="inlineStr">
        <is>
          <t>A course final test opens when every topic of the course is PASSED; a score of at least 70% passes the course permanently; the course test never locks or reopens a topic and never blocks another course.</t>
        </is>
      </c>
      <c r="C40" s="13" t="inlineStr">
        <is>
          <t>FT-55</t>
        </is>
      </c>
      <c r="D40" s="13" t="inlineStr">
        <is>
          <t>A learner requests a course final test; its AssessmentCompleted.v2 result arrives.</t>
        </is>
      </c>
      <c r="E40" s="13" t="inlineStr">
        <is>
          <t>A topic of the course not PASSED → HTTP 403 COURSE_TEST_LOCKED. No published course test → HTTP 409 NO_COURSE_TEST. Course already passed → HTTP 409 COURSE_ALREADY_PASSED.</t>
        </is>
      </c>
      <c r="F40" s="13" t="inlineStr">
        <is>
          <t>Business Policy</t>
        </is>
      </c>
      <c r="G40" s="13" t="inlineStr">
        <is>
          <t>Approved</t>
        </is>
      </c>
      <c r="H40" s="13" t="inlineStr">
        <is>
          <t>learning-service</t>
        </is>
      </c>
      <c r="I40" s="13" t="inlineStr">
        <is>
          <t>Entities: Course Test Assignment, Course Progress.</t>
        </is>
      </c>
    </row>
    <row r="41">
      <c r="A41" s="12" t="inlineStr">
        <is>
          <t>BR-38</t>
        </is>
      </c>
      <c r="B41" s="13" t="inlineStr">
        <is>
          <t>A lesson is completed when its objective exercise blocks pass, and practice is cleared skill by skill for the Reading and Listening of its practice sets; Writing essays never block a lesson or its practice and open no review.</t>
        </is>
      </c>
      <c r="C41" s="13" t="inlineStr">
        <is>
          <t>FT-21, FT-25, FT-27</t>
        </is>
      </c>
      <c r="D41" s="13" t="inlineStr">
        <is>
          <t>A lesson block or a practice attempt is graded.</t>
        </is>
      </c>
      <c r="E41" s="13" t="inlineStr">
        <is>
          <t>An essay block never holds a lesson back; a lesson whose practice has only Writing sets is cleared with NO_PRACTICE; essays open no review.</t>
        </is>
      </c>
      <c r="F41" s="13" t="inlineStr">
        <is>
          <t>Business Policy (pedagogy)</t>
        </is>
      </c>
      <c r="G41" s="13" t="inlineStr">
        <is>
          <t>Approved</t>
        </is>
      </c>
      <c r="H41" s="13" t="inlineStr">
        <is>
          <t>learning-service</t>
        </is>
      </c>
      <c r="I41" s="13" t="inlineStr">
        <is>
          <t>Entities: Lesson Progress, Practice Attempt, Practice Pass.</t>
        </is>
      </c>
    </row>
    <row r="42">
      <c r="A42" s="12" t="inlineStr">
        <is>
          <t>BR-39</t>
        </is>
      </c>
      <c r="B42" s="13" t="inlineStr">
        <is>
          <t>An essay in a topic or course final test is graded by the LLM at no point cost, within a daily limit per learner (20 by default, Vietnam time); it earns the item's full marks when its band reaches the question's pass band and 0 otherwise, and an essay never sent scores 0. When the LLM is not configured or fails, or the limit is reached, an Examiner grades it.</t>
        </is>
      </c>
      <c r="C42" s="13" t="inlineStr">
        <is>
          <t>FT-31, FT-32, FT-33, FT-55</t>
        </is>
      </c>
      <c r="D42" s="13" t="inlineStr">
        <is>
          <t>A learner sends an essay in a topic or course final test.</t>
        </is>
      </c>
      <c r="E42" s="13" t="inlineStr">
        <is>
          <t>LLM not configured or failing, or daily limit reached → the essay waits for an Examiner. An essay never sent scores 0.</t>
        </is>
      </c>
      <c r="F42" s="13" t="inlineStr">
        <is>
          <t>Business Policy (LLM cost control)</t>
        </is>
      </c>
      <c r="G42" s="13" t="inlineStr">
        <is>
          <t>Approved</t>
        </is>
      </c>
      <c r="H42" s="13" t="inlineStr">
        <is>
          <t>assessment-service</t>
        </is>
      </c>
      <c r="I42" s="13" t="inlineStr">
        <is>
          <t>Entities: Learner Submission, Grading Job. Daily limit configured by ASSESSMENT_LLM_DAILY_LIMIT.</t>
        </is>
      </c>
    </row>
    <row r="43">
      <c r="A43" s="12" t="inlineStr">
        <is>
          <t>BR-40</t>
        </is>
      </c>
      <c r="B43" s="13" t="inlineStr">
        <is>
          <t>Every ACTIVE course is open to every learner, with or without a placement result; a learner can study several courses, and the progress of each course is kept.</t>
        </is>
      </c>
      <c r="C43" s="13" t="inlineStr">
        <is>
          <t>FT-20</t>
        </is>
      </c>
      <c r="D43" s="13" t="inlineStr">
        <is>
          <t>A learner opens a course, a topic or a lesson.</t>
        </is>
      </c>
      <c r="E43" s="13" t="inlineStr">
        <is>
          <t>INACTIVE or unknown course → HTTP 404 COURSE_NOT_FOUND.</t>
        </is>
      </c>
      <c r="F43" s="13" t="inlineStr">
        <is>
          <t>Business Policy</t>
        </is>
      </c>
      <c r="G43" s="13" t="inlineStr">
        <is>
          <t>Approved</t>
        </is>
      </c>
      <c r="H43" s="13" t="inlineStr">
        <is>
          <t>learning-service</t>
        </is>
      </c>
      <c r="I43" s="13" t="inlineStr">
        <is>
          <t>Entities: Course, Topic Progress, Course Progress.</t>
        </is>
      </c>
    </row>
    <row r="44">
      <c r="A44" s="12" t="inlineStr">
        <is>
          <t>BR-41</t>
        </is>
      </c>
      <c r="B44" s="13" t="inlineStr">
        <is>
          <t>A placement attempt is graded per skill: Listening and Reading by percent correct, Writing by the LLM band of each sent essay (an essay never sent scores 0, and one the LLM cannot grade takes the default band 5.5 instead of going to an examiner), and Speaking by an interim band of 5.5 until recordings are assessed; the overall band is the mean of the skill bands rounded to the nearest 0.5. A section handed in takes no further answers.</t>
        </is>
      </c>
      <c r="C44" s="13" t="inlineStr">
        <is>
          <t>FT-33, FT-35</t>
        </is>
      </c>
      <c r="D44" s="13" t="inlineStr">
        <is>
          <t>A placement attempt is graded.</t>
        </is>
      </c>
      <c r="E44" s="13" t="inlineStr">
        <is>
          <t>Answer to a section already handed in → HTTP 400; the stored answer does not change. An essay the LLM cannot grade takes the default band 5.5.</t>
        </is>
      </c>
      <c r="F44" s="13" t="inlineStr">
        <is>
          <t>Business Policy</t>
        </is>
      </c>
      <c r="G44" s="13" t="inlineStr">
        <is>
          <t>Approved</t>
        </is>
      </c>
      <c r="H44" s="13" t="inlineStr">
        <is>
          <t>assessment-service</t>
        </is>
      </c>
      <c r="I44" s="13" t="inlineStr">
        <is>
          <t>Entities: Assessment Attempt, Assessment Result, Learner Placement.</t>
        </is>
      </c>
    </row>
  </sheetData>
  <autoFilter ref="A3:I37"/>
  <dataValidations count="1">
    <dataValidation sqref="G4:G44" showDropDown="0" showInputMessage="0" showErrorMessage="0" allowBlank="1" type="list">
      <formula1>"Approved,Draft,In Review,Deprecated"</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FF843C0C"/>
    <outlinePr summaryBelow="1" summaryRight="1"/>
    <pageSetUpPr/>
  </sheetPr>
  <dimension ref="A1:L47"/>
  <sheetViews>
    <sheetView showGridLines="0" zoomScaleNormal="100" workbookViewId="0">
      <pane xSplit="2" ySplit="3" topLeftCell="C45" activePane="bottomRight" state="frozen"/>
      <selection pane="topRight" activeCell="A1" sqref="A1"/>
      <selection pane="bottomLeft" activeCell="A4" sqref="A4"/>
      <selection pane="bottomRight" activeCell="D4" sqref="D4"/>
    </sheetView>
  </sheetViews>
  <sheetFormatPr baseColWidth="8" defaultColWidth="8.6640625" defaultRowHeight="14.4"/>
  <cols>
    <col width="11" customWidth="1" style="31" min="1" max="1"/>
    <col width="16" customWidth="1" style="31" min="2" max="2"/>
    <col width="60" customWidth="1" style="31" min="3" max="3"/>
    <col width="30" customWidth="1" style="31" min="4" max="5"/>
    <col width="16" customWidth="1" style="31" min="6" max="6"/>
    <col width="22.6640625" customWidth="1" style="31" min="7" max="7"/>
    <col width="22" customWidth="1" style="31" min="8" max="8"/>
    <col width="12" customWidth="1" style="31" min="9" max="9"/>
    <col width="20.21875" customWidth="1" style="31" min="10" max="10"/>
    <col width="10" customWidth="1" style="31" min="11" max="11"/>
    <col width="50" customWidth="1" style="31" min="12" max="12"/>
  </cols>
  <sheetData>
    <row r="1" ht="17.7" customHeight="1" s="31">
      <c r="A1" s="7" t="inlineStr">
        <is>
          <t>Non-Functional Requirements Tracker</t>
        </is>
      </c>
    </row>
    <row r="2" ht="15.75" customHeight="1" s="31">
      <c r="A2" s="8" t="inlineStr">
        <is>
          <t>Source: Report 3.0_SRS_IELTSPath_v1.docx Part 6 (6.1–6.7): ID, category (section), requirement, condition (Performance table), priority, regulatory basis and notes (current-release gaps). Target Value only where the SRS states a measurable value. Test Method, Tool, Measured Result, Test Status, Owner and Sprint are left blank until test planning and testing provide them.</t>
        </is>
      </c>
    </row>
    <row r="3" ht="31.5" customHeight="1" s="31">
      <c r="A3" s="3" t="inlineStr">
        <is>
          <t>NFR ID</t>
        </is>
      </c>
      <c r="B3" s="3" t="inlineStr">
        <is>
          <t>Category</t>
        </is>
      </c>
      <c r="C3" s="3" t="inlineStr">
        <is>
          <t>Requirement</t>
        </is>
      </c>
      <c r="D3" s="3" t="inlineStr">
        <is>
          <t>Condition / Context</t>
        </is>
      </c>
      <c r="E3" s="3" t="inlineStr">
        <is>
          <t>Target Value</t>
        </is>
      </c>
      <c r="F3" s="3" t="inlineStr">
        <is>
          <t>Test Method</t>
        </is>
      </c>
      <c r="G3" s="3" t="inlineStr">
        <is>
          <t>Tool</t>
        </is>
      </c>
      <c r="H3" s="3" t="inlineStr">
        <is>
          <t>Measured Result</t>
        </is>
      </c>
      <c r="I3" s="3" t="inlineStr">
        <is>
          <t>Test Status</t>
        </is>
      </c>
      <c r="J3" s="3" t="inlineStr">
        <is>
          <t>Owner</t>
        </is>
      </c>
      <c r="K3" s="3" t="inlineStr">
        <is>
          <t>Sprint</t>
        </is>
      </c>
      <c r="L3" s="3" t="inlineStr">
        <is>
          <t>Notes</t>
        </is>
      </c>
    </row>
    <row r="4" ht="90" customHeight="1" s="31">
      <c r="A4" s="26" t="inlineStr">
        <is>
          <t>NFR-P01</t>
        </is>
      </c>
      <c r="B4" s="11" t="inlineStr">
        <is>
          <t>Performance</t>
        </is>
      </c>
      <c r="C4" s="11" t="inlineStr">
        <is>
          <t>A request that does not call the LLM gets its response within 2 seconds.</t>
        </is>
      </c>
      <c r="D4" s="11" t="inlineStr">
        <is>
          <t>95% of requests; 100 concurrent learners; one instance of each service. MVP target.</t>
        </is>
      </c>
      <c r="E4" s="11" t="inlineStr">
        <is>
          <t>≤ 2 s for 95% of requests</t>
        </is>
      </c>
      <c r="F4" s="11" t="n"/>
      <c r="G4" s="11" t="n"/>
      <c r="H4" s="11" t="n"/>
      <c r="I4" s="27" t="n"/>
      <c r="J4" s="11" t="n"/>
      <c r="K4" s="27" t="n"/>
      <c r="L4" s="11" t="inlineStr">
        <is>
          <t>Priority: Medium. Not measured yet; confirmed or revised after a load test.</t>
        </is>
      </c>
    </row>
    <row r="5" ht="90" customHeight="1" s="31">
      <c r="A5" s="28" t="inlineStr">
        <is>
          <t>NFR-P02</t>
        </is>
      </c>
      <c r="B5" s="13" t="inlineStr">
        <is>
          <t>Performance</t>
        </is>
      </c>
      <c r="C5" s="13" t="inlineStr">
        <is>
          <t>A synchronous call from one service to another has a 1-second limit to connect and a 3-second limit to get the response. When either limit is passed, the caller stops and returns HTTP 503 with a code naming the service, such as CONTENT_UNAVAILABLE. A GET is retried at most once; a write is retried only when it carries a request id or idempotency key (NFR-A03). A client request takes at most 5 seconds in total, retry included, except Writing grading (NFR-P03).</t>
        </is>
      </c>
      <c r="D5" s="13" t="inlineStr">
        <is>
          <t>Every synchronous call between services (Part 1.2 Integrations).</t>
        </is>
      </c>
      <c r="E5" s="13" t="inlineStr">
        <is>
          <t>Connect ≤ 1 s; response ≤ 3 s; client request ≤ 5 s in total; GET retried ≤ 1 time</t>
        </is>
      </c>
      <c r="F5" s="13" t="n"/>
      <c r="G5" s="13" t="n"/>
      <c r="H5" s="13" t="n"/>
      <c r="I5" s="29" t="n"/>
      <c r="J5" s="13" t="n"/>
      <c r="K5" s="29" t="n"/>
      <c r="L5" s="13" t="inlineStr">
        <is>
          <t>Priority: High. Current release: connect 2 s, read 5 s, no retry. Open issue.</t>
        </is>
      </c>
    </row>
    <row r="6" ht="90" customHeight="1" s="31">
      <c r="A6" s="26" t="inlineStr">
        <is>
          <t>NFR-P03</t>
        </is>
      </c>
      <c r="B6" s="11" t="inlineStr">
        <is>
          <t>Performance</t>
        </is>
      </c>
      <c r="C6" s="11" t="inlineStr">
        <is>
          <t>The learner gets the Writing grade, or HTTP 503 GRADING_UNAVAILABLE, within 45 seconds of submitting. Each LLM call stops after 20 seconds (configurable up to 25), and one more call is made only when the first reply cannot be used. No points are taken when grading fails.</t>
        </is>
      </c>
      <c r="D6" s="11" t="inlineStr">
        <is>
          <t>One essay; LLM provider configured; default settings.</t>
        </is>
      </c>
      <c r="E6" s="11" t="inlineStr">
        <is>
          <t>Grade or HTTP 503 within 45 s; each LLM call ≤ 20 s (configurable ≤ 25 s); ≤ 1 extra call</t>
        </is>
      </c>
      <c r="F6" s="11" t="n"/>
      <c r="G6" s="11" t="n"/>
      <c r="H6" s="11" t="n"/>
      <c r="I6" s="27" t="n"/>
      <c r="J6" s="11" t="n"/>
      <c r="K6" s="27" t="n"/>
      <c r="L6" s="11" t="inlineStr">
        <is>
          <t>Priority: High. The 25-second ceiling keeps two LLM calls and the point debit inside the 60-second life of the internal token that is forwarded to access-service.</t>
        </is>
      </c>
    </row>
    <row r="7" ht="90" customHeight="1" s="31">
      <c r="A7" s="28" t="inlineStr">
        <is>
          <t>NFR-P04</t>
        </is>
      </c>
      <c r="B7" s="13" t="inlineStr">
        <is>
          <t>Performance</t>
        </is>
      </c>
      <c r="C7" s="13" t="inlineStr">
        <is>
          <t>A list request returns one page of at most 100 items (20 by default); filtering, sorting and paging run in the database.</t>
        </is>
      </c>
      <c r="D7" s="13" t="inlineStr">
        <is>
          <t>Every list endpoint.</t>
        </is>
      </c>
      <c r="E7" s="13" t="inlineStr">
        <is>
          <t>≤ 100 items per page; 20 by default</t>
        </is>
      </c>
      <c r="F7" s="13" t="n"/>
      <c r="G7" s="13" t="n"/>
      <c r="H7" s="13" t="n"/>
      <c r="I7" s="29" t="n"/>
      <c r="J7" s="13" t="n"/>
      <c r="K7" s="29" t="n"/>
      <c r="L7" s="13" t="inlineStr">
        <is>
          <t>Priority: High. Current release: enforced for posts, comments, notes, learning activity, reviews and point history.</t>
        </is>
      </c>
    </row>
    <row r="8" ht="90" customHeight="1" s="31">
      <c r="A8" s="26" t="inlineStr">
        <is>
          <t>NFR-P05</t>
        </is>
      </c>
      <c r="B8" s="11" t="inlineStr">
        <is>
          <t>Performance</t>
        </is>
      </c>
      <c r="C8" s="11" t="inlineStr">
        <is>
          <t>A finished test result reaches Learning Service within 5 seconds of being saved.</t>
        </is>
      </c>
      <c r="D8" s="11" t="inlineStr">
        <is>
          <t>95% of results; RabbitMQ and Learning Service running.</t>
        </is>
      </c>
      <c r="E8" s="11" t="inlineStr">
        <is>
          <t>≤ 5 s for 95% of results</t>
        </is>
      </c>
      <c r="F8" s="11" t="n"/>
      <c r="G8" s="11" t="n"/>
      <c r="H8" s="11" t="n"/>
      <c r="I8" s="27" t="n"/>
      <c r="J8" s="11" t="n"/>
      <c r="K8" s="27" t="n"/>
      <c r="L8" s="11" t="inlineStr">
        <is>
          <t>Priority: Medium. The outbox relay checks every 2 seconds and sends up to 50 events per run.</t>
        </is>
      </c>
    </row>
    <row r="9" ht="90" customHeight="1" s="31">
      <c r="A9" s="28" t="inlineStr">
        <is>
          <t>NFR-S01</t>
        </is>
      </c>
      <c r="B9" s="13" t="inlineStr">
        <is>
          <t>Scalability</t>
        </is>
      </c>
      <c r="C9" s="13" t="inlineStr">
        <is>
          <t>Every business service, game-service included, can run 2 or more instances without wrong results. A service keeps no user state in memory: data that instances must share (WebSocket tickets, messages of a game room) is kept in a shared store, or all connections of one room are routed to the same instance.</t>
        </is>
      </c>
      <c r="D9" s="13" t="n"/>
      <c r="E9" s="13" t="inlineStr">
        <is>
          <t>≥ 2 instances per business service</t>
        </is>
      </c>
      <c r="F9" s="13" t="n"/>
      <c r="G9" s="13" t="n"/>
      <c r="H9" s="13" t="n"/>
      <c r="I9" s="29" t="n"/>
      <c r="J9" s="13" t="n"/>
      <c r="K9" s="29" t="n"/>
      <c r="L9" s="13" t="inlineStr">
        <is>
          <t>Current release: game-service runs as one instance because tickets and WebSocket sessions are held in memory. Possible fix: keep tickets in the database with a used flag and route connections by roomId (sticky); Redis is an alternative but is new infrastructure and needs approval. Open issue.</t>
        </is>
      </c>
    </row>
    <row r="10" ht="90" customHeight="1" s="31">
      <c r="A10" s="26" t="inlineStr">
        <is>
          <t>NFR-S02</t>
        </is>
      </c>
      <c r="B10" s="11" t="inlineStr">
        <is>
          <t>Scalability</t>
        </is>
      </c>
      <c r="C10" s="11" t="inlineStr">
        <is>
          <t>One game-service instance handles at least [TBC: N] rooms and [TBC: M] concurrent players.</t>
        </is>
      </c>
      <c r="D10" s="11" t="n"/>
      <c r="E10" s="11" t="inlineStr">
        <is>
          <t>≥ [TBC: N] rooms and [TBC: M] concurrent players per instance</t>
        </is>
      </c>
      <c r="F10" s="11" t="n"/>
      <c r="G10" s="11" t="n"/>
      <c r="H10" s="11" t="n"/>
      <c r="I10" s="27" t="n"/>
      <c r="J10" s="11" t="n"/>
      <c r="K10" s="27" t="n"/>
      <c r="L10" s="11" t="inlineStr">
        <is>
          <t>Numbers set after a load test.</t>
        </is>
      </c>
    </row>
    <row r="11" ht="90" customHeight="1" s="31">
      <c r="A11" s="28" t="inlineStr">
        <is>
          <t>NFR-S03</t>
        </is>
      </c>
      <c r="B11" s="13" t="inlineStr">
        <is>
          <t>Scalability</t>
        </is>
      </c>
      <c r="C11" s="13" t="inlineStr">
        <is>
          <t>Each service owns its database, so the data of one service can grow or be moved without changing another service.</t>
        </is>
      </c>
      <c r="D11" s="13" t="n"/>
      <c r="E11" s="13" t="n"/>
      <c r="F11" s="13" t="n"/>
      <c r="G11" s="13" t="n"/>
      <c r="H11" s="13" t="n"/>
      <c r="I11" s="29" t="n"/>
      <c r="J11" s="13" t="n"/>
      <c r="K11" s="29" t="n"/>
      <c r="L11" s="13" t="inlineStr">
        <is>
          <t>Part 4.1; no service reads another service's database.</t>
        </is>
      </c>
    </row>
    <row r="12" ht="90" customHeight="1" s="31">
      <c r="A12" s="26" t="inlineStr">
        <is>
          <t>NFR-S04</t>
        </is>
      </c>
      <c r="B12" s="11" t="inlineStr">
        <is>
          <t>Scalability</t>
        </is>
      </c>
      <c r="C12" s="11" t="inlineStr">
        <is>
          <t>The system supports 200 concurrent learners on one instance of each service, with no request failing because of load. MVP target.</t>
        </is>
      </c>
      <c r="D12" s="11" t="n"/>
      <c r="E12" s="11" t="inlineStr">
        <is>
          <t>200 concurrent learners; 0 requests failing because of load</t>
        </is>
      </c>
      <c r="F12" s="11" t="n"/>
      <c r="G12" s="11" t="n"/>
      <c r="H12" s="11" t="n"/>
      <c r="I12" s="27" t="n"/>
      <c r="J12" s="11" t="n"/>
      <c r="K12" s="27" t="n"/>
      <c r="L12" s="11" t="inlineStr">
        <is>
          <t>Not measured yet; hosting is not decided (Part 1.2).</t>
        </is>
      </c>
    </row>
    <row r="13" ht="90" customHeight="1" s="31">
      <c r="A13" s="28" t="inlineStr">
        <is>
          <t>NFR-A01</t>
        </is>
      </c>
      <c r="B13" s="13" t="inlineStr">
        <is>
          <t>Availability &amp; Reliability</t>
        </is>
      </c>
      <c r="C13" s="13" t="inlineStr">
        <is>
          <t>Every event written to an outbox, in any service, is published to RabbitMQ after its transaction commits; a failed send is retried, up to 20 attempts, so no event is lost.</t>
        </is>
      </c>
      <c r="D13" s="13" t="n"/>
      <c r="E13" s="13" t="inlineStr">
        <is>
          <t>≤ 20 send attempts; 0 events lost</t>
        </is>
      </c>
      <c r="F13" s="13" t="n"/>
      <c r="G13" s="13" t="n"/>
      <c r="H13" s="13" t="n"/>
      <c r="I13" s="29" t="n"/>
      <c r="J13" s="13" t="n"/>
      <c r="K13" s="29" t="n"/>
      <c r="L13" s="13" t="inlineStr">
        <is>
          <t>Current release: only assessment-service has an outbox relay; outbox events of access, content and game are stored but not sent. Open issue.</t>
        </is>
      </c>
    </row>
    <row r="14" ht="90" customHeight="1" s="31">
      <c r="A14" s="26" t="inlineStr">
        <is>
          <t>NFR-A02</t>
        </is>
      </c>
      <c r="B14" s="11" t="inlineStr">
        <is>
          <t>Availability &amp; Reliability</t>
        </is>
      </c>
      <c r="C14" s="11" t="inlineStr">
        <is>
          <t>Learning Service retries a failed AssessmentCompleted.v2 message after 30 seconds, up to 5 deliveries, then moves it to a dead-letter queue; a message that breaks the contract goes there at once. A message is acknowledged only after its transaction commits.</t>
        </is>
      </c>
      <c r="D14" s="11" t="n"/>
      <c r="E14" s="11" t="inlineStr">
        <is>
          <t>Retry after 30 s; ≤ 5 deliveries, then dead-letter queue</t>
        </is>
      </c>
      <c r="F14" s="11" t="n"/>
      <c r="G14" s="11" t="n"/>
      <c r="H14" s="11" t="n"/>
      <c r="I14" s="27" t="n"/>
      <c r="J14" s="11" t="n"/>
      <c r="K14" s="27" t="n"/>
      <c r="L14" s="11" t="inlineStr">
        <is>
          <t>Applying the same result version again has no effect (BR-25).</t>
        </is>
      </c>
    </row>
    <row r="15" ht="90" customHeight="1" s="31">
      <c r="A15" s="28" t="inlineStr">
        <is>
          <t>NFR-A03</t>
        </is>
      </c>
      <c r="B15" s="13" t="inlineStr">
        <is>
          <t>Availability &amp; Reliability</t>
        </is>
      </c>
      <c r="C15" s="13" t="inlineStr">
        <is>
          <t>Resending a request with the same request id or idempotency key returns the first result and never grades or charges twice.</t>
        </is>
      </c>
      <c r="D15" s="13" t="n"/>
      <c r="E15" s="13" t="n"/>
      <c r="F15" s="13" t="n"/>
      <c r="G15" s="13" t="n"/>
      <c r="H15" s="13" t="n"/>
      <c r="I15" s="29" t="n"/>
      <c r="J15" s="13" t="n"/>
      <c r="K15" s="29" t="n"/>
      <c r="L15" s="13" t="inlineStr">
        <is>
          <t>BR-30: key activation, point changes, lesson and practice submissions, essay grading, test results.</t>
        </is>
      </c>
    </row>
    <row r="16" ht="90" customHeight="1" s="31">
      <c r="A16" s="26" t="inlineStr">
        <is>
          <t>NFR-A04</t>
        </is>
      </c>
      <c r="B16" s="11" t="inlineStr">
        <is>
          <t>Availability &amp; Reliability</t>
        </is>
      </c>
      <c r="C16" s="11" t="inlineStr">
        <is>
          <t>All writes of one learner in Learning Service run in one transaction that first takes a lock on that learner, so parallel requests from two tabs or devices cannot leave progress half-written.</t>
        </is>
      </c>
      <c r="D16" s="11" t="n"/>
      <c r="E16" s="11" t="n"/>
      <c r="F16" s="11" t="n"/>
      <c r="G16" s="11" t="n"/>
      <c r="H16" s="11" t="n"/>
      <c r="I16" s="27" t="n"/>
      <c r="J16" s="11" t="n"/>
      <c r="K16" s="27" t="n"/>
      <c r="L16" s="11" t="inlineStr">
        <is>
          <t>PostgreSQL advisory lock per learner.</t>
        </is>
      </c>
    </row>
    <row r="17" ht="90" customHeight="1" s="31">
      <c r="A17" s="28" t="inlineStr">
        <is>
          <t>NFR-A05</t>
        </is>
      </c>
      <c r="B17" s="13" t="inlineStr">
        <is>
          <t>Availability &amp; Reliability</t>
        </is>
      </c>
      <c r="C17" s="13" t="inlineStr">
        <is>
          <t>If the LLM is not configured or does not answer, only Writing grading stops (HTTP 503); every other feature keeps working and no points are taken.</t>
        </is>
      </c>
      <c r="D17" s="13" t="n"/>
      <c r="E17" s="13" t="n"/>
      <c r="F17" s="13" t="n"/>
      <c r="G17" s="13" t="n"/>
      <c r="H17" s="13" t="n"/>
      <c r="I17" s="29" t="n"/>
      <c r="J17" s="13" t="n"/>
      <c r="K17" s="29" t="n"/>
      <c r="L17" s="13" t="inlineStr">
        <is>
          <t>BR-10; NFR-P03.</t>
        </is>
      </c>
    </row>
    <row r="18" ht="90" customHeight="1" s="31">
      <c r="A18" s="26" t="inlineStr">
        <is>
          <t>NFR-A06</t>
        </is>
      </c>
      <c r="B18" s="11" t="inlineStr">
        <is>
          <t>Availability &amp; Reliability</t>
        </is>
      </c>
      <c r="C18" s="11" t="inlineStr">
        <is>
          <t>Each service exposes a health endpoint (/actuator/health) for monitoring and container checks.</t>
        </is>
      </c>
      <c r="D18" s="11" t="n"/>
      <c r="E18" s="11" t="n"/>
      <c r="F18" s="11" t="n"/>
      <c r="G18" s="11" t="n"/>
      <c r="H18" s="11" t="n"/>
      <c r="I18" s="27" t="n"/>
      <c r="J18" s="11" t="n"/>
      <c r="K18" s="27" t="n"/>
      <c r="L18" s="11" t="inlineStr">
        <is>
          <t>Open without a token; returns the service status only.</t>
        </is>
      </c>
    </row>
    <row r="19" ht="90" customHeight="1" s="31">
      <c r="A19" s="28" t="inlineStr">
        <is>
          <t>NFR-A07</t>
        </is>
      </c>
      <c r="B19" s="13" t="inlineStr">
        <is>
          <t>Availability &amp; Reliability</t>
        </is>
      </c>
      <c r="C19" s="13" t="inlineStr">
        <is>
          <t>Uptime is at least 99% per month, excluding announced maintenance. MVP target.</t>
        </is>
      </c>
      <c r="D19" s="13" t="n"/>
      <c r="E19" s="13" t="inlineStr">
        <is>
          <t>≥ 99% uptime per month</t>
        </is>
      </c>
      <c r="F19" s="13" t="n"/>
      <c r="G19" s="13" t="n"/>
      <c r="H19" s="13" t="n"/>
      <c r="I19" s="29" t="n"/>
      <c r="J19" s="13" t="n"/>
      <c r="K19" s="29" t="n"/>
      <c r="L19" s="13" t="inlineStr">
        <is>
          <t>Measured once deployed; hosting is not decided (Part 1.2).</t>
        </is>
      </c>
    </row>
    <row r="20" ht="90" customHeight="1" s="31">
      <c r="A20" s="26" t="inlineStr">
        <is>
          <t>NFR-A08</t>
        </is>
      </c>
      <c r="B20" s="11" t="inlineStr">
        <is>
          <t>Availability &amp; Reliability</t>
        </is>
      </c>
      <c r="C20" s="11" t="inlineStr">
        <is>
          <t>Every service database is backed up daily: at most 24 hours of data can be lost (RPO 24 h), and the service is restored within 4 hours (RTO 4 h).</t>
        </is>
      </c>
      <c r="D20" s="11" t="n"/>
      <c r="E20" s="11" t="inlineStr">
        <is>
          <t>Daily backup; RPO ≤ 24 h; RTO ≤ 4 h</t>
        </is>
      </c>
      <c r="F20" s="11" t="n"/>
      <c r="G20" s="11" t="n"/>
      <c r="H20" s="11" t="n"/>
      <c r="I20" s="27" t="n"/>
      <c r="J20" s="11" t="n"/>
      <c r="K20" s="27" t="n"/>
      <c r="L20" s="11" t="inlineStr">
        <is>
          <t>Current release: no backup is set up; hosting is not decided (Part 1.2). Open issue.</t>
        </is>
      </c>
    </row>
    <row r="21" ht="90" customHeight="1" s="31">
      <c r="A21" s="28" t="inlineStr">
        <is>
          <t>NFR-A09</t>
        </is>
      </c>
      <c r="B21" s="13" t="inlineStr">
        <is>
          <t>Availability &amp; Reliability</t>
        </is>
      </c>
      <c r="C21" s="13" t="inlineStr">
        <is>
          <t>Each service exports metrics for request count, error count and response time. An alert is raised when a dead-letter queue holds a message or when more than 5% of requests fail within 5 minutes.</t>
        </is>
      </c>
      <c r="D21" s="13" t="n"/>
      <c r="E21" s="13" t="inlineStr">
        <is>
          <t>Alert when DLQ holds ≥ 1 message or &gt; 5% of requests fail within 5 min</t>
        </is>
      </c>
      <c r="F21" s="13" t="n"/>
      <c r="G21" s="13" t="n"/>
      <c r="H21" s="13" t="n"/>
      <c r="I21" s="29" t="n"/>
      <c r="J21" s="13" t="n"/>
      <c r="K21" s="29" t="n"/>
      <c r="L21" s="13" t="inlineStr">
        <is>
          <t>Current release: only health and info endpoints; no metrics or alerts. Open issue.</t>
        </is>
      </c>
    </row>
    <row r="22" ht="90" customHeight="1" s="31">
      <c r="A22" s="26" t="inlineStr">
        <is>
          <t>NFR-SEC01</t>
        </is>
      </c>
      <c r="B22" s="11" t="inlineStr">
        <is>
          <t>Security</t>
        </is>
      </c>
      <c r="C22" s="11" t="inlineStr">
        <is>
          <t>All client traffic uses HTTPS (TLS 1.2 or later) in deployed environments.</t>
        </is>
      </c>
      <c r="D22" s="11" t="n"/>
      <c r="E22" s="11" t="inlineStr">
        <is>
          <t>TLS 1.2 or later</t>
        </is>
      </c>
      <c r="F22" s="11" t="n"/>
      <c r="G22" s="11" t="n"/>
      <c r="H22" s="11" t="n"/>
      <c r="I22" s="27" t="n"/>
      <c r="J22" s="11" t="n"/>
      <c r="K22" s="27" t="n"/>
      <c r="L22" s="11" t="inlineStr">
        <is>
          <t>Local development uses HTTP; where TLS ends is decided with hosting [TBC].</t>
        </is>
      </c>
    </row>
    <row r="23" ht="90" customHeight="1" s="31">
      <c r="A23" s="28" t="inlineStr">
        <is>
          <t>NFR-SEC02</t>
        </is>
      </c>
      <c r="B23" s="13" t="inlineStr">
        <is>
          <t>Security</t>
        </is>
      </c>
      <c r="C23" s="13" t="inlineStr">
        <is>
          <t>Every request needs a valid access token except registration, sign-in, token refresh, sign-out, password reset, health checks and API docs. The Gateway checks the token and forwards a new internal token that is valid for 60 seconds.</t>
        </is>
      </c>
      <c r="D23" s="13" t="n"/>
      <c r="E23" s="13" t="inlineStr">
        <is>
          <t>Internal token valid 60 s; WebSocket ticket single-use, expires after 30 s</t>
        </is>
      </c>
      <c r="F23" s="13" t="n"/>
      <c r="G23" s="13" t="n"/>
      <c r="H23" s="13" t="n"/>
      <c r="I23" s="29" t="n"/>
      <c r="J23" s="13" t="n"/>
      <c r="K23" s="29" t="n"/>
      <c r="L23" s="13" t="inlineStr">
        <is>
          <t>Both tokens are HMAC-SHA256 JWTs. The game WebSocket uses a single-use ticket that expires after 30 seconds instead of a token.</t>
        </is>
      </c>
    </row>
    <row r="24" ht="90" customHeight="1" s="31">
      <c r="A24" s="26" t="inlineStr">
        <is>
          <t>NFR-SEC03</t>
        </is>
      </c>
      <c r="B24" s="11" t="inlineStr">
        <is>
          <t>Security</t>
        </is>
      </c>
      <c r="C24" s="11" t="inlineStr">
        <is>
          <t>Services accept only the internal token (right issuer, user id, expiry and a canonical role) and never trust identity headers sent by the client.</t>
        </is>
      </c>
      <c r="D24" s="11" t="n"/>
      <c r="E24" s="11" t="n"/>
      <c r="F24" s="11" t="n"/>
      <c r="G24" s="11" t="n"/>
      <c r="H24" s="11" t="n"/>
      <c r="I24" s="27" t="n"/>
      <c r="J24" s="11" t="n"/>
      <c r="K24" s="27" t="n"/>
      <c r="L24" s="11" t="inlineStr">
        <is>
          <t>Shared security library used by every business service.</t>
        </is>
      </c>
    </row>
    <row r="25" ht="90" customHeight="1" s="31">
      <c r="A25" s="28" t="inlineStr">
        <is>
          <t>NFR-SEC04</t>
        </is>
      </c>
      <c r="B25" s="13" t="inlineStr">
        <is>
          <t>Security</t>
        </is>
      </c>
      <c r="C25" s="13" t="inlineStr">
        <is>
          <t>A password has at least 6 characters and at most 72 bytes (the BCrypt input limit) at both registration and reset, and is stored only as a BCrypt hash. Refresh tokens, password reset tokens and activation keys are stored only as SHA-256 hashes.</t>
        </is>
      </c>
      <c r="D25" s="13" t="n"/>
      <c r="E25" s="13" t="inlineStr">
        <is>
          <t>Password ≥ 6 characters and ≤ 72 bytes</t>
        </is>
      </c>
      <c r="F25" s="13" t="n"/>
      <c r="G25" s="13" t="n"/>
      <c r="H25" s="13" t="n"/>
      <c r="I25" s="29" t="n"/>
      <c r="J25" s="13" t="n"/>
      <c r="K25" s="29" t="n"/>
      <c r="L25" s="13" t="inlineStr">
        <is>
          <t>BR-02; FT-11. Current release: registration checks 72 characters rather than bytes, and reset has no upper limit. Open issue.</t>
        </is>
      </c>
    </row>
    <row r="26" ht="90" customHeight="1" s="31">
      <c r="A26" s="26" t="inlineStr">
        <is>
          <t>NFR-SEC05</t>
        </is>
      </c>
      <c r="B26" s="11" t="inlineStr">
        <is>
          <t>Security</t>
        </is>
      </c>
      <c r="C26" s="11" t="inlineStr">
        <is>
          <t>Access tokens last 1 hour; refresh tokens last 7 days and are replaced at each use; a password reset token is single-use and lasts 15 minutes.</t>
        </is>
      </c>
      <c r="D26" s="11" t="n"/>
      <c r="E26" s="11" t="inlineStr">
        <is>
          <t>Access token 1 h; refresh token 7 days; reset token 15 min, single-use</t>
        </is>
      </c>
      <c r="F26" s="11" t="n"/>
      <c r="G26" s="11" t="n"/>
      <c r="H26" s="11" t="n"/>
      <c r="I26" s="27" t="n"/>
      <c r="J26" s="11" t="n"/>
      <c r="K26" s="27" t="n"/>
      <c r="L26" s="11" t="inlineStr">
        <is>
          <t>BR-03, BR-04.</t>
        </is>
      </c>
    </row>
    <row r="27" ht="90" customHeight="1" s="31">
      <c r="A27" s="28" t="inlineStr">
        <is>
          <t>NFR-SEC06</t>
        </is>
      </c>
      <c r="B27" s="13" t="inlineStr">
        <is>
          <t>Security</t>
        </is>
      </c>
      <c r="C27" s="13" t="inlineStr">
        <is>
          <t>Access follows the five canonical roles: a learner reaches only their own personal data, and catalog writes need ADMIN or CONTENT_AUTHOR.</t>
        </is>
      </c>
      <c r="D27" s="13" t="n"/>
      <c r="E27" s="13" t="n"/>
      <c r="F27" s="13" t="n"/>
      <c r="G27" s="13" t="n"/>
      <c r="H27" s="13" t="n"/>
      <c r="I27" s="29" t="n"/>
      <c r="J27" s="13" t="n"/>
      <c r="K27" s="29" t="n"/>
      <c r="L27" s="13" t="inlineStr">
        <is>
          <t>BR-06, BR-27.</t>
        </is>
      </c>
    </row>
    <row r="28" ht="90" customHeight="1" s="31">
      <c r="A28" s="26" t="inlineStr">
        <is>
          <t>NFR-SEC07</t>
        </is>
      </c>
      <c r="B28" s="11" t="inlineStr">
        <is>
          <t>Security</t>
        </is>
      </c>
      <c r="C28" s="11" t="inlineStr">
        <is>
          <t>Learners never receive answer keys or chart facts; explanations, solutions and transcripts are shown only when BR-19 and BR-24 allow.</t>
        </is>
      </c>
      <c r="D28" s="11" t="n"/>
      <c r="E28" s="11" t="n"/>
      <c r="F28" s="11" t="n"/>
      <c r="G28" s="11" t="n"/>
      <c r="H28" s="11" t="n"/>
      <c r="I28" s="27" t="n"/>
      <c r="J28" s="11" t="n"/>
      <c r="K28" s="27" t="n"/>
      <c r="L28" s="11" t="inlineStr">
        <is>
          <t>Protects lesson, practice and test answers.</t>
        </is>
      </c>
    </row>
    <row r="29" ht="90" customHeight="1" s="31">
      <c r="A29" s="28" t="inlineStr">
        <is>
          <t>NFR-SEC08</t>
        </is>
      </c>
      <c r="B29" s="13" t="inlineStr">
        <is>
          <t>Security</t>
        </is>
      </c>
      <c r="C29" s="13" t="inlineStr">
        <is>
          <t>Secrets (JWT secrets, database and broker passwords, LLM API key) come from environment variables and never appear in code, logs or documents; the external and internal JWT secrets are different Base64 values of at least 32 bytes.</t>
        </is>
      </c>
      <c r="D29" s="13" t="n"/>
      <c r="E29" s="13" t="inlineStr">
        <is>
          <t>JWT secrets Base64, ≥ 32 bytes, external ≠ internal</t>
        </is>
      </c>
      <c r="F29" s="13" t="n"/>
      <c r="G29" s="13" t="n"/>
      <c r="H29" s="13" t="n"/>
      <c r="I29" s="29" t="n"/>
      <c r="J29" s="13" t="n"/>
      <c r="K29" s="29" t="n"/>
      <c r="L29" s="13" t="inlineStr">
        <is>
          <t>Current release: Config Server files still hold fallback JWT secrets; they must be removed before deployment. Open issue.</t>
        </is>
      </c>
    </row>
    <row r="30" ht="90" customHeight="1" s="31">
      <c r="A30" s="26" t="inlineStr">
        <is>
          <t>NFR-SEC09</t>
        </is>
      </c>
      <c r="B30" s="11" t="inlineStr">
        <is>
          <t>Security</t>
        </is>
      </c>
      <c r="C30" s="11" t="inlineStr">
        <is>
          <t>Browsers may call the API only from the configured frontend origin, and the game WebSocket only from its allowed origins.</t>
        </is>
      </c>
      <c r="D30" s="11" t="n"/>
      <c r="E30" s="11" t="n"/>
      <c r="F30" s="11" t="n"/>
      <c r="G30" s="11" t="n"/>
      <c r="H30" s="11" t="n"/>
      <c r="I30" s="27" t="n"/>
      <c r="J30" s="11" t="n"/>
      <c r="K30" s="27" t="n"/>
      <c r="L30" s="11" t="inlineStr">
        <is>
          <t>FRONTEND_ORIGIN, GAME_WEBSOCKET_ALLOWED_ORIGINS. API docs are turned off outside local development (API_DOCS_ENABLED=false).</t>
        </is>
      </c>
    </row>
    <row r="31" ht="90" customHeight="1" s="31">
      <c r="A31" s="28" t="inlineStr">
        <is>
          <t>NFR-SEC10</t>
        </is>
      </c>
      <c r="B31" s="13" t="inlineStr">
        <is>
          <t>Security</t>
        </is>
      </c>
      <c r="C31" s="13" t="inlineStr">
        <is>
          <t>Logs hold ids, event types and error codes only, never passwords, tokens, API keys, prompts or essay text; each request keeps its X-Correlation-Id across services.</t>
        </is>
      </c>
      <c r="D31" s="13" t="n"/>
      <c r="E31" s="13" t="n"/>
      <c r="F31" s="13" t="n"/>
      <c r="G31" s="13" t="n"/>
      <c r="H31" s="13" t="n"/>
      <c r="I31" s="29" t="n"/>
      <c r="J31" s="13" t="n"/>
      <c r="K31" s="29" t="n"/>
      <c r="L31" s="13" t="inlineStr">
        <is>
          <t>Lets a request be traced across services without personal content.</t>
        </is>
      </c>
    </row>
    <row r="32" ht="90" customHeight="1" s="31">
      <c r="A32" s="26" t="inlineStr">
        <is>
          <t>NFR-SEC11</t>
        </is>
      </c>
      <c r="B32" s="11" t="inlineStr">
        <is>
          <t>Security</t>
        </is>
      </c>
      <c r="C32" s="11" t="inlineStr">
        <is>
          <t>Sign-in allows at most 5 failed attempts per account and IP address in 15 minutes, and password reset at most 3 requests per email per hour; further requests get HTTP 429 until the window ends.</t>
        </is>
      </c>
      <c r="D32" s="11" t="n"/>
      <c r="E32" s="11" t="inlineStr">
        <is>
          <t>Sign-in ≤ 5 failed attempts per account and IP in 15 min; reset ≤ 3 requests per email per hour</t>
        </is>
      </c>
      <c r="F32" s="11" t="n"/>
      <c r="G32" s="11" t="n"/>
      <c r="H32" s="11" t="n"/>
      <c r="I32" s="27" t="n"/>
      <c r="J32" s="11" t="n"/>
      <c r="K32" s="27" t="n"/>
      <c r="L32" s="11" t="inlineStr">
        <is>
          <t>Current release: no rate limit on sign-in or password reset. Open issue.</t>
        </is>
      </c>
    </row>
    <row r="33" ht="90" customHeight="1" s="31">
      <c r="A33" s="28" t="inlineStr">
        <is>
          <t>NFR-SEC12</t>
        </is>
      </c>
      <c r="B33" s="13" t="inlineStr">
        <is>
          <t>Security</t>
        </is>
      </c>
      <c r="C33" s="13" t="inlineStr">
        <is>
          <t>Password reset returns the same response whether or not the email is registered, so the API never reveals which emails have an account.</t>
        </is>
      </c>
      <c r="D33" s="13" t="n"/>
      <c r="E33" s="13" t="n"/>
      <c r="F33" s="13" t="n"/>
      <c r="G33" s="13" t="n"/>
      <c r="H33" s="13" t="n"/>
      <c r="I33" s="29" t="n"/>
      <c r="J33" s="13" t="n"/>
      <c r="K33" s="29" t="n"/>
      <c r="L33" s="13" t="inlineStr">
        <is>
          <t>Current release: an unknown email gets HTTP 404 with the email in the message. Open issue.</t>
        </is>
      </c>
    </row>
    <row r="34" ht="90" customHeight="1" s="31">
      <c r="A34" s="26" t="inlineStr">
        <is>
          <t>NFR-SEC13</t>
        </is>
      </c>
      <c r="B34" s="11" t="inlineStr">
        <is>
          <t>Security</t>
        </is>
      </c>
      <c r="C34" s="11" t="inlineStr">
        <is>
          <t>AI Writing grading is limited to 10 gradings per learner per calendar day in Vietnam time, and each grading costs 3 points, which caps LLM cost.</t>
        </is>
      </c>
      <c r="D34" s="11" t="n"/>
      <c r="E34" s="11" t="inlineStr">
        <is>
          <t>≤ 10 gradings per learner per day (Vietnam time); 3 points per grading</t>
        </is>
      </c>
      <c r="F34" s="11" t="n"/>
      <c r="G34" s="11" t="n"/>
      <c r="H34" s="11" t="n"/>
      <c r="I34" s="27" t="n"/>
      <c r="J34" s="11" t="n"/>
      <c r="K34" s="27" t="n"/>
      <c r="L34" s="11" t="inlineStr">
        <is>
          <t>BR-10, BR-11. Both values are configurable.</t>
        </is>
      </c>
    </row>
    <row r="35" ht="90" customHeight="1" s="31">
      <c r="A35" s="28" t="inlineStr">
        <is>
          <t>NFR-U01</t>
        </is>
      </c>
      <c r="B35" s="13" t="inlineStr">
        <is>
          <t>Usability</t>
        </is>
      </c>
      <c r="C35" s="13" t="inlineStr">
        <is>
          <t>Every service returns errors in one JSON format: timestamp, status, error, message, request path and details.</t>
        </is>
      </c>
      <c r="D35" s="13" t="n"/>
      <c r="E35" s="13" t="n"/>
      <c r="F35" s="13" t="n"/>
      <c r="G35" s="13" t="n"/>
      <c r="H35" s="13" t="n"/>
      <c r="I35" s="29" t="n"/>
      <c r="J35" s="13" t="n"/>
      <c r="K35" s="29" t="n"/>
      <c r="L35" s="13" t="inlineStr">
        <is>
          <t>Current release: learning-service uses its own body (detail, code). Open issue.</t>
        </is>
      </c>
    </row>
    <row r="36" ht="90" customHeight="1" s="31">
      <c r="A36" s="26" t="inlineStr">
        <is>
          <t>NFR-U02</t>
        </is>
      </c>
      <c r="B36" s="11" t="inlineStr">
        <is>
          <t>Usability</t>
        </is>
      </c>
      <c r="C36" s="11" t="inlineStr">
        <is>
          <t>A validation error lists each invalid field with its reason in details, so the client can show the message next to the input.</t>
        </is>
      </c>
      <c r="D36" s="11" t="n"/>
      <c r="E36" s="11" t="n"/>
      <c r="F36" s="11" t="n"/>
      <c r="G36" s="11" t="n"/>
      <c r="H36" s="11" t="n"/>
      <c r="I36" s="27" t="n"/>
      <c r="J36" s="11" t="n"/>
      <c r="K36" s="27" t="n"/>
      <c r="L36" s="11" t="inlineStr">
        <is>
          <t>Current release: learning-service answers HTTP 422 "Invalid request" without the field list. Open issue.</t>
        </is>
      </c>
    </row>
    <row r="37" ht="90" customHeight="1" s="31">
      <c r="A37" s="28" t="inlineStr">
        <is>
          <t>NFR-M01</t>
        </is>
      </c>
      <c r="B37" s="13" t="inlineStr">
        <is>
          <t>Maintainability</t>
        </is>
      </c>
      <c r="C37" s="13" t="inlineStr">
        <is>
          <t>Each Java service keeps the layers api → application → domain, with infrastructure outside; domain code does not depend on Spring, JPA or HTTP.</t>
        </is>
      </c>
      <c r="D37" s="13" t="n"/>
      <c r="E37" s="13" t="n"/>
      <c r="F37" s="13" t="n"/>
      <c r="G37" s="13" t="n"/>
      <c r="H37" s="13" t="n"/>
      <c r="I37" s="29" t="n"/>
      <c r="J37" s="13" t="n"/>
      <c r="K37" s="29" t="n"/>
      <c r="L37" s="13" t="inlineStr">
        <is>
          <t>Checked in code review; no automated architecture test yet.</t>
        </is>
      </c>
    </row>
    <row r="38" ht="90" customHeight="1" s="31">
      <c r="A38" s="26" t="inlineStr">
        <is>
          <t>NFR-M02</t>
        </is>
      </c>
      <c r="B38" s="11" t="inlineStr">
        <is>
          <t>Maintainability</t>
        </is>
      </c>
      <c r="C38" s="11" t="inlineStr">
        <is>
          <t>Database changes are made only through new Flyway migrations, which run when the service starts; an applied migration is never edited.</t>
        </is>
      </c>
      <c r="D38" s="11" t="n"/>
      <c r="E38" s="11" t="n"/>
      <c r="F38" s="11" t="n"/>
      <c r="G38" s="11" t="n"/>
      <c r="H38" s="11" t="n"/>
      <c r="I38" s="27" t="n"/>
      <c r="J38" s="11" t="n"/>
      <c r="K38" s="27" t="n"/>
      <c r="L38" s="11" t="inlineStr">
        <is>
          <t>One migration history per service database.</t>
        </is>
      </c>
    </row>
    <row r="39" ht="90" customHeight="1" s="31">
      <c r="A39" s="28" t="inlineStr">
        <is>
          <t>NFR-M03</t>
        </is>
      </c>
      <c r="B39" s="13" t="inlineStr">
        <is>
          <t>Maintainability</t>
        </is>
      </c>
      <c r="C39" s="13" t="inlineStr">
        <is>
          <t>HTTP and event contracts are written down in docs/contracts; event names carry a version (AssessmentCompleted.v2), and every consumer is checked before a contract changes.</t>
        </is>
      </c>
      <c r="D39" s="13" t="n"/>
      <c r="E39" s="13" t="n"/>
      <c r="F39" s="13" t="n"/>
      <c r="G39" s="13" t="n"/>
      <c r="H39" s="13" t="n"/>
      <c r="I39" s="29" t="n"/>
      <c r="J39" s="13" t="n"/>
      <c r="K39" s="29" t="n"/>
      <c r="L39" s="13" t="inlineStr">
        <is>
          <t>Controllers remain the reference for the exact API paths.</t>
        </is>
      </c>
    </row>
    <row r="40" ht="90" customHeight="1" s="31">
      <c r="A40" s="26" t="inlineStr">
        <is>
          <t>NFR-M04</t>
        </is>
      </c>
      <c r="B40" s="11" t="inlineStr">
        <is>
          <t>Maintainability</t>
        </is>
      </c>
      <c r="C40" s="11" t="inlineStr">
        <is>
          <t>Runtime settings live in Config Server with one file per service; secrets come from the environment.</t>
        </is>
      </c>
      <c r="D40" s="11" t="n"/>
      <c r="E40" s="11" t="n"/>
      <c r="F40" s="11" t="n"/>
      <c r="G40" s="11" t="n"/>
      <c r="H40" s="11" t="n"/>
      <c r="I40" s="27" t="n"/>
      <c r="J40" s="11" t="n"/>
      <c r="K40" s="27" t="n"/>
      <c r="L40" s="11" t="inlineStr">
        <is>
          <t>infra/config-server/config-repo.</t>
        </is>
      </c>
    </row>
    <row r="41" ht="90" customHeight="1" s="31">
      <c r="A41" s="28" t="inlineStr">
        <is>
          <t>NFR-M05</t>
        </is>
      </c>
      <c r="B41" s="13" t="inlineStr">
        <is>
          <t>Maintainability</t>
        </is>
      </c>
      <c r="C41" s="13" t="inlineStr">
        <is>
          <t>Each change ships with focused tests: Mockito for use cases, @WebMvcTest for controllers and security, Testcontainers PostgreSQL for persistence.</t>
        </is>
      </c>
      <c r="D41" s="13" t="n"/>
      <c r="E41" s="13" t="n"/>
      <c r="F41" s="13" t="n"/>
      <c r="G41" s="13" t="n"/>
      <c r="H41" s="13" t="n"/>
      <c r="I41" s="29" t="n"/>
      <c r="J41" s="13" t="n"/>
      <c r="K41" s="29" t="n"/>
      <c r="L41" s="13" t="inlineStr">
        <is>
          <t>Current release: no CI pipeline or coverage gate yet.</t>
        </is>
      </c>
    </row>
    <row r="42" ht="90" customHeight="1" s="31">
      <c r="A42" s="26" t="inlineStr">
        <is>
          <t>NFR-M06</t>
        </is>
      </c>
      <c r="B42" s="11" t="inlineStr">
        <is>
          <t>Maintainability</t>
        </is>
      </c>
      <c r="C42" s="11" t="inlineStr">
        <is>
          <t>The main learner APIs (user, access, assessment, learning) are described with OpenAPI and viewable in Swagger UI through the Gateway.</t>
        </is>
      </c>
      <c r="D42" s="11" t="n"/>
      <c r="E42" s="11" t="n"/>
      <c r="F42" s="11" t="n"/>
      <c r="G42" s="11" t="n"/>
      <c r="H42" s="11" t="n"/>
      <c r="I42" s="27" t="n"/>
      <c r="J42" s="11" t="n"/>
      <c r="K42" s="27" t="n"/>
      <c r="L42" s="11" t="inlineStr">
        <is>
          <t>/swagger-ui.html; internal endpoints are not included.</t>
        </is>
      </c>
    </row>
    <row r="43" ht="90" customHeight="1" s="31">
      <c r="A43" s="28" t="inlineStr">
        <is>
          <t>NFR-C01</t>
        </is>
      </c>
      <c r="B43" s="13" t="inlineStr">
        <is>
          <t>Compliance</t>
        </is>
      </c>
      <c r="C43" s="13" t="inlineStr">
        <is>
          <t>Thirty days after an account is closed, every service deletes the learner's personal data and anonymises the learning records it keeps (Part 4.3).</t>
        </is>
      </c>
      <c r="D43" s="13" t="n"/>
      <c r="E43" s="13" t="inlineStr">
        <is>
          <t>Personal data deleted / anonymised 30 days after account closure</t>
        </is>
      </c>
      <c r="F43" s="13" t="n"/>
      <c r="G43" s="13" t="n"/>
      <c r="H43" s="13" t="n"/>
      <c r="I43" s="29" t="n"/>
      <c r="J43" s="13" t="n"/>
      <c r="K43" s="29" t="n"/>
      <c r="L43" s="13" t="inlineStr">
        <is>
          <t>Regulatory basis: Law on Personal Data Protection No. 91/2025/QH15 (right to request deletion). Current release: the closure job does not exist. Open issue. Due date [TBC].</t>
        </is>
      </c>
    </row>
    <row r="44" ht="90" customHeight="1" s="31">
      <c r="A44" s="26" t="inlineStr">
        <is>
          <t>NFR-C02</t>
        </is>
      </c>
      <c r="B44" s="11" t="inlineStr">
        <is>
          <t>Compliance</t>
        </is>
      </c>
      <c r="C44" s="11" t="inlineStr">
        <is>
          <t>Only the essay, the task question and, for Task 1, the chart facts are sent to the LLM provider; no name, email or account id is sent.</t>
        </is>
      </c>
      <c r="D44" s="11" t="n"/>
      <c r="E44" s="11" t="n"/>
      <c r="F44" s="11" t="n"/>
      <c r="G44" s="11" t="n"/>
      <c r="H44" s="11" t="n"/>
      <c r="I44" s="27" t="n"/>
      <c r="J44" s="11" t="n"/>
      <c r="K44" s="27" t="n"/>
      <c r="L44" s="11" t="inlineStr">
        <is>
          <t>Regulatory basis: Team policy, in line with the PDP Law. Met in learning-service.</t>
        </is>
      </c>
    </row>
    <row r="45" ht="90" customHeight="1" s="31">
      <c r="A45" s="28" t="inlineStr">
        <is>
          <t>NFR-C03</t>
        </is>
      </c>
      <c r="B45" s="13" t="inlineStr">
        <is>
          <t>Compliance</t>
        </is>
      </c>
      <c r="C45" s="13" t="inlineStr">
        <is>
          <t>A Writing essay and its AI feedback are visible only to the learner who wrote it; a Writing answer in a test attempt is also visible to the EXAMINER or ADMIN who grades it. Essays are kept while the account exists and deleted 30 days after closure (Part 4.3).</t>
        </is>
      </c>
      <c r="D45" s="13" t="n"/>
      <c r="E45" s="13" t="inlineStr">
        <is>
          <t>Essays deleted 30 days after account closure</t>
        </is>
      </c>
      <c r="F45" s="13" t="n"/>
      <c r="G45" s="13" t="n"/>
      <c r="H45" s="13" t="n"/>
      <c r="I45" s="29" t="n"/>
      <c r="J45" s="13" t="n"/>
      <c r="K45" s="29" t="n"/>
      <c r="L45" s="13" t="inlineStr">
        <is>
          <t>Regulatory basis: Law on Personal Data Protection No. 91/2025/QH15. Access rules are met; deletion waits for the closure job (NFR-C01).</t>
        </is>
      </c>
    </row>
    <row r="46" ht="90" customHeight="1" s="31">
      <c r="A46" s="26" t="inlineStr">
        <is>
          <t>NFR-C04</t>
        </is>
      </c>
      <c r="B46" s="11" t="inlineStr">
        <is>
          <t>Compliance</t>
        </is>
      </c>
      <c r="C46" s="11" t="inlineStr">
        <is>
          <t>Point ledger entries, key activations, issued keys and subscriptions are kept for 5 years and never edited; a correction is a new entry.</t>
        </is>
      </c>
      <c r="D46" s="11" t="n"/>
      <c r="E46" s="11" t="inlineStr">
        <is>
          <t>Records kept 5 years</t>
        </is>
      </c>
      <c r="F46" s="11" t="n"/>
      <c r="G46" s="11" t="n"/>
      <c r="H46" s="11" t="n"/>
      <c r="I46" s="27" t="n"/>
      <c r="J46" s="11" t="n"/>
      <c r="K46" s="27" t="n"/>
      <c r="L46" s="11" t="inlineStr">
        <is>
          <t>Regulatory basis: Team policy for sales and point audit (Part 4.3). Records are never edited; the job that removes them after 5 years is not built yet.</t>
        </is>
      </c>
    </row>
    <row r="47" ht="90" customHeight="1" s="31">
      <c r="A47" s="28" t="inlineStr">
        <is>
          <t>NFR-C05</t>
        </is>
      </c>
      <c r="B47" s="13" t="inlineStr">
        <is>
          <t>Compliance</t>
        </is>
      </c>
      <c r="C47" s="13" t="inlineStr">
        <is>
          <t>Code ported from DeepTutor keeps its source and licence notice; the DeepTutor copy in third_party is never built or shipped.</t>
        </is>
      </c>
      <c r="D47" s="13" t="n"/>
      <c r="E47" s="13" t="n"/>
      <c r="F47" s="13" t="n"/>
      <c r="G47" s="13" t="n"/>
      <c r="H47" s="13" t="n"/>
      <c r="I47" s="29" t="n"/>
      <c r="J47" s="13" t="n"/>
      <c r="K47" s="29" t="n"/>
      <c r="L47" s="13" t="inlineStr">
        <is>
          <t>Regulatory basis: Apache License 2.0 (DeepTutor v1.6.9). Met in learning-service.</t>
        </is>
      </c>
    </row>
    <row r="48" ht="42" customHeight="1" s="31"/>
    <row r="49" ht="42" customHeight="1" s="31"/>
    <row r="50" ht="42" customHeight="1" s="31"/>
    <row r="51" ht="42" customHeight="1" s="31"/>
    <row r="52" ht="42" customHeight="1" s="31"/>
    <row r="53" ht="42" customHeight="1" s="31"/>
    <row r="54" ht="42" customHeight="1" s="31"/>
    <row r="55" ht="42" customHeight="1" s="31"/>
    <row r="56" ht="42" customHeight="1" s="31"/>
    <row r="57" ht="42" customHeight="1" s="31"/>
    <row r="58" ht="42" customHeight="1" s="31"/>
    <row r="59" ht="42" customHeight="1" s="31"/>
  </sheetData>
  <autoFilter ref="A3:L47"/>
  <dataValidations count="1">
    <dataValidation sqref="I4:I47" showDropDown="0" showInputMessage="0" showErrorMessage="0" allowBlank="1" type="list">
      <formula1>"Not tested,Pass,Fail,Blocked,In Progress"</formula1>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C00000"/>
    <outlinePr summaryBelow="1" summaryRight="1"/>
    <pageSetUpPr/>
  </sheetPr>
  <dimension ref="A1:K4"/>
  <sheetViews>
    <sheetView showGridLines="0" zoomScaleNormal="100" workbookViewId="0">
      <pane xSplit="2" ySplit="3" topLeftCell="C4" activePane="bottomRight" state="frozen"/>
      <selection pane="topRight" activeCell="C1" sqref="C1"/>
      <selection pane="bottomLeft" activeCell="A4" sqref="A4"/>
      <selection pane="bottomRight" activeCell="C6" sqref="A1:XFD1048576"/>
    </sheetView>
  </sheetViews>
  <sheetFormatPr baseColWidth="8" defaultColWidth="8.6640625" defaultRowHeight="14.4"/>
  <cols>
    <col width="8" customWidth="1" style="31" min="1" max="1"/>
    <col width="40" customWidth="1" style="31" min="2" max="2"/>
    <col width="20" customWidth="1" style="31" min="3" max="3"/>
    <col width="16" customWidth="1" style="31" min="4" max="4"/>
    <col width="18" customWidth="1" style="31" min="5" max="5"/>
    <col width="12" customWidth="1" style="31" min="6" max="6"/>
    <col width="10" customWidth="1" style="31" min="7" max="7"/>
    <col width="12" customWidth="1" style="31" min="8" max="8"/>
    <col width="20" customWidth="1" style="31" min="9" max="9"/>
    <col width="34" customWidth="1" style="31" min="10" max="10"/>
    <col width="14" customWidth="1" style="31" min="11" max="11"/>
  </cols>
  <sheetData>
    <row r="1" ht="17.7" customHeight="1" s="31">
      <c r="A1" s="7" t="inlineStr">
        <is>
          <t>Open Issues Log</t>
        </is>
      </c>
    </row>
    <row r="2">
      <c r="A2" s="8" t="inlineStr">
        <is>
          <t>Add a row for every unresolved question. Assign an owner — the person who must provide the answer, not the one who raised it. Set a deadline.</t>
        </is>
      </c>
    </row>
    <row r="3" ht="26.25" customHeight="1" s="31">
      <c r="A3" s="3" t="inlineStr">
        <is>
          <t>Issue ID</t>
        </is>
      </c>
      <c r="B3" s="3" t="inlineStr">
        <is>
          <t>Description</t>
        </is>
      </c>
      <c r="C3" s="3" t="inlineStr">
        <is>
          <t>Type</t>
        </is>
      </c>
      <c r="D3" s="3" t="inlineStr">
        <is>
          <t>Raised by</t>
        </is>
      </c>
      <c r="E3" s="3" t="inlineStr">
        <is>
          <t>Owner (must answer)</t>
        </is>
      </c>
      <c r="F3" s="3" t="inlineStr">
        <is>
          <t>Status</t>
        </is>
      </c>
      <c r="G3" s="3" t="inlineStr">
        <is>
          <t>Priority</t>
        </is>
      </c>
      <c r="H3" s="3" t="inlineStr">
        <is>
          <t>Deadline</t>
        </is>
      </c>
      <c r="I3" s="3" t="inlineStr">
        <is>
          <t>Affected Area</t>
        </is>
      </c>
      <c r="J3" s="3" t="inlineStr">
        <is>
          <t>Resolution / Decision</t>
        </is>
      </c>
      <c r="K3" s="3" t="inlineStr">
        <is>
          <t>Resolved Date</t>
        </is>
      </c>
    </row>
    <row r="4">
      <c r="A4" s="4" t="inlineStr">
        <is>
          <t>OI-01</t>
        </is>
      </c>
      <c r="B4" s="4" t="inlineStr">
        <is>
          <t>[Describe the unresolved question clearly]</t>
        </is>
      </c>
      <c r="C4" s="4" t="inlineStr">
        <is>
          <t>Decision Pending</t>
        </is>
      </c>
      <c r="D4" s="4" t="inlineStr">
        <is>
          <t>[Who raised]</t>
        </is>
      </c>
      <c r="E4" s="4" t="inlineStr">
        <is>
          <t>[Who must answer]</t>
        </is>
      </c>
      <c r="F4" s="4" t="inlineStr">
        <is>
          <t>Open</t>
        </is>
      </c>
      <c r="G4" s="4" t="inlineStr">
        <is>
          <t>High</t>
        </is>
      </c>
      <c r="H4" s="4" t="inlineStr">
        <is>
          <t>[Date]</t>
        </is>
      </c>
      <c r="I4" s="4" t="inlineStr">
        <is>
          <t>[FT-xx / Section]</t>
        </is>
      </c>
      <c r="J4" s="4" t="n"/>
      <c r="K4" s="4" t="n"/>
    </row>
  </sheetData>
  <dataValidations count="3">
    <dataValidation sqref="F4" showDropDown="0" showInputMessage="0" showErrorMessage="0" allowBlank="1" type="list">
      <formula1>"Open,In Progress,Resolved,Closed,Deferred"</formula1>
      <formula2>0</formula2>
    </dataValidation>
    <dataValidation sqref="G4" showDropDown="0" showInputMessage="0" showErrorMessage="0" allowBlank="1" type="list">
      <formula1>"High,Medium,Low"</formula1>
      <formula2>0</formula2>
    </dataValidation>
    <dataValidation sqref="C4" showDropDown="0" showInputMessage="0" showErrorMessage="0" allowBlank="1" type="list">
      <formula1>"Decision Pending,Requirement Gap,Scope Decision,Policy Decision,Technical Gap,Permission Decision"</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595959"/>
    <outlinePr summaryBelow="1" summaryRight="1"/>
    <pageSetUpPr/>
  </sheetPr>
  <dimension ref="A1:K4"/>
  <sheetViews>
    <sheetView showGridLines="0" zoomScaleNormal="100" workbookViewId="0">
      <pane xSplit="5" ySplit="3" topLeftCell="F4" activePane="bottomRight" state="frozen"/>
      <selection pane="topRight" activeCell="F1" sqref="F1"/>
      <selection pane="bottomLeft" activeCell="A4" sqref="A4"/>
      <selection pane="bottomRight" activeCell="F4" sqref="F4"/>
    </sheetView>
  </sheetViews>
  <sheetFormatPr baseColWidth="8" defaultColWidth="8.6640625" defaultRowHeight="14.4"/>
  <cols>
    <col width="10" customWidth="1" style="31" min="1" max="3"/>
    <col width="13.88671875" customWidth="1" style="31" min="4" max="4"/>
    <col width="40" customWidth="1" style="31" min="5" max="5"/>
    <col width="26" customWidth="1" style="31" min="6" max="6"/>
    <col width="30" customWidth="1" style="31" min="7" max="7"/>
    <col width="22" customWidth="1" style="31" min="8" max="8"/>
    <col width="16" customWidth="1" style="31" min="9" max="10"/>
    <col width="14" customWidth="1" style="31" min="11" max="11"/>
  </cols>
  <sheetData>
    <row r="1" ht="17.7" customHeight="1" s="31">
      <c r="A1" s="7" t="inlineStr">
        <is>
          <t>Requirements Change Log</t>
        </is>
      </c>
    </row>
    <row r="2">
      <c r="A2" s="8" t="inlineStr">
        <is>
          <t>Add a row for every change after the first approved baseline. Include the specific section affected, the reason, and who approved the change.</t>
        </is>
      </c>
    </row>
    <row r="3">
      <c r="A3" s="3" t="inlineStr">
        <is>
          <t>Change ID</t>
        </is>
      </c>
      <c r="B3" s="3" t="inlineStr">
        <is>
          <t>Date</t>
        </is>
      </c>
      <c r="C3" s="3" t="inlineStr">
        <is>
          <t>Version</t>
        </is>
      </c>
      <c r="D3" s="3" t="inlineStr">
        <is>
          <t>Change Type</t>
        </is>
      </c>
      <c r="E3" s="3" t="inlineStr">
        <is>
          <t>Change Description</t>
        </is>
      </c>
      <c r="F3" s="3" t="inlineStr">
        <is>
          <t>Section / Feature Affected</t>
        </is>
      </c>
      <c r="G3" s="3" t="inlineStr">
        <is>
          <t>Reason / Justification</t>
        </is>
      </c>
      <c r="H3" s="3" t="inlineStr">
        <is>
          <t>Impact Assessment</t>
        </is>
      </c>
      <c r="I3" s="3" t="inlineStr">
        <is>
          <t>Changed by</t>
        </is>
      </c>
      <c r="J3" s="3" t="inlineStr">
        <is>
          <t>Approved by</t>
        </is>
      </c>
      <c r="K3" s="3" t="inlineStr">
        <is>
          <t>Approval Date</t>
        </is>
      </c>
    </row>
    <row r="4">
      <c r="A4" s="4" t="inlineStr">
        <is>
          <t>CHG-001</t>
        </is>
      </c>
      <c r="B4" s="4" t="inlineStr">
        <is>
          <t>[Date]</t>
        </is>
      </c>
      <c r="C4" s="4" t="inlineStr">
        <is>
          <t>v1.0.0</t>
        </is>
      </c>
      <c r="D4" s="6" t="inlineStr">
        <is>
          <t>Initial baseline</t>
        </is>
      </c>
      <c r="E4" s="4" t="inlineStr">
        <is>
          <t>Document created and baselined</t>
        </is>
      </c>
      <c r="F4" s="4" t="inlineStr">
        <is>
          <t>All</t>
        </is>
      </c>
      <c r="G4" s="4" t="inlineStr">
        <is>
          <t>Project kick-off</t>
        </is>
      </c>
      <c r="H4" s="4" t="inlineStr">
        <is>
          <t>—</t>
        </is>
      </c>
      <c r="I4" s="4" t="inlineStr">
        <is>
          <t>[BA Name]</t>
        </is>
      </c>
      <c r="J4" s="4" t="inlineStr">
        <is>
          <t>[PM Name]</t>
        </is>
      </c>
      <c r="K4" s="4" t="inlineStr">
        <is>
          <t>[Date]</t>
        </is>
      </c>
    </row>
  </sheetData>
  <dataValidations count="1">
    <dataValidation sqref="D4" showDropDown="0" showInputMessage="0" showErrorMessage="0" allowBlank="1" type="list">
      <formula1>"Initial baseline,Addition,Removal,Clarification,Scope change,Priority change,Correction"</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2026-05-17T23:45:53Z</dcterms:created>
  <dcterms:modified xmlns:dcterms="http://purl.org/dc/terms/" xmlns:xsi="http://www.w3.org/2001/XMLSchema-instance" xsi:type="dcterms:W3CDTF">2026-10-09T09:23:12Z</dcterms:modified>
  <cp:lastModifiedBy>Đình Phú</cp:lastModifiedBy>
  <cp:revision>0</cp:revision>
</cp:coreProperties>
</file>

<file path=docProps/custom.xml><?xml version="1.0" encoding="utf-8"?>
<Properties xmlns="http://schemas.openxmlformats.org/officeDocument/2006/custom-properties">
  <property name="MSIP_Label_defa4170-0d19-0005-0004-bc88714345d2_Enabled" fmtid="{D5CDD505-2E9C-101B-9397-08002B2CF9AE}" pid="2">
    <vt:lpwstr xmlns:vt="http://schemas.openxmlformats.org/officeDocument/2006/docPropsVTypes">true</vt:lpwstr>
  </property>
  <property name="MSIP_Label_defa4170-0d19-0005-0004-bc88714345d2_SetDate" fmtid="{D5CDD505-2E9C-101B-9397-08002B2CF9AE}" pid="3">
    <vt:lpwstr xmlns:vt="http://schemas.openxmlformats.org/officeDocument/2006/docPropsVTypes">2026-10-05T08:03:17Z</vt:lpwstr>
  </property>
  <property name="MSIP_Label_defa4170-0d19-0005-0004-bc88714345d2_Method" fmtid="{D5CDD505-2E9C-101B-9397-08002B2CF9AE}" pid="4">
    <vt:lpwstr xmlns:vt="http://schemas.openxmlformats.org/officeDocument/2006/docPropsVTypes">Standard</vt:lpwstr>
  </property>
  <property name="MSIP_Label_defa4170-0d19-0005-0004-bc88714345d2_Name" fmtid="{D5CDD505-2E9C-101B-9397-08002B2CF9AE}" pid="5">
    <vt:lpwstr xmlns:vt="http://schemas.openxmlformats.org/officeDocument/2006/docPropsVTypes">defa4170-0d19-0005-0004-bc88714345d2</vt:lpwstr>
  </property>
  <property name="MSIP_Label_defa4170-0d19-0005-0004-bc88714345d2_SiteId" fmtid="{D5CDD505-2E9C-101B-9397-08002B2CF9AE}" pid="6">
    <vt:lpwstr xmlns:vt="http://schemas.openxmlformats.org/officeDocument/2006/docPropsVTypes">b064fb64-d2fb-4050-a39b-0c1a871ae23a</vt:lpwstr>
  </property>
  <property name="MSIP_Label_defa4170-0d19-0005-0004-bc88714345d2_ActionId" fmtid="{D5CDD505-2E9C-101B-9397-08002B2CF9AE}" pid="7">
    <vt:lpwstr xmlns:vt="http://schemas.openxmlformats.org/officeDocument/2006/docPropsVTypes">a764579b-cb3e-4f52-b18a-c34c1be0ab42</vt:lpwstr>
  </property>
  <property name="MSIP_Label_defa4170-0d19-0005-0004-bc88714345d2_ContentBits" fmtid="{D5CDD505-2E9C-101B-9397-08002B2CF9AE}" pid="8">
    <vt:lpwstr xmlns:vt="http://schemas.openxmlformats.org/officeDocument/2006/docPropsVTypes">0</vt:lpwstr>
  </property>
  <property name="MSIP_Label_defa4170-0d19-0005-0004-bc88714345d2_Tag" fmtid="{D5CDD505-2E9C-101B-9397-08002B2CF9AE}" pid="9">
    <vt:lpwstr xmlns:vt="http://schemas.openxmlformats.org/officeDocument/2006/docPropsVTypes">10, 3, 0, 1</vt:lpwstr>
  </property>
</Properties>
</file>