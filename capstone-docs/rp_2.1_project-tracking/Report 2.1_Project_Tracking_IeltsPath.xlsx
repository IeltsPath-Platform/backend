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/>
  <mc:AlternateContent xmlns:mc="http://schemas.openxmlformats.org/markup-compatibility/2006">
    <mc:Choice Requires="x15">
      <x15ac:absPath xmlns:x15ac="http://schemas.microsoft.com/office/spreadsheetml/2010/11/ac" url="F:\My Drive\FU26.2SU\5_KLTN-SU26\Templates\wip\"/>
    </mc:Choice>
  </mc:AlternateContent>
  <xr:revisionPtr revIDLastSave="161" documentId="13_ncr:1_{A45D8C30-2406-4BDB-95AE-2EE842883721}" xr6:coauthVersionLast="47" xr6:coauthVersionMax="47" xr10:uidLastSave="{36DF513E-3739-4898-BADC-63DED2589524}"/>
  <bookViews>
    <workbookView xWindow="-98" yWindow="-98" windowWidth="19396" windowHeight="11596" tabRatio="687" firstSheet="2" activeTab="1" xr2:uid="{00000000-000D-0000-FFFF-FFFF00000000}"/>
  </bookViews>
  <sheets>
    <sheet name="Dashboard" sheetId="1" r:id="rId1"/>
    <sheet name="Scope" sheetId="2" r:id="rId2"/>
    <sheet name="WBS" sheetId="3" r:id="rId3"/>
    <sheet name="Q&amp;A" sheetId="4" r:id="rId4"/>
    <sheet name="TimeLogs" sheetId="5" r:id="rId5"/>
    <sheet name="Defects" sheetId="6" r:id="rId6"/>
    <sheet name="Issues" sheetId="7" r:id="rId7"/>
    <sheet name="Risks" sheetId="8" r:id="rId8"/>
    <sheet name="ChangeLog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2" l="1"/>
  <c r="B5" i="1"/>
  <c r="F5" i="1"/>
  <c r="G5" i="1"/>
  <c r="B49" i="5"/>
  <c r="B48" i="5"/>
  <c r="B47" i="5"/>
  <c r="B46" i="5"/>
  <c r="B45" i="5"/>
  <c r="B44" i="5"/>
  <c r="B43" i="5"/>
  <c r="B42" i="5"/>
  <c r="B41" i="5"/>
  <c r="F44" i="2"/>
  <c r="F43" i="2"/>
  <c r="F41" i="2"/>
  <c r="F40" i="2"/>
  <c r="F39" i="2"/>
  <c r="F38" i="2"/>
  <c r="F36" i="2"/>
  <c r="F35" i="2"/>
  <c r="F34" i="2"/>
  <c r="F33" i="2"/>
  <c r="F32" i="2"/>
  <c r="F31" i="2"/>
  <c r="F29" i="2"/>
  <c r="F28" i="2"/>
  <c r="F27" i="2"/>
  <c r="F26" i="2"/>
  <c r="F25" i="2"/>
  <c r="F24" i="2"/>
  <c r="F22" i="2"/>
  <c r="F21" i="2"/>
  <c r="F20" i="2"/>
  <c r="F19" i="2"/>
  <c r="F18" i="2"/>
  <c r="F17" i="2"/>
  <c r="F13" i="2"/>
  <c r="F15" i="2"/>
  <c r="F14" i="2"/>
  <c r="F12" i="2"/>
  <c r="F8" i="2"/>
  <c r="F10" i="2"/>
  <c r="F9" i="2"/>
  <c r="F24" i="1"/>
  <c r="E24" i="1"/>
  <c r="D24" i="1"/>
  <c r="C24" i="1"/>
  <c r="F23" i="1"/>
  <c r="E23" i="1"/>
  <c r="D23" i="1"/>
  <c r="C23" i="1"/>
  <c r="F22" i="1"/>
  <c r="E22" i="1"/>
  <c r="D22" i="1"/>
  <c r="C22" i="1"/>
  <c r="E8" i="1"/>
  <c r="D8" i="1"/>
  <c r="C8" i="1"/>
  <c r="B8" i="1"/>
  <c r="C5" i="1" l="1"/>
  <c r="D5" i="1"/>
  <c r="E5" i="1"/>
</calcChain>
</file>

<file path=xl/sharedStrings.xml><?xml version="1.0" encoding="utf-8"?>
<sst xmlns="http://schemas.openxmlformats.org/spreadsheetml/2006/main" count="949" uniqueCount="460">
  <si>
    <t>[Project Name] — Project Tracking Dashboard</t>
  </si>
  <si>
    <t>Auto-summary from all tracking sheets  ·  Update data in individual sheets</t>
  </si>
  <si>
    <t>Total Deliverables</t>
  </si>
  <si>
    <t>Done / Closed</t>
  </si>
  <si>
    <t>In Progress</t>
  </si>
  <si>
    <t>Not Started</t>
  </si>
  <si>
    <t>Open Issues</t>
  </si>
  <si>
    <t>Open Defects</t>
  </si>
  <si>
    <t>Unanswered Q&amp;As</t>
  </si>
  <si>
    <t>High/Critical Risks</t>
  </si>
  <si>
    <t>Scope Milestone Status</t>
  </si>
  <si>
    <t>Stage</t>
  </si>
  <si>
    <t>Key Deliverable</t>
  </si>
  <si>
    <t>Deadline</t>
  </si>
  <si>
    <t>In Charge</t>
  </si>
  <si>
    <t>Status</t>
  </si>
  <si>
    <t>Stage 1</t>
  </si>
  <si>
    <t>Report 1 (Project Introduction)</t>
  </si>
  <si>
    <t>Week 1</t>
  </si>
  <si>
    <t>Stage 2</t>
  </si>
  <si>
    <t>SRS v0.9 + Project Management Plan</t>
  </si>
  <si>
    <t>Week 3</t>
  </si>
  <si>
    <t>Stage 3</t>
  </si>
  <si>
    <t>SDS v1.0 + Test Planning</t>
  </si>
  <si>
    <t>Week 5</t>
  </si>
  <si>
    <t>Stage 4</t>
  </si>
  <si>
    <t>Implementation Iterations 1–3</t>
  </si>
  <si>
    <t>Week 11</t>
  </si>
  <si>
    <t>Stage 5</t>
  </si>
  <si>
    <t>System Test Report + User Guides + UAT</t>
  </si>
  <si>
    <t>Week 13</t>
  </si>
  <si>
    <t>Stage 6</t>
  </si>
  <si>
    <t>Final Report + Presentation</t>
  </si>
  <si>
    <t>Week 14</t>
  </si>
  <si>
    <t>WBS by Iteration</t>
  </si>
  <si>
    <t>Iteration</t>
  </si>
  <si>
    <t>Planned Functions</t>
  </si>
  <si>
    <t>Est. Effort (pts)</t>
  </si>
  <si>
    <t>Done</t>
  </si>
  <si>
    <t>% Complete</t>
  </si>
  <si>
    <t>Iteration 1</t>
  </si>
  <si>
    <t>Iteration 2</t>
  </si>
  <si>
    <t>Iteration 3</t>
  </si>
  <si>
    <t>Last updated: [DD/MM/YYYY]  |  Project: [Project Name]  |  PM: [Name]</t>
  </si>
  <si>
    <t>Scope — Project Deliverables &amp; Milestones</t>
  </si>
  <si>
    <t>Track all deliverables by stage  ·  Update Status and Actual Effort each week  ·  % Complete auto-calculated</t>
  </si>
  <si>
    <t>#</t>
  </si>
  <si>
    <t>Work Package / Deliverable</t>
  </si>
  <si>
    <t>Est. Effort (pds)</t>
  </si>
  <si>
    <t>Actual Effort (pds)</t>
  </si>
  <si>
    <t>Dependency</t>
  </si>
  <si>
    <t>Approved By</t>
  </si>
  <si>
    <t>Notes</t>
  </si>
  <si>
    <t xml:space="preserve">  Stage 1: Project Initiating (Week 1)</t>
  </si>
  <si>
    <t>1.1</t>
  </si>
  <si>
    <t>Report 1 — Project Introduction</t>
  </si>
  <si>
    <t>PhuPD</t>
  </si>
  <si>
    <t>Lecturer</t>
  </si>
  <si>
    <t xml:space="preserve">  Stage 2: Project Planning &amp; Initial Requirements (Weeks 2–3)</t>
  </si>
  <si>
    <t>2.1</t>
  </si>
  <si>
    <t>Report 2 — Project Management Plan v1.0</t>
  </si>
  <si>
    <t>PhuPD, HieuLT, TungVPH</t>
  </si>
  <si>
    <t>Week 2</t>
  </si>
  <si>
    <t>1.1, 2.1</t>
  </si>
  <si>
    <t>Planning, roles, timeline, risk, communication, tracking</t>
  </si>
  <si>
    <t>2.2</t>
  </si>
  <si>
    <t>Report 3 — SRS v0.9 (Overall Requirements)</t>
  </si>
  <si>
    <t>All team</t>
  </si>
  <si>
    <t>Scope, actors, functional requirements finalized</t>
  </si>
  <si>
    <t>2.3</t>
  </si>
  <si>
    <t>Vertical Prototypes (Code Demo)</t>
  </si>
  <si>
    <t>BE + FE</t>
  </si>
  <si>
    <t>Demonstrate a small end-to-end flow to prove the stack works.</t>
  </si>
  <si>
    <t xml:space="preserve">  Stage 3: Software Design (Weeks 4–5)</t>
  </si>
  <si>
    <t>3.1</t>
  </si>
  <si>
    <t>Vertical Prototypes (POC / Proof of Concepts)</t>
  </si>
  <si>
    <t>Week 4</t>
  </si>
  <si>
    <t>Develop a Proof of Concept (POC) for technical components that involve risk or uncertainty.</t>
  </si>
  <si>
    <t>3.2</t>
  </si>
  <si>
    <t>Report 3 — SRS v1.0 (Detailed — Iteration 1)</t>
  </si>
  <si>
    <t>2.1, 3.2</t>
  </si>
  <si>
    <t>Detailed requirements for features to be implemented in Iteration 1</t>
  </si>
  <si>
    <t>3.3</t>
  </si>
  <si>
    <t>Report 4 — SDS v1.0 (High Level Design)</t>
  </si>
  <si>
    <t>2.1, 2.2</t>
  </si>
  <si>
    <t>Architecture, service/module, DB high-level, API/interface, deployment overview</t>
  </si>
  <si>
    <t>3.4</t>
  </si>
  <si>
    <t>Report 5 — Test Planning</t>
  </si>
  <si>
    <t>Test strategy, test types, environment, entry/exit criteria, responsibilities</t>
  </si>
  <si>
    <t xml:space="preserve">  Stage 4a: Implementation — Iteration 1 (Weeks 6–7)</t>
  </si>
  <si>
    <t>4.1.1</t>
  </si>
  <si>
    <t>Report 4 — SDS v1.1 (Detailed Design)</t>
  </si>
  <si>
    <t>Week 6</t>
  </si>
  <si>
    <t>4.1.2</t>
  </si>
  <si>
    <t>Code Package &amp; Unit Testing Report — Iteration 1</t>
  </si>
  <si>
    <t>4.1.3</t>
  </si>
  <si>
    <t>Report 5 — Integration Test Cases — Iteration 1</t>
  </si>
  <si>
    <t>4.1.4</t>
  </si>
  <si>
    <t>Report 5 — Integration Test Report — Iteration 1</t>
  </si>
  <si>
    <t>Week 7</t>
  </si>
  <si>
    <t>4.1.5</t>
  </si>
  <si>
    <t>Report 3 — SRS v1.1 (Detailed — Iteration 2)</t>
  </si>
  <si>
    <t>4.1.6</t>
  </si>
  <si>
    <t>Software Package Version 1</t>
  </si>
  <si>
    <t xml:space="preserve">  Stage 4b: Implementation — Iteration 2 (Weeks 8–9)</t>
  </si>
  <si>
    <t>4.2.1</t>
  </si>
  <si>
    <t>Report 4 — SDS v1.2</t>
  </si>
  <si>
    <t>Week 8</t>
  </si>
  <si>
    <t>4.2.2</t>
  </si>
  <si>
    <t>Code Package &amp; Unit Testing Report — Iteration 2</t>
  </si>
  <si>
    <t>4.2.3</t>
  </si>
  <si>
    <t>Report 5 — Integration Test Cases — Iteration 2</t>
  </si>
  <si>
    <t>4.2.4</t>
  </si>
  <si>
    <t>Report 5 — Integration Test Report — Iteration 2</t>
  </si>
  <si>
    <t>Week 9</t>
  </si>
  <si>
    <t>4.2.5</t>
  </si>
  <si>
    <t>Report 3 — SRS v1.2 (Detailed — Iteration 3)</t>
  </si>
  <si>
    <t>4.2.6</t>
  </si>
  <si>
    <t>Software Package Version 2</t>
  </si>
  <si>
    <t xml:space="preserve">  Stage 4c: Implementation — Iteration 3 (Weeks 10–11)</t>
  </si>
  <si>
    <t>4.3.1</t>
  </si>
  <si>
    <t>Report 4 — SDS v1.3</t>
  </si>
  <si>
    <t>Week 10</t>
  </si>
  <si>
    <t>4.3.2</t>
  </si>
  <si>
    <t>Code Package &amp; Unit Testing Report — Iteration 3</t>
  </si>
  <si>
    <t>4.3.3</t>
  </si>
  <si>
    <t>Report 5 — Integration Test Cases — Iteration 3</t>
  </si>
  <si>
    <t>4.3.4</t>
  </si>
  <si>
    <t>Report 5 — Integration Test Report — Iteration 3</t>
  </si>
  <si>
    <t>4.3.5</t>
  </si>
  <si>
    <t>Report 5 — System Test Cases</t>
  </si>
  <si>
    <t>4.3.6</t>
  </si>
  <si>
    <t>Software Package Version 3</t>
  </si>
  <si>
    <t xml:space="preserve">  Stage 5: Verification &amp; Validation (Weeks 12–13)</t>
  </si>
  <si>
    <t>5.1</t>
  </si>
  <si>
    <t>Report 5 — System Test Report</t>
  </si>
  <si>
    <t>Week 12</t>
  </si>
  <si>
    <t>5.2</t>
  </si>
  <si>
    <t>Report 6 — User Guides (Installation + User Manuals)</t>
  </si>
  <si>
    <t>5.3</t>
  </si>
  <si>
    <t>Acceptance Test and Support</t>
  </si>
  <si>
    <t>5.4</t>
  </si>
  <si>
    <t>Final Software Package (Docs + Source Codes)</t>
  </si>
  <si>
    <t xml:space="preserve">  Stage 6: Closing (Week 14)</t>
  </si>
  <si>
    <t>6.1</t>
  </si>
  <si>
    <t>Report 7 — Final Project Report</t>
  </si>
  <si>
    <t>6.2</t>
  </si>
  <si>
    <t>Presentation File</t>
  </si>
  <si>
    <t>WBS — Work Breakdown Structure (Function / Screen Level)</t>
  </si>
  <si>
    <t>Complexity: Simple (≤7 fields / ≤3 tx)  ·  Medium (≤15 / ≤7)  ·  Complex (&gt;15 / &gt;7)  ·  Effort: Simple=3 / Medium=5 / Complex=8 pts (default)</t>
  </si>
  <si>
    <t>Function / Screen</t>
  </si>
  <si>
    <t>Type</t>
  </si>
  <si>
    <t>Feature Group</t>
  </si>
  <si>
    <t>Sub-Feature</t>
  </si>
  <si>
    <t>Description</t>
  </si>
  <si>
    <t>Complexity</t>
  </si>
  <si>
    <t>Planned Iteration</t>
  </si>
  <si>
    <t>Actual Effort (pts)</t>
  </si>
  <si>
    <t>Home Page</t>
  </si>
  <si>
    <t>Non-UI</t>
  </si>
  <si>
    <t>Common</t>
  </si>
  <si>
    <t>Landing page / entry point</t>
  </si>
  <si>
    <t>Medium</t>
  </si>
  <si>
    <t>User Login</t>
  </si>
  <si>
    <t>Screen</t>
  </si>
  <si>
    <t>Email + password login with JWT</t>
  </si>
  <si>
    <t>Simple</t>
  </si>
  <si>
    <t>User Register</t>
  </si>
  <si>
    <t>New account registration form</t>
  </si>
  <si>
    <t>Reset Password</t>
  </si>
  <si>
    <t>Email OTP-based password reset flow</t>
  </si>
  <si>
    <t>User Authorization</t>
  </si>
  <si>
    <t>Role-based access control (RBAC)</t>
  </si>
  <si>
    <t>Complex</t>
  </si>
  <si>
    <t>User Profile</t>
  </si>
  <si>
    <t>View and edit user profile</t>
  </si>
  <si>
    <t>Change Password</t>
  </si>
  <si>
    <t>Change password from profile</t>
  </si>
  <si>
    <t>Blog List</t>
  </si>
  <si>
    <t>Public</t>
  </si>
  <si>
    <t>Paginated public blog listing</t>
  </si>
  <si>
    <t>Blog Details</t>
  </si>
  <si>
    <t>Single blog post view with comments</t>
  </si>
  <si>
    <t>Post List</t>
  </si>
  <si>
    <t>Marketing</t>
  </si>
  <si>
    <t>Marketing posts listing with filters</t>
  </si>
  <si>
    <t>Post Details</t>
  </si>
  <si>
    <t>Single marketing post detail view</t>
  </si>
  <si>
    <t>Users List</t>
  </si>
  <si>
    <t>System Admin</t>
  </si>
  <si>
    <t>Admin: list + search all users</t>
  </si>
  <si>
    <t>User Details</t>
  </si>
  <si>
    <t>Admin: view + edit single user record</t>
  </si>
  <si>
    <t>Iteration Summary</t>
  </si>
  <si>
    <t>Grand Total</t>
  </si>
  <si>
    <t>Q&amp;A — Project Questions &amp; Answers Log</t>
  </si>
  <si>
    <t>Log ALL questions — technical, business, process  ·  Track from Open → Answered → Closed  ·  Never delete a row</t>
  </si>
  <si>
    <t>Date</t>
  </si>
  <si>
    <t>Question</t>
  </si>
  <si>
    <t>Raised By</t>
  </si>
  <si>
    <t>Directed To</t>
  </si>
  <si>
    <t>Priority</t>
  </si>
  <si>
    <t>Due Date</t>
  </si>
  <si>
    <t>Answer / Resolution</t>
  </si>
  <si>
    <t>Answered By</t>
  </si>
  <si>
    <t>Answered Date</t>
  </si>
  <si>
    <t>Q-001</t>
  </si>
  <si>
    <t>2024-01-08</t>
  </si>
  <si>
    <t>[Describe the question clearly — what needs clarification?]</t>
  </si>
  <si>
    <t>KienNT</t>
  </si>
  <si>
    <t>[Assignee/Stakeholder]</t>
  </si>
  <si>
    <t>2024-01-15</t>
  </si>
  <si>
    <t>[Answer provided here]</t>
  </si>
  <si>
    <t>Open</t>
  </si>
  <si>
    <t>Q-002</t>
  </si>
  <si>
    <t>Q-003</t>
  </si>
  <si>
    <t>Q-004</t>
  </si>
  <si>
    <t>Q-005</t>
  </si>
  <si>
    <t>Q-006</t>
  </si>
  <si>
    <t>Q-007</t>
  </si>
  <si>
    <t>Q-008</t>
  </si>
  <si>
    <t>Q-009</t>
  </si>
  <si>
    <t>Q-010</t>
  </si>
  <si>
    <t>Q-011</t>
  </si>
  <si>
    <t>Q-012</t>
  </si>
  <si>
    <t>Q-013</t>
  </si>
  <si>
    <t>Q-014</t>
  </si>
  <si>
    <t>Q-015</t>
  </si>
  <si>
    <t>Q-016</t>
  </si>
  <si>
    <t>Q-017</t>
  </si>
  <si>
    <t>Q-018</t>
  </si>
  <si>
    <t>Q-019</t>
  </si>
  <si>
    <t>Q-020</t>
  </si>
  <si>
    <t>TimeLogs — Project Timesheets</t>
  </si>
  <si>
    <t>Log time daily  ·  Link every entry to a WBS Ref  ·  Approved by PM  ·  # Hours must be filled — leave no blank</t>
  </si>
  <si>
    <t>Reporter</t>
  </si>
  <si>
    <t>WBS Ref</t>
  </si>
  <si>
    <t>Task Description</t>
  </si>
  <si>
    <t>Activity</t>
  </si>
  <si>
    <t># Hours</t>
  </si>
  <si>
    <t>Product / Work Product</t>
  </si>
  <si>
    <t>Updated</t>
  </si>
  <si>
    <t>TL-001</t>
  </si>
  <si>
    <t>2024-10-13</t>
  </si>
  <si>
    <t>WBS-1</t>
  </si>
  <si>
    <t>Set up project repository and CI pipeline</t>
  </si>
  <si>
    <t>Coding</t>
  </si>
  <si>
    <t>Newly-Created</t>
  </si>
  <si>
    <t>Software Package</t>
  </si>
  <si>
    <t>Submitted</t>
  </si>
  <si>
    <t>2024-10-26</t>
  </si>
  <si>
    <t>TL-002</t>
  </si>
  <si>
    <t>WBS-2</t>
  </si>
  <si>
    <t>Implement user login API with JWT</t>
  </si>
  <si>
    <t>TL-003</t>
  </si>
  <si>
    <t>TL-004</t>
  </si>
  <si>
    <t>TL-005</t>
  </si>
  <si>
    <t>TL-006</t>
  </si>
  <si>
    <t>TL-007</t>
  </si>
  <si>
    <t>TL-008</t>
  </si>
  <si>
    <t>TL-009</t>
  </si>
  <si>
    <t>TL-010</t>
  </si>
  <si>
    <t>TL-011</t>
  </si>
  <si>
    <t>TL-012</t>
  </si>
  <si>
    <t>TL-013</t>
  </si>
  <si>
    <t>TL-014</t>
  </si>
  <si>
    <t>TL-015</t>
  </si>
  <si>
    <t>TL-016</t>
  </si>
  <si>
    <t>TL-017</t>
  </si>
  <si>
    <t>TL-018</t>
  </si>
  <si>
    <t>TL-019</t>
  </si>
  <si>
    <t>TL-020</t>
  </si>
  <si>
    <t>TL-021</t>
  </si>
  <si>
    <t>TL-022</t>
  </si>
  <si>
    <t>TL-023</t>
  </si>
  <si>
    <t>TL-024</t>
  </si>
  <si>
    <t>TL-025</t>
  </si>
  <si>
    <t>TL-026</t>
  </si>
  <si>
    <t>TL-027</t>
  </si>
  <si>
    <t>TL-028</t>
  </si>
  <si>
    <t>TL-029</t>
  </si>
  <si>
    <t>TL-030</t>
  </si>
  <si>
    <t>TL-031</t>
  </si>
  <si>
    <t>Hours Summary</t>
  </si>
  <si>
    <t>Total Hours</t>
  </si>
  <si>
    <t>Training</t>
  </si>
  <si>
    <t>Analyzing</t>
  </si>
  <si>
    <t>Designing</t>
  </si>
  <si>
    <t>Testing</t>
  </si>
  <si>
    <t>Reviewing</t>
  </si>
  <si>
    <t>Deploying</t>
  </si>
  <si>
    <t>Meeting</t>
  </si>
  <si>
    <t>Defects — Bug &amp; Defect Tracking Log</t>
  </si>
  <si>
    <t>Log ALL defects found in any review or test  ·  Severity: Critical / High / Medium / Low  ·  Status: Pending → Open → Fixed → Closed</t>
  </si>
  <si>
    <t>Date Found</t>
  </si>
  <si>
    <t>Defect Description</t>
  </si>
  <si>
    <t>Steps to Reproduce</t>
  </si>
  <si>
    <t>Expected Result</t>
  </si>
  <si>
    <t>Actual Result</t>
  </si>
  <si>
    <t>Severity</t>
  </si>
  <si>
    <t>Product</t>
  </si>
  <si>
    <t>Product Details</t>
  </si>
  <si>
    <t>Assigned By</t>
  </si>
  <si>
    <t>Assigned To</t>
  </si>
  <si>
    <t>Fixed Date</t>
  </si>
  <si>
    <t>Fixed In Version</t>
  </si>
  <si>
    <t>D-001</t>
  </si>
  <si>
    <t>[Describe the defect clearly]</t>
  </si>
  <si>
    <t>[Step 1: ...
Step 2: ...]</t>
  </si>
  <si>
    <t>[What should happen]</t>
  </si>
  <si>
    <t>[What actually happened]</t>
  </si>
  <si>
    <t>Review</t>
  </si>
  <si>
    <t>[Assignee]</t>
  </si>
  <si>
    <t>Pending</t>
  </si>
  <si>
    <t>D-002</t>
  </si>
  <si>
    <t>D-003</t>
  </si>
  <si>
    <t>D-004</t>
  </si>
  <si>
    <t>D-005</t>
  </si>
  <si>
    <t>D-006</t>
  </si>
  <si>
    <t>D-007</t>
  </si>
  <si>
    <t>D-008</t>
  </si>
  <si>
    <t>D-009</t>
  </si>
  <si>
    <t>D-010</t>
  </si>
  <si>
    <t>D-011</t>
  </si>
  <si>
    <t>D-012</t>
  </si>
  <si>
    <t>D-013</t>
  </si>
  <si>
    <t>D-014</t>
  </si>
  <si>
    <t>D-015</t>
  </si>
  <si>
    <t>D-016</t>
  </si>
  <si>
    <t>D-017</t>
  </si>
  <si>
    <t>D-018</t>
  </si>
  <si>
    <t>D-019</t>
  </si>
  <si>
    <t>D-020</t>
  </si>
  <si>
    <t>D-021</t>
  </si>
  <si>
    <t>D-022</t>
  </si>
  <si>
    <t>D-023</t>
  </si>
  <si>
    <t>D-024</t>
  </si>
  <si>
    <t>D-025</t>
  </si>
  <si>
    <t>D-026</t>
  </si>
  <si>
    <t>D-027</t>
  </si>
  <si>
    <t>D-028</t>
  </si>
  <si>
    <t>D-029</t>
  </si>
  <si>
    <t>D-030</t>
  </si>
  <si>
    <t>Issues — Project Issues &amp; Risk Events Log</t>
  </si>
  <si>
    <t>Issues = problems that have already occurred  ·  Risks = problems that might occur (see Risks sheet)  ·  Category: Technical / Process / Resource / Scope / External</t>
  </si>
  <si>
    <t>Issue Description</t>
  </si>
  <si>
    <t>Category</t>
  </si>
  <si>
    <t>Impact (Scope / Effort / Timeline)</t>
  </si>
  <si>
    <t>Owner</t>
  </si>
  <si>
    <t>Resolution</t>
  </si>
  <si>
    <t>Closed Date</t>
  </si>
  <si>
    <t>I-001</t>
  </si>
  <si>
    <t>[Describe the issue — what happened and what is the impact?]</t>
  </si>
  <si>
    <t>Technical</t>
  </si>
  <si>
    <t>[Impact on scope / effort / timeline — e.g. delays Iteration 2 by 3 days]</t>
  </si>
  <si>
    <t>HuyNMG</t>
  </si>
  <si>
    <t>[Resolution steps taken or planned]</t>
  </si>
  <si>
    <t>I-002</t>
  </si>
  <si>
    <t>I-003</t>
  </si>
  <si>
    <t>I-004</t>
  </si>
  <si>
    <t>I-005</t>
  </si>
  <si>
    <t>I-006</t>
  </si>
  <si>
    <t>I-007</t>
  </si>
  <si>
    <t>I-008</t>
  </si>
  <si>
    <t>I-009</t>
  </si>
  <si>
    <t>I-010</t>
  </si>
  <si>
    <t>I-011</t>
  </si>
  <si>
    <t>I-012</t>
  </si>
  <si>
    <t>I-013</t>
  </si>
  <si>
    <t>I-014</t>
  </si>
  <si>
    <t>I-015</t>
  </si>
  <si>
    <t>I-016</t>
  </si>
  <si>
    <t>I-017</t>
  </si>
  <si>
    <t>I-018</t>
  </si>
  <si>
    <t>I-019</t>
  </si>
  <si>
    <t>I-020</t>
  </si>
  <si>
    <t>Risks — Risk Register &amp; Mitigation Tracking</t>
  </si>
  <si>
    <t>Probability: High(3) / Medium(2) / Low(1)  ·  Impact: High(3) / Medium(2) / Low(1)  ·  Risk Score = P × I  ·  Score ≥ 6 = Critical; 4-5 = High; 2-3 = Medium; 1 = Low</t>
  </si>
  <si>
    <t>Risk Description</t>
  </si>
  <si>
    <t>Probability</t>
  </si>
  <si>
    <t>Impact</t>
  </si>
  <si>
    <t>Risk Score (P×I)</t>
  </si>
  <si>
    <t>Mitigation Plan</t>
  </si>
  <si>
    <t>Contingency Plan</t>
  </si>
  <si>
    <t>R-001</t>
  </si>
  <si>
    <t>Channel API approval (Facebook/Zalo app review) delayed — dev cannot test real channel integration</t>
  </si>
  <si>
    <t>External</t>
  </si>
  <si>
    <t>High</t>
  </si>
  <si>
    <t>Start approval process in Week 1; use mock/test accounts during development</t>
  </si>
  <si>
    <t>Continue with mock channels; adjust timeline for Iteration 2</t>
  </si>
  <si>
    <t>PM</t>
  </si>
  <si>
    <t>R-002</t>
  </si>
  <si>
    <t>Key team member unavailable (illness, withdrawal) mid-project</t>
  </si>
  <si>
    <t>Resource</t>
  </si>
  <si>
    <t>Low</t>
  </si>
  <si>
    <t>Cross-train all members on critical modules; maintain shared knowledge base</t>
  </si>
  <si>
    <t>Reassign tasks; PM escalates to instructor if unresolvable</t>
  </si>
  <si>
    <t>R-003</t>
  </si>
  <si>
    <t>Requirements change after SRS v1.0 is approved (scope creep)</t>
  </si>
  <si>
    <t>Scope</t>
  </si>
  <si>
    <t>Strict change control: all changes go through ChangeLog; no mid-sprint changes</t>
  </si>
  <si>
    <t>Negotiate scope with PO; defer low-priority features to later iteration</t>
  </si>
  <si>
    <t>R-004</t>
  </si>
  <si>
    <t>Integration with third-party API (payment/courier) fails in sandbox</t>
  </si>
  <si>
    <t>Implement WireMock stubs for all external API calls; test independently</t>
  </si>
  <si>
    <t>Use manual entry fallback; document limitation in final report</t>
  </si>
  <si>
    <t>Tech Lead</t>
  </si>
  <si>
    <t>R-005</t>
  </si>
  <si>
    <t>Performance targets not met (slow response at peak load)</t>
  </si>
  <si>
    <t>Performance testing starts Iteration 3; add DB indexes early</t>
  </si>
  <si>
    <t>Scope down concurrent user target; document as known limitation</t>
  </si>
  <si>
    <t>R-006</t>
  </si>
  <si>
    <t>UAT findings require significant rework, delaying go-live</t>
  </si>
  <si>
    <t>Quality</t>
  </si>
  <si>
    <t>Involve PO in every Sprint Review; demo features every 2 weeks</t>
  </si>
  <si>
    <t>Prioritise P1 fixes; negotiate deferred fixes for post-go-live</t>
  </si>
  <si>
    <t>R-007</t>
  </si>
  <si>
    <t>R-008</t>
  </si>
  <si>
    <t>R-009</t>
  </si>
  <si>
    <t>R-010</t>
  </si>
  <si>
    <t>R-011</t>
  </si>
  <si>
    <t>R-012</t>
  </si>
  <si>
    <t>R-013</t>
  </si>
  <si>
    <t>R-014</t>
  </si>
  <si>
    <t>R-015</t>
  </si>
  <si>
    <t>ChangeLog — Requirement &amp; Scope Change Tracking</t>
  </si>
  <si>
    <t>Log ALL changes to requirements, design, or scope  ·  No mid-sprint changes without approval  ·  Reference this log when versions of SRS/SDS increment</t>
  </si>
  <si>
    <t>Change Description</t>
  </si>
  <si>
    <t>Requested By</t>
  </si>
  <si>
    <t>Affects (SRS/WBS/Code)</t>
  </si>
  <si>
    <t>Impact on Scope</t>
  </si>
  <si>
    <t>Impact on Effort (pds)</t>
  </si>
  <si>
    <t>Impact on Timeline</t>
  </si>
  <si>
    <t>C-001</t>
  </si>
  <si>
    <t>Add 'Forgot Password via OTP' feature to SRS — not in original scope</t>
  </si>
  <si>
    <t>SRS v1.0 Section 3, WBS #4</t>
  </si>
  <si>
    <t>Add Reset Password screen (WBS #4)</t>
  </si>
  <si>
    <t>+3 pds</t>
  </si>
  <si>
    <t>Delay Iteration 1 by 3 days</t>
  </si>
  <si>
    <t>[Approver]</t>
  </si>
  <si>
    <t>Moved to Iteration 3 to reduce risk</t>
  </si>
  <si>
    <t>C-002</t>
  </si>
  <si>
    <t>C-003</t>
  </si>
  <si>
    <t>C-004</t>
  </si>
  <si>
    <t>C-005</t>
  </si>
  <si>
    <t>C-006</t>
  </si>
  <si>
    <t>C-007</t>
  </si>
  <si>
    <t>C-008</t>
  </si>
  <si>
    <t>C-009</t>
  </si>
  <si>
    <t>C-010</t>
  </si>
  <si>
    <t>C-011</t>
  </si>
  <si>
    <t>C-012</t>
  </si>
  <si>
    <t>C-013</t>
  </si>
  <si>
    <t>C-014</t>
  </si>
  <si>
    <t>C-015</t>
  </si>
  <si>
    <t>C-016</t>
  </si>
  <si>
    <t>C-017</t>
  </si>
  <si>
    <t>C-018</t>
  </si>
  <si>
    <t>C-019</t>
  </si>
  <si>
    <t>C-020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</si>
</sst>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%&quot;"/>
  </numFmts>
  <fonts count="21">
    <font>
      <sz val="11"/>
      <color theme="1"/>
      <name val="Calibri"/>
      <family val="2"/>
      <scheme val="minor"/>
    </font>
    <font>
      <b/>
      <sz val="16"/>
      <color rgb="FF1F3864"/>
      <name val="Arial"/>
      <family val="2"/>
    </font>
    <font>
      <sz val="9"/>
      <color rgb="FF595959"/>
      <name val="Arial"/>
      <family val="2"/>
    </font>
    <font>
      <b/>
      <sz val="12"/>
      <color rgb="FF1F3864"/>
      <name val="Arial"/>
      <family val="2"/>
    </font>
    <font>
      <b/>
      <sz val="10"/>
      <color rgb="FFFFFFFF"/>
      <name val="Arial"/>
      <family val="2"/>
    </font>
    <font>
      <b/>
      <sz val="10"/>
      <color rgb="FF1F3864"/>
      <name val="Arial"/>
      <family val="2"/>
    </font>
    <font>
      <sz val="10"/>
      <color rgb="FF000000"/>
      <name val="Arial"/>
      <family val="2"/>
    </font>
    <font>
      <i/>
      <sz val="9"/>
      <color rgb="FF595959"/>
      <name val="Arial"/>
      <family val="2"/>
    </font>
    <font>
      <b/>
      <sz val="14"/>
      <color rgb="FF1F3864"/>
      <name val="Arial"/>
      <family val="2"/>
    </font>
    <font>
      <sz val="10"/>
      <color rgb="FF1F6B75"/>
      <name val="Arial"/>
      <family val="2"/>
    </font>
    <font>
      <b/>
      <sz val="11"/>
      <color rgb="FF1F3864"/>
      <name val="Arial"/>
      <family val="2"/>
    </font>
    <font>
      <b/>
      <sz val="10"/>
      <color rgb="FF7F6000"/>
      <name val="Arial"/>
      <family val="2"/>
    </font>
    <font>
      <i/>
      <sz val="10"/>
      <color rgb="FF000000"/>
      <name val="Arial"/>
      <family val="2"/>
    </font>
    <font>
      <sz val="10"/>
      <color rgb="FF7F6000"/>
      <name val="Arial"/>
      <family val="2"/>
    </font>
    <font>
      <b/>
      <sz val="10"/>
      <color rgb="FF1F6B75"/>
      <name val="Arial"/>
      <family val="2"/>
    </font>
    <font>
      <b/>
      <sz val="10"/>
      <color rgb="FFC00000"/>
      <name val="Arial"/>
      <family val="2"/>
    </font>
    <font>
      <b/>
      <sz val="10"/>
      <color rgb="FF5C3292"/>
      <name val="Arial"/>
      <family val="2"/>
    </font>
    <font>
      <b/>
      <sz val="10"/>
      <color rgb="FF843C0C"/>
      <name val="Arial"/>
      <family val="2"/>
    </font>
    <font>
      <b/>
      <sz val="10"/>
      <color rgb="FF000000"/>
      <name val="Arial"/>
      <family val="2"/>
    </font>
    <font>
      <b/>
      <sz val="10"/>
      <color rgb="FF595959"/>
      <name val="Arial"/>
      <family val="2"/>
    </font>
    <font>
      <b/>
      <sz val="16"/>
      <color rgb="FFFFFFFF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2E75B6"/>
      </patternFill>
    </fill>
    <fill>
      <patternFill patternType="solid">
        <fgColor rgb="FF375623"/>
      </patternFill>
    </fill>
    <fill>
      <patternFill patternType="solid">
        <fgColor rgb="FF7F6000"/>
      </patternFill>
    </fill>
    <fill>
      <patternFill patternType="solid">
        <fgColor rgb="FF1F3864"/>
      </patternFill>
    </fill>
    <fill>
      <patternFill patternType="solid">
        <fgColor rgb="FFC00000"/>
      </patternFill>
    </fill>
    <fill>
      <patternFill patternType="solid">
        <fgColor rgb="FF843C0C"/>
      </patternFill>
    </fill>
    <fill>
      <patternFill patternType="solid">
        <fgColor rgb="FFFFFFFF"/>
      </patternFill>
    </fill>
    <fill>
      <patternFill patternType="solid">
        <fgColor rgb="FFDEEAF1"/>
      </patternFill>
    </fill>
    <fill>
      <patternFill patternType="solid">
        <fgColor rgb="FFBDD7EE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6EEF0"/>
      </patternFill>
    </fill>
    <fill>
      <patternFill patternType="solid">
        <fgColor rgb="FF1F6B75"/>
      </patternFill>
    </fill>
    <fill>
      <patternFill patternType="solid">
        <fgColor rgb="FFFCE4D6"/>
      </patternFill>
    </fill>
    <fill>
      <patternFill patternType="solid">
        <fgColor rgb="FF5C3292"/>
      </patternFill>
    </fill>
    <fill>
      <patternFill patternType="solid">
        <fgColor rgb="FFEBE2F5"/>
      </patternFill>
    </fill>
    <fill>
      <patternFill patternType="solid">
        <fgColor rgb="FF595959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left" vertical="center" wrapText="1"/>
    </xf>
    <xf numFmtId="0" fontId="6" fillId="9" borderId="2" xfId="0" applyFont="1" applyFill="1" applyBorder="1" applyAlignment="1">
      <alignment horizontal="center" vertical="center" wrapText="1"/>
    </xf>
    <xf numFmtId="164" fontId="6" fillId="9" borderId="2" xfId="0" applyNumberFormat="1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left" vertical="center" wrapText="1"/>
    </xf>
    <xf numFmtId="0" fontId="6" fillId="10" borderId="2" xfId="0" applyFont="1" applyFill="1" applyBorder="1" applyAlignment="1">
      <alignment horizontal="center" vertical="center" wrapText="1"/>
    </xf>
    <xf numFmtId="164" fontId="6" fillId="10" borderId="2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left" vertical="center" wrapText="1"/>
    </xf>
    <xf numFmtId="0" fontId="6" fillId="9" borderId="2" xfId="0" applyFont="1" applyFill="1" applyBorder="1" applyAlignment="1">
      <alignment horizontal="left" vertical="center" wrapText="1"/>
    </xf>
    <xf numFmtId="0" fontId="5" fillId="11" borderId="2" xfId="0" applyFont="1" applyFill="1" applyBorder="1" applyAlignment="1">
      <alignment horizontal="center" vertical="center" wrapText="1"/>
    </xf>
    <xf numFmtId="164" fontId="6" fillId="12" borderId="2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9" fillId="14" borderId="2" xfId="0" applyFont="1" applyFill="1" applyBorder="1" applyAlignment="1">
      <alignment horizontal="center" vertical="center" wrapText="1"/>
    </xf>
    <xf numFmtId="0" fontId="10" fillId="0" borderId="0" xfId="0" applyFont="1"/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1" fillId="12" borderId="2" xfId="0" applyFont="1" applyFill="1" applyBorder="1" applyAlignment="1">
      <alignment horizontal="center" vertical="center" wrapText="1"/>
    </xf>
    <xf numFmtId="0" fontId="12" fillId="10" borderId="2" xfId="0" applyFont="1" applyFill="1" applyBorder="1" applyAlignment="1">
      <alignment horizontal="left" vertical="center" wrapText="1"/>
    </xf>
    <xf numFmtId="0" fontId="13" fillId="12" borderId="2" xfId="0" applyFont="1" applyFill="1" applyBorder="1" applyAlignment="1">
      <alignment horizontal="center" vertical="center" wrapText="1"/>
    </xf>
    <xf numFmtId="0" fontId="0" fillId="9" borderId="2" xfId="0" applyFill="1" applyBorder="1"/>
    <xf numFmtId="0" fontId="0" fillId="2" borderId="2" xfId="0" applyFill="1" applyBorder="1" applyAlignment="1">
      <alignment horizontal="center" vertical="center" wrapText="1"/>
    </xf>
    <xf numFmtId="0" fontId="0" fillId="10" borderId="2" xfId="0" applyFill="1" applyBorder="1"/>
    <xf numFmtId="0" fontId="4" fillId="15" borderId="1" xfId="0" applyFont="1" applyFill="1" applyBorder="1" applyAlignment="1">
      <alignment horizontal="center" vertical="center" wrapText="1"/>
    </xf>
    <xf numFmtId="0" fontId="14" fillId="14" borderId="2" xfId="0" applyFont="1" applyFill="1" applyBorder="1" applyAlignment="1">
      <alignment horizontal="center" vertical="center" wrapText="1"/>
    </xf>
    <xf numFmtId="0" fontId="6" fillId="14" borderId="2" xfId="0" applyFont="1" applyFill="1" applyBorder="1" applyAlignment="1">
      <alignment horizontal="center" vertical="center" wrapText="1"/>
    </xf>
    <xf numFmtId="0" fontId="6" fillId="14" borderId="2" xfId="0" applyFont="1" applyFill="1" applyBorder="1" applyAlignment="1">
      <alignment horizontal="left" vertical="center" wrapText="1"/>
    </xf>
    <xf numFmtId="0" fontId="6" fillId="12" borderId="2" xfId="0" applyFont="1" applyFill="1" applyBorder="1" applyAlignment="1">
      <alignment horizontal="center" vertical="center" wrapText="1"/>
    </xf>
    <xf numFmtId="0" fontId="6" fillId="14" borderId="2" xfId="0" applyFont="1" applyFill="1" applyBorder="1"/>
    <xf numFmtId="0" fontId="4" fillId="6" borderId="1" xfId="0" applyFont="1" applyFill="1" applyBorder="1"/>
    <xf numFmtId="0" fontId="4" fillId="7" borderId="1" xfId="0" applyFont="1" applyFill="1" applyBorder="1" applyAlignment="1">
      <alignment horizontal="center" vertical="center" wrapText="1"/>
    </xf>
    <xf numFmtId="0" fontId="15" fillId="16" borderId="2" xfId="0" applyFont="1" applyFill="1" applyBorder="1" applyAlignment="1">
      <alignment horizontal="center" vertical="center" wrapText="1"/>
    </xf>
    <xf numFmtId="0" fontId="6" fillId="16" borderId="2" xfId="0" applyFont="1" applyFill="1" applyBorder="1" applyAlignment="1">
      <alignment horizontal="center" vertical="center" wrapText="1"/>
    </xf>
    <xf numFmtId="0" fontId="12" fillId="16" borderId="2" xfId="0" applyFont="1" applyFill="1" applyBorder="1" applyAlignment="1">
      <alignment horizontal="left" vertical="center" wrapText="1"/>
    </xf>
    <xf numFmtId="0" fontId="6" fillId="16" borderId="2" xfId="0" applyFont="1" applyFill="1" applyBorder="1" applyAlignment="1">
      <alignment horizontal="left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16" fillId="18" borderId="2" xfId="0" applyFont="1" applyFill="1" applyBorder="1" applyAlignment="1">
      <alignment horizontal="center" vertical="center" wrapText="1"/>
    </xf>
    <xf numFmtId="0" fontId="6" fillId="18" borderId="2" xfId="0" applyFont="1" applyFill="1" applyBorder="1" applyAlignment="1">
      <alignment horizontal="center" vertical="center" wrapText="1"/>
    </xf>
    <xf numFmtId="0" fontId="12" fillId="18" borderId="2" xfId="0" applyFont="1" applyFill="1" applyBorder="1" applyAlignment="1">
      <alignment horizontal="left" vertical="center" wrapText="1"/>
    </xf>
    <xf numFmtId="0" fontId="6" fillId="18" borderId="2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17" fillId="16" borderId="2" xfId="0" applyFont="1" applyFill="1" applyBorder="1" applyAlignment="1">
      <alignment horizontal="center" vertical="center" wrapText="1"/>
    </xf>
    <xf numFmtId="0" fontId="18" fillId="12" borderId="2" xfId="0" applyFont="1" applyFill="1" applyBorder="1" applyAlignment="1">
      <alignment horizontal="center" vertical="center" wrapText="1"/>
    </xf>
    <xf numFmtId="0" fontId="18" fillId="13" borderId="2" xfId="0" applyFont="1" applyFill="1" applyBorder="1" applyAlignment="1">
      <alignment horizontal="center" vertical="center" wrapText="1"/>
    </xf>
    <xf numFmtId="0" fontId="4" fillId="19" borderId="1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20" fillId="7" borderId="0" xfId="0" applyFont="1" applyFill="1" applyAlignment="1">
      <alignment horizontal="center" vertical="center"/>
    </xf>
    <xf numFmtId="0" fontId="20" fillId="5" borderId="0" xfId="0" applyFont="1" applyFill="1" applyAlignment="1">
      <alignment horizontal="center" vertical="center"/>
    </xf>
    <xf numFmtId="0" fontId="20" fillId="8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center" vertical="center"/>
    </xf>
    <xf numFmtId="0" fontId="20" fillId="4" borderId="0" xfId="0" applyFont="1" applyFill="1" applyAlignment="1">
      <alignment horizontal="center" vertical="center"/>
    </xf>
    <xf numFmtId="0" fontId="20" fillId="6" borderId="0" xfId="0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/>
    <xf numFmtId="0" fontId="6" fillId="10" borderId="2" xfId="0" applyFont="1" applyFill="1" applyBorder="1" applyAlignment="1">
      <alignment horizontal="left" vertical="top" wrapText="1"/>
    </xf>
    <xf numFmtId="0" fontId="6" fillId="9" borderId="2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0" fillId="0" borderId="0" xfId="0" applyAlignment="1"/>
    <xf numFmtId="0" fontId="1" fillId="0" borderId="0" xfId="0" applyFont="1" applyAlignment="1">
      <alignment horizontal="left" vertical="center"/>
    </xf>
    <xf numFmtId="0" fontId="0" fillId="0" borderId="0" xfId="0" applyAlignment="1"/>
    <xf numFmtId="0" fontId="2" fillId="0" borderId="0" xfId="0" applyFont="1" applyAlignment="1">
      <alignment horizontal="left" vertical="center"/>
    </xf>
    <xf numFmtId="0" fontId="7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</cellXfs>
  <cellStyles count="1">
    <cellStyle name="Bình thường" xfId="0" builtinId="0"/>
  </cellStyles>
  <dxfs count="129">
    <dxf>
      <fill>
        <patternFill patternType="solid">
          <fgColor rgb="FFD6EEF0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D6EEF0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D6EEF0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D6EEF0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D6EEF0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D6EEF0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D6EEF0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D6EEF0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D6EEF0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D6EEF0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H27"/>
  <sheetViews>
    <sheetView showGridLines="0" zoomScale="85" zoomScaleNormal="85" workbookViewId="0">
      <selection activeCell="H13" sqref="H13"/>
    </sheetView>
  </sheetViews>
  <sheetFormatPr defaultRowHeight="14.25"/>
  <cols>
    <col min="1" max="1" width="2" customWidth="1"/>
    <col min="2" max="2" width="22" customWidth="1"/>
    <col min="3" max="3" width="40.28515625" customWidth="1"/>
    <col min="4" max="7" width="14" customWidth="1"/>
    <col min="8" max="8" width="22" customWidth="1"/>
    <col min="9" max="9" width="2" customWidth="1"/>
  </cols>
  <sheetData>
    <row r="1" spans="2:8" ht="20.65">
      <c r="B1" s="66" t="s">
        <v>0</v>
      </c>
      <c r="C1" s="67"/>
      <c r="D1" s="67"/>
      <c r="E1" s="67"/>
      <c r="F1" s="67"/>
      <c r="G1" s="67"/>
      <c r="H1" s="67"/>
    </row>
    <row r="2" spans="2:8">
      <c r="B2" s="68" t="s">
        <v>1</v>
      </c>
      <c r="C2" s="67"/>
      <c r="D2" s="67"/>
      <c r="E2" s="67"/>
      <c r="F2" s="67"/>
      <c r="G2" s="67"/>
      <c r="H2" s="67"/>
    </row>
    <row r="4" spans="2:8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60"/>
    </row>
    <row r="5" spans="2:8" ht="20.65">
      <c r="B5" s="55">
        <f>COUNTA(Scope!B5:B200)-COUNTBLANK(Scope!B5:B200)</f>
        <v>-132</v>
      </c>
      <c r="C5" s="56">
        <f>COUNTIF(Scope!F5:F200,"Done")+COUNTIF(Scope!F5:F200,"Completed")</f>
        <v>0</v>
      </c>
      <c r="D5" s="53">
        <f>COUNTIF(Scope!F5:F200,"In Progress")</f>
        <v>0</v>
      </c>
      <c r="E5" s="57">
        <f>COUNTIF(Scope!F5:F200,"Not Started")+COUNTBLANK(Scope!F5:F200)-1</f>
        <v>187</v>
      </c>
      <c r="F5" s="52">
        <f>COUNTIF(Issues!H5:H200,"Open")</f>
        <v>0</v>
      </c>
      <c r="G5" s="52">
        <f>COUNTIF(Defects!H5:H200,"Open")+COUNTIF(Defects!H5:H200,"Pending")</f>
        <v>0</v>
      </c>
      <c r="H5" s="60"/>
    </row>
    <row r="7" spans="2:8" ht="23.25">
      <c r="B7" s="1" t="s">
        <v>6</v>
      </c>
      <c r="C7" s="1" t="s">
        <v>7</v>
      </c>
      <c r="D7" s="1" t="s">
        <v>8</v>
      </c>
      <c r="E7" s="1" t="s">
        <v>9</v>
      </c>
      <c r="F7" s="60"/>
      <c r="G7" s="60"/>
      <c r="H7" s="60"/>
    </row>
    <row r="8" spans="2:8" ht="20.65">
      <c r="B8" s="52">
        <f>COUNTIF(Issues!H5:H200,"Open")</f>
        <v>0</v>
      </c>
      <c r="C8" s="52">
        <f>COUNTIF(Defects!H5:H200,"Open")+COUNTIF(Defects!H5:H200,"Pending")</f>
        <v>0</v>
      </c>
      <c r="D8" s="53">
        <f>COUNTIF('Q&amp;A'!G5:G200,"Open")</f>
        <v>0</v>
      </c>
      <c r="E8" s="54">
        <f>COUNTIF(Risks!D5:D200,"High")+COUNTIF(Risks!D5:D200,"Critical")</f>
        <v>0</v>
      </c>
      <c r="F8" s="60"/>
      <c r="G8" s="60"/>
      <c r="H8" s="60"/>
    </row>
    <row r="11" spans="2:8" ht="15.4">
      <c r="B11" s="2" t="s">
        <v>10</v>
      </c>
      <c r="C11" s="60"/>
      <c r="D11" s="60"/>
      <c r="E11" s="60"/>
      <c r="F11" s="60"/>
      <c r="G11" s="60"/>
      <c r="H11" s="60"/>
    </row>
    <row r="12" spans="2:8">
      <c r="B12" s="10" t="s">
        <v>11</v>
      </c>
      <c r="C12" s="10" t="s">
        <v>12</v>
      </c>
      <c r="D12" s="10" t="s">
        <v>13</v>
      </c>
      <c r="E12" s="10" t="s">
        <v>14</v>
      </c>
      <c r="F12" s="10" t="s">
        <v>15</v>
      </c>
      <c r="G12" s="60"/>
      <c r="H12" s="60"/>
    </row>
    <row r="13" spans="2:8" ht="15">
      <c r="B13" s="7" t="s">
        <v>16</v>
      </c>
      <c r="C13" s="11" t="s">
        <v>17</v>
      </c>
      <c r="D13" s="8" t="s">
        <v>18</v>
      </c>
      <c r="E13" s="11"/>
      <c r="F13" s="8"/>
      <c r="G13" s="60"/>
      <c r="H13" s="60"/>
    </row>
    <row r="14" spans="2:8">
      <c r="B14" s="4" t="s">
        <v>19</v>
      </c>
      <c r="C14" s="12" t="s">
        <v>20</v>
      </c>
      <c r="D14" s="5" t="s">
        <v>21</v>
      </c>
      <c r="E14" s="12"/>
      <c r="F14" s="5"/>
      <c r="G14" s="60"/>
      <c r="H14" s="60"/>
    </row>
    <row r="15" spans="2:8">
      <c r="B15" s="7" t="s">
        <v>22</v>
      </c>
      <c r="C15" s="11" t="s">
        <v>23</v>
      </c>
      <c r="D15" s="8" t="s">
        <v>24</v>
      </c>
      <c r="E15" s="11"/>
      <c r="F15" s="8"/>
      <c r="G15" s="60"/>
      <c r="H15" s="60"/>
    </row>
    <row r="16" spans="2:8">
      <c r="B16" s="4" t="s">
        <v>25</v>
      </c>
      <c r="C16" s="12" t="s">
        <v>26</v>
      </c>
      <c r="D16" s="5" t="s">
        <v>27</v>
      </c>
      <c r="E16" s="12"/>
      <c r="F16" s="5"/>
      <c r="G16" s="60"/>
      <c r="H16" s="60"/>
    </row>
    <row r="17" spans="2:8">
      <c r="B17" s="7" t="s">
        <v>28</v>
      </c>
      <c r="C17" s="11" t="s">
        <v>29</v>
      </c>
      <c r="D17" s="8" t="s">
        <v>30</v>
      </c>
      <c r="E17" s="11"/>
      <c r="F17" s="8"/>
      <c r="G17" s="60"/>
      <c r="H17" s="60"/>
    </row>
    <row r="18" spans="2:8">
      <c r="B18" s="4" t="s">
        <v>31</v>
      </c>
      <c r="C18" s="12" t="s">
        <v>32</v>
      </c>
      <c r="D18" s="5" t="s">
        <v>33</v>
      </c>
      <c r="E18" s="12"/>
      <c r="F18" s="5"/>
      <c r="G18" s="60"/>
      <c r="H18" s="60"/>
    </row>
    <row r="20" spans="2:8" ht="15.4">
      <c r="B20" s="2" t="s">
        <v>34</v>
      </c>
      <c r="C20" s="60"/>
      <c r="D20" s="60"/>
      <c r="E20" s="60"/>
      <c r="F20" s="60"/>
      <c r="G20" s="60"/>
      <c r="H20" s="60"/>
    </row>
    <row r="21" spans="2:8">
      <c r="B21" s="3" t="s">
        <v>35</v>
      </c>
      <c r="C21" s="3" t="s">
        <v>36</v>
      </c>
      <c r="D21" s="3" t="s">
        <v>37</v>
      </c>
      <c r="E21" s="3" t="s">
        <v>38</v>
      </c>
      <c r="F21" s="3" t="s">
        <v>4</v>
      </c>
      <c r="G21" s="3" t="s">
        <v>39</v>
      </c>
      <c r="H21" s="60"/>
    </row>
    <row r="22" spans="2:8">
      <c r="B22" s="4" t="s">
        <v>40</v>
      </c>
      <c r="C22" s="5">
        <f>COUNTIF(WBS!G5:G200,"Iteration 1")</f>
        <v>0</v>
      </c>
      <c r="D22" s="5">
        <f>SUMIF(WBS!G5:G200,"Iteration 1",WBS!F5:F200)</f>
        <v>0</v>
      </c>
      <c r="E22" s="5">
        <f>COUNTIFS(WBS!G5:G200,"Iteration 1",WBS!H5:H200,"Done")</f>
        <v>0</v>
      </c>
      <c r="F22" s="5">
        <f>COUNTIFS(WBS!G5:G200,"Iteration 1",WBS!H5:H200,"In Progress")</f>
        <v>0</v>
      </c>
      <c r="G22" s="6"/>
      <c r="H22" s="60"/>
    </row>
    <row r="23" spans="2:8">
      <c r="B23" s="7" t="s">
        <v>41</v>
      </c>
      <c r="C23" s="8">
        <f>COUNTIF(WBS!G5:G200,"Iteration 2")</f>
        <v>0</v>
      </c>
      <c r="D23" s="8">
        <f>SUMIF(WBS!G5:G200,"Iteration 2",WBS!F5:F200)</f>
        <v>0</v>
      </c>
      <c r="E23" s="8">
        <f>COUNTIFS(WBS!G5:G200,"Iteration 2",WBS!H5:H200,"Done")</f>
        <v>0</v>
      </c>
      <c r="F23" s="8">
        <f>COUNTIFS(WBS!G5:G200,"Iteration 2",WBS!H5:H200,"In Progress")</f>
        <v>0</v>
      </c>
      <c r="G23" s="9"/>
      <c r="H23" s="60"/>
    </row>
    <row r="24" spans="2:8">
      <c r="B24" s="4" t="s">
        <v>42</v>
      </c>
      <c r="C24" s="5">
        <f>COUNTIF(WBS!G5:G200,"Iteration 3")</f>
        <v>0</v>
      </c>
      <c r="D24" s="5">
        <f>SUMIF(WBS!G5:G200,"Iteration 3",WBS!F5:F200)</f>
        <v>0</v>
      </c>
      <c r="E24" s="5">
        <f>COUNTIFS(WBS!G5:G200,"Iteration 3",WBS!H5:H200,"Done")</f>
        <v>0</v>
      </c>
      <c r="F24" s="5">
        <f>COUNTIFS(WBS!G5:G200,"Iteration 3",WBS!H5:H200,"In Progress")</f>
        <v>0</v>
      </c>
      <c r="G24" s="6"/>
      <c r="H24" s="60"/>
    </row>
    <row r="27" spans="2:8">
      <c r="B27" s="69" t="s">
        <v>43</v>
      </c>
      <c r="C27" s="67"/>
      <c r="D27" s="67"/>
      <c r="E27" s="67"/>
      <c r="F27" s="67"/>
      <c r="G27" s="67"/>
      <c r="H27" s="67"/>
    </row>
  </sheetData>
  <mergeCells count="3">
    <mergeCell ref="B1:H1"/>
    <mergeCell ref="B2:H2"/>
    <mergeCell ref="B27:H27"/>
  </mergeCells>
  <conditionalFormatting sqref="F13:F25">
    <cfRule type="cellIs" dxfId="128" priority="1" operator="equal">
      <formula>"Done"</formula>
    </cfRule>
    <cfRule type="cellIs" dxfId="127" priority="2" operator="equal">
      <formula>"Completed"</formula>
    </cfRule>
    <cfRule type="cellIs" dxfId="126" priority="3" operator="equal">
      <formula>"Closed"</formula>
    </cfRule>
    <cfRule type="cellIs" dxfId="125" priority="4" operator="equal">
      <formula>"Fixed"</formula>
    </cfRule>
    <cfRule type="cellIs" dxfId="124" priority="5" operator="equal">
      <formula>"Approved"</formula>
    </cfRule>
    <cfRule type="cellIs" dxfId="123" priority="6" operator="equal">
      <formula>"In Progress"</formula>
    </cfRule>
    <cfRule type="cellIs" dxfId="122" priority="7" operator="equal">
      <formula>"Open"</formula>
    </cfRule>
    <cfRule type="cellIs" dxfId="121" priority="8" operator="equal">
      <formula>"Pending"</formula>
    </cfRule>
    <cfRule type="cellIs" dxfId="120" priority="9" operator="equal">
      <formula>"Blocked"</formula>
    </cfRule>
    <cfRule type="cellIs" dxfId="119" priority="10" operator="equal">
      <formula>"Cancelled"</formula>
    </cfRule>
    <cfRule type="cellIs" dxfId="118" priority="11" operator="equal">
      <formula>"Rejected"</formula>
    </cfRule>
    <cfRule type="cellIs" dxfId="117" priority="12" operator="equal">
      <formula>"Submitted"</formula>
    </cfRule>
  </conditionalFormatting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K48"/>
  <sheetViews>
    <sheetView showGridLines="0" tabSelected="1" zoomScale="85" zoomScaleNormal="85" workbookViewId="0">
      <pane ySplit="4" topLeftCell="A5" activePane="bottomLeft" state="frozen"/>
      <selection pane="bottomLeft" activeCell="G10" sqref="G10"/>
    </sheetView>
  </sheetViews>
  <sheetFormatPr defaultRowHeight="15"/>
  <cols>
    <col min="1" max="1" width="7" customWidth="1"/>
    <col min="2" max="2" width="40" customWidth="1"/>
    <col min="3" max="3" width="27.42578125" customWidth="1"/>
    <col min="4" max="4" width="16" customWidth="1"/>
    <col min="5" max="5" width="10" customWidth="1"/>
    <col min="6" max="6" width="12" customWidth="1"/>
    <col min="7" max="7" width="14" customWidth="1"/>
    <col min="8" max="8" width="16" customWidth="1"/>
    <col min="9" max="9" width="11.7109375" bestFit="1" customWidth="1"/>
    <col min="10" max="10" width="16" customWidth="1"/>
    <col min="11" max="11" width="83.140625" style="63" customWidth="1"/>
  </cols>
  <sheetData>
    <row r="1" spans="1:11" ht="28.15" customHeight="1">
      <c r="A1" s="71" t="s">
        <v>44</v>
      </c>
      <c r="B1" s="67"/>
      <c r="C1" s="67"/>
      <c r="D1" s="67"/>
      <c r="E1" s="67"/>
      <c r="F1" s="67"/>
      <c r="G1" s="67"/>
      <c r="H1" s="67"/>
      <c r="I1" s="67"/>
      <c r="J1" s="67"/>
      <c r="K1" s="67"/>
    </row>
    <row r="2" spans="1:11" ht="16.149999999999999" customHeight="1">
      <c r="A2" s="68" t="s">
        <v>45</v>
      </c>
      <c r="B2" s="67"/>
      <c r="C2" s="67"/>
      <c r="D2" s="67"/>
      <c r="E2" s="67"/>
      <c r="F2" s="67"/>
      <c r="G2" s="67"/>
      <c r="H2" s="67"/>
      <c r="I2" s="67"/>
      <c r="J2" s="67"/>
      <c r="K2" s="67"/>
    </row>
    <row r="3" spans="1:11" ht="6" customHeight="1">
      <c r="A3" s="60"/>
      <c r="B3" s="60"/>
      <c r="C3" s="60"/>
      <c r="D3" s="60"/>
      <c r="E3" s="60"/>
      <c r="F3" s="60"/>
      <c r="G3" s="60"/>
      <c r="H3" s="60"/>
      <c r="I3" s="60"/>
      <c r="J3" s="60"/>
    </row>
    <row r="4" spans="1:11" ht="26.1" customHeight="1">
      <c r="A4" s="10" t="s">
        <v>46</v>
      </c>
      <c r="B4" s="10" t="s">
        <v>47</v>
      </c>
      <c r="C4" s="10" t="s">
        <v>14</v>
      </c>
      <c r="D4" s="10" t="s">
        <v>48</v>
      </c>
      <c r="E4" s="10" t="s">
        <v>13</v>
      </c>
      <c r="F4" s="10" t="s">
        <v>39</v>
      </c>
      <c r="G4" s="10" t="s">
        <v>15</v>
      </c>
      <c r="H4" s="10" t="s">
        <v>49</v>
      </c>
      <c r="I4" s="10" t="s">
        <v>50</v>
      </c>
      <c r="J4" s="10" t="s">
        <v>51</v>
      </c>
      <c r="K4" s="64" t="s">
        <v>52</v>
      </c>
    </row>
    <row r="5" spans="1:11" ht="20.100000000000001" customHeight="1">
      <c r="A5" s="70" t="s">
        <v>53</v>
      </c>
      <c r="B5" s="67"/>
      <c r="C5" s="67"/>
      <c r="D5" s="67"/>
      <c r="E5" s="67"/>
      <c r="F5" s="67"/>
      <c r="G5" s="67"/>
      <c r="H5" s="67"/>
      <c r="I5" s="67"/>
      <c r="J5" s="67"/>
      <c r="K5" s="67"/>
    </row>
    <row r="6" spans="1:11" ht="34.5" customHeight="1">
      <c r="A6" s="13" t="s">
        <v>54</v>
      </c>
      <c r="B6" s="11" t="s">
        <v>55</v>
      </c>
      <c r="C6" s="11" t="s">
        <v>56</v>
      </c>
      <c r="D6" s="8">
        <v>2</v>
      </c>
      <c r="E6" s="8" t="s">
        <v>18</v>
      </c>
      <c r="F6" s="14">
        <f>IFERROR(H6/D6*100,"")</f>
        <v>100</v>
      </c>
      <c r="G6" s="15" t="s">
        <v>38</v>
      </c>
      <c r="H6" s="15">
        <v>2</v>
      </c>
      <c r="I6" s="11"/>
      <c r="J6" s="11" t="s">
        <v>57</v>
      </c>
      <c r="K6" s="61"/>
    </row>
    <row r="7" spans="1:11" ht="20.100000000000001" customHeight="1">
      <c r="A7" s="70" t="s">
        <v>58</v>
      </c>
      <c r="B7" s="67"/>
      <c r="C7" s="67"/>
      <c r="D7" s="67"/>
      <c r="E7" s="67"/>
      <c r="F7" s="67"/>
      <c r="G7" s="67"/>
      <c r="H7" s="67"/>
      <c r="I7" s="67"/>
      <c r="J7" s="67"/>
      <c r="K7" s="67"/>
    </row>
    <row r="8" spans="1:11" ht="22.15" customHeight="1">
      <c r="A8" s="13" t="s">
        <v>59</v>
      </c>
      <c r="B8" s="11" t="s">
        <v>60</v>
      </c>
      <c r="C8" s="11" t="s">
        <v>61</v>
      </c>
      <c r="D8" s="8">
        <v>3</v>
      </c>
      <c r="E8" s="8" t="s">
        <v>62</v>
      </c>
      <c r="F8" s="14">
        <f>IFERROR(H8/D8*100,"")</f>
        <v>100</v>
      </c>
      <c r="G8" s="15" t="s">
        <v>38</v>
      </c>
      <c r="H8" s="15">
        <v>3</v>
      </c>
      <c r="I8" s="11" t="s">
        <v>63</v>
      </c>
      <c r="J8" s="11" t="s">
        <v>57</v>
      </c>
      <c r="K8" s="61" t="s">
        <v>64</v>
      </c>
    </row>
    <row r="9" spans="1:11" ht="22.15" customHeight="1">
      <c r="A9" s="13" t="s">
        <v>65</v>
      </c>
      <c r="B9" s="11" t="s">
        <v>66</v>
      </c>
      <c r="C9" s="11" t="s">
        <v>67</v>
      </c>
      <c r="D9" s="8">
        <v>4</v>
      </c>
      <c r="E9" s="8" t="s">
        <v>21</v>
      </c>
      <c r="F9" s="14">
        <f>IFERROR(H9/D9*100,"")</f>
        <v>100</v>
      </c>
      <c r="G9" s="15" t="s">
        <v>38</v>
      </c>
      <c r="H9" s="15">
        <v>4</v>
      </c>
      <c r="I9" s="11" t="s">
        <v>54</v>
      </c>
      <c r="J9" s="11" t="s">
        <v>57</v>
      </c>
      <c r="K9" s="61" t="s">
        <v>68</v>
      </c>
    </row>
    <row r="10" spans="1:11" ht="22.15" customHeight="1">
      <c r="A10" s="13" t="s">
        <v>69</v>
      </c>
      <c r="B10" s="12" t="s">
        <v>70</v>
      </c>
      <c r="C10" s="12" t="s">
        <v>71</v>
      </c>
      <c r="D10" s="5">
        <v>5</v>
      </c>
      <c r="E10" s="5" t="s">
        <v>21</v>
      </c>
      <c r="F10" s="14">
        <f>IFERROR(H10/D10*100,"")</f>
        <v>100</v>
      </c>
      <c r="G10" s="15" t="s">
        <v>38</v>
      </c>
      <c r="H10" s="15">
        <v>5</v>
      </c>
      <c r="I10" s="11" t="s">
        <v>59</v>
      </c>
      <c r="J10" s="11" t="s">
        <v>57</v>
      </c>
      <c r="K10" s="61" t="s">
        <v>72</v>
      </c>
    </row>
    <row r="11" spans="1:11" ht="20.100000000000001" customHeight="1">
      <c r="A11" s="70" t="s">
        <v>73</v>
      </c>
      <c r="B11" s="67"/>
      <c r="C11" s="67"/>
      <c r="D11" s="67"/>
      <c r="E11" s="67"/>
      <c r="F11" s="67"/>
      <c r="G11" s="67"/>
      <c r="H11" s="67"/>
      <c r="I11" s="67"/>
      <c r="J11" s="67"/>
      <c r="K11" s="67"/>
    </row>
    <row r="12" spans="1:11" ht="22.15" customHeight="1">
      <c r="A12" s="13" t="s">
        <v>74</v>
      </c>
      <c r="B12" s="11" t="s">
        <v>75</v>
      </c>
      <c r="C12" s="11" t="s">
        <v>71</v>
      </c>
      <c r="D12" s="8">
        <v>4</v>
      </c>
      <c r="E12" s="8" t="s">
        <v>76</v>
      </c>
      <c r="F12" s="14">
        <f>IFERROR(H12/D12*100,"")</f>
        <v>100</v>
      </c>
      <c r="G12" s="15" t="s">
        <v>38</v>
      </c>
      <c r="H12" s="15">
        <v>4</v>
      </c>
      <c r="I12" s="11" t="s">
        <v>65</v>
      </c>
      <c r="J12" s="11" t="s">
        <v>57</v>
      </c>
      <c r="K12" s="61" t="s">
        <v>77</v>
      </c>
    </row>
    <row r="13" spans="1:11" ht="22.15" customHeight="1">
      <c r="A13" s="13" t="s">
        <v>78</v>
      </c>
      <c r="B13" s="12" t="s">
        <v>79</v>
      </c>
      <c r="C13" s="11" t="s">
        <v>67</v>
      </c>
      <c r="D13" s="5">
        <v>4</v>
      </c>
      <c r="E13" s="5" t="s">
        <v>76</v>
      </c>
      <c r="F13" s="14">
        <f>IFERROR(H13/D13*100,"")</f>
        <v>100</v>
      </c>
      <c r="G13" s="15" t="s">
        <v>38</v>
      </c>
      <c r="H13" s="15">
        <v>4</v>
      </c>
      <c r="I13" s="12" t="s">
        <v>80</v>
      </c>
      <c r="J13" s="11" t="s">
        <v>57</v>
      </c>
      <c r="K13" s="62" t="s">
        <v>81</v>
      </c>
    </row>
    <row r="14" spans="1:11" ht="22.15" customHeight="1">
      <c r="A14" s="13" t="s">
        <v>82</v>
      </c>
      <c r="B14" s="12" t="s">
        <v>83</v>
      </c>
      <c r="C14" s="11" t="s">
        <v>61</v>
      </c>
      <c r="D14" s="5">
        <v>5</v>
      </c>
      <c r="E14" s="5" t="s">
        <v>24</v>
      </c>
      <c r="F14" s="14">
        <f>IFERROR(H14/D14*100,"")</f>
        <v>100</v>
      </c>
      <c r="G14" s="15" t="s">
        <v>38</v>
      </c>
      <c r="H14" s="15">
        <v>5</v>
      </c>
      <c r="I14" s="12" t="s">
        <v>84</v>
      </c>
      <c r="J14" s="11" t="s">
        <v>57</v>
      </c>
      <c r="K14" s="62" t="s">
        <v>85</v>
      </c>
    </row>
    <row r="15" spans="1:11" ht="22.15" customHeight="1">
      <c r="A15" s="13" t="s">
        <v>86</v>
      </c>
      <c r="B15" s="11" t="s">
        <v>87</v>
      </c>
      <c r="C15" s="11" t="s">
        <v>56</v>
      </c>
      <c r="D15" s="8">
        <v>3</v>
      </c>
      <c r="E15" s="8" t="s">
        <v>24</v>
      </c>
      <c r="F15" s="14">
        <f>IFERROR(H15/D15*100,"")</f>
        <v>100</v>
      </c>
      <c r="G15" s="15" t="s">
        <v>38</v>
      </c>
      <c r="H15" s="15">
        <v>3</v>
      </c>
      <c r="I15" s="11" t="s">
        <v>80</v>
      </c>
      <c r="J15" s="11" t="s">
        <v>57</v>
      </c>
      <c r="K15" s="61" t="s">
        <v>88</v>
      </c>
    </row>
    <row r="16" spans="1:11" ht="20.100000000000001" customHeight="1">
      <c r="A16" s="70" t="s">
        <v>89</v>
      </c>
      <c r="B16" s="67"/>
      <c r="C16" s="67"/>
      <c r="D16" s="67"/>
      <c r="E16" s="67"/>
      <c r="F16" s="67"/>
      <c r="G16" s="67"/>
      <c r="H16" s="67"/>
      <c r="I16" s="67"/>
      <c r="J16" s="67"/>
      <c r="K16" s="67"/>
    </row>
    <row r="17" spans="1:11" ht="22.15" customHeight="1">
      <c r="A17" s="13" t="s">
        <v>90</v>
      </c>
      <c r="B17" s="11" t="s">
        <v>91</v>
      </c>
      <c r="C17" s="11"/>
      <c r="D17" s="8"/>
      <c r="E17" s="8" t="s">
        <v>92</v>
      </c>
      <c r="F17" s="14" t="str">
        <f t="shared" ref="F17:F22" si="0">IFERROR(H17/D17*100,"")</f>
        <v/>
      </c>
      <c r="G17" s="15" t="s">
        <v>5</v>
      </c>
      <c r="H17" s="15"/>
      <c r="I17" s="11"/>
      <c r="J17" s="11"/>
      <c r="K17" s="61"/>
    </row>
    <row r="18" spans="1:11" ht="22.15" customHeight="1">
      <c r="A18" s="13" t="s">
        <v>93</v>
      </c>
      <c r="B18" s="12" t="s">
        <v>94</v>
      </c>
      <c r="C18" s="12"/>
      <c r="D18" s="5"/>
      <c r="E18" s="5" t="s">
        <v>92</v>
      </c>
      <c r="F18" s="14" t="str">
        <f t="shared" si="0"/>
        <v/>
      </c>
      <c r="G18" s="15" t="s">
        <v>5</v>
      </c>
      <c r="H18" s="15"/>
      <c r="I18" s="12"/>
      <c r="J18" s="12"/>
      <c r="K18" s="62"/>
    </row>
    <row r="19" spans="1:11" ht="22.15" customHeight="1">
      <c r="A19" s="13" t="s">
        <v>95</v>
      </c>
      <c r="B19" s="11" t="s">
        <v>96</v>
      </c>
      <c r="C19" s="11"/>
      <c r="D19" s="8"/>
      <c r="E19" s="8" t="s">
        <v>92</v>
      </c>
      <c r="F19" s="14" t="str">
        <f t="shared" si="0"/>
        <v/>
      </c>
      <c r="G19" s="15" t="s">
        <v>5</v>
      </c>
      <c r="H19" s="15"/>
      <c r="I19" s="11"/>
      <c r="J19" s="11"/>
      <c r="K19" s="61"/>
    </row>
    <row r="20" spans="1:11" ht="22.15" customHeight="1">
      <c r="A20" s="13" t="s">
        <v>97</v>
      </c>
      <c r="B20" s="12" t="s">
        <v>98</v>
      </c>
      <c r="C20" s="12"/>
      <c r="D20" s="5"/>
      <c r="E20" s="5" t="s">
        <v>99</v>
      </c>
      <c r="F20" s="14" t="str">
        <f t="shared" si="0"/>
        <v/>
      </c>
      <c r="G20" s="15" t="s">
        <v>5</v>
      </c>
      <c r="H20" s="15"/>
      <c r="I20" s="12"/>
      <c r="J20" s="12"/>
      <c r="K20" s="62"/>
    </row>
    <row r="21" spans="1:11" ht="22.15" customHeight="1">
      <c r="A21" s="13" t="s">
        <v>100</v>
      </c>
      <c r="B21" s="11" t="s">
        <v>101</v>
      </c>
      <c r="C21" s="11"/>
      <c r="D21" s="8"/>
      <c r="E21" s="8" t="s">
        <v>99</v>
      </c>
      <c r="F21" s="14" t="str">
        <f t="shared" si="0"/>
        <v/>
      </c>
      <c r="G21" s="15" t="s">
        <v>5</v>
      </c>
      <c r="H21" s="15"/>
      <c r="I21" s="11"/>
      <c r="J21" s="11"/>
      <c r="K21" s="61"/>
    </row>
    <row r="22" spans="1:11" ht="22.15" customHeight="1">
      <c r="A22" s="13" t="s">
        <v>102</v>
      </c>
      <c r="B22" s="12" t="s">
        <v>103</v>
      </c>
      <c r="C22" s="12"/>
      <c r="D22" s="5"/>
      <c r="E22" s="5" t="s">
        <v>99</v>
      </c>
      <c r="F22" s="14" t="str">
        <f t="shared" si="0"/>
        <v/>
      </c>
      <c r="G22" s="15" t="s">
        <v>5</v>
      </c>
      <c r="H22" s="15"/>
      <c r="I22" s="12"/>
      <c r="J22" s="12"/>
      <c r="K22" s="62"/>
    </row>
    <row r="23" spans="1:11" ht="20.100000000000001" customHeight="1">
      <c r="A23" s="70" t="s">
        <v>104</v>
      </c>
      <c r="B23" s="67"/>
      <c r="C23" s="67"/>
      <c r="D23" s="67"/>
      <c r="E23" s="67"/>
      <c r="F23" s="67"/>
      <c r="G23" s="67"/>
      <c r="H23" s="67"/>
      <c r="I23" s="67"/>
      <c r="J23" s="67"/>
      <c r="K23" s="67"/>
    </row>
    <row r="24" spans="1:11" ht="22.15" customHeight="1">
      <c r="A24" s="13" t="s">
        <v>105</v>
      </c>
      <c r="B24" s="11" t="s">
        <v>106</v>
      </c>
      <c r="C24" s="11"/>
      <c r="D24" s="8"/>
      <c r="E24" s="8" t="s">
        <v>107</v>
      </c>
      <c r="F24" s="14" t="str">
        <f t="shared" ref="F24:F29" si="1">IFERROR(H24/D24*100,"")</f>
        <v/>
      </c>
      <c r="G24" s="15" t="s">
        <v>5</v>
      </c>
      <c r="H24" s="15"/>
      <c r="I24" s="11"/>
      <c r="J24" s="11"/>
      <c r="K24" s="61"/>
    </row>
    <row r="25" spans="1:11" ht="22.15" customHeight="1">
      <c r="A25" s="13" t="s">
        <v>108</v>
      </c>
      <c r="B25" s="12" t="s">
        <v>109</v>
      </c>
      <c r="C25" s="12"/>
      <c r="D25" s="5"/>
      <c r="E25" s="5" t="s">
        <v>107</v>
      </c>
      <c r="F25" s="14" t="str">
        <f t="shared" si="1"/>
        <v/>
      </c>
      <c r="G25" s="15" t="s">
        <v>5</v>
      </c>
      <c r="H25" s="15"/>
      <c r="I25" s="12"/>
      <c r="J25" s="12"/>
      <c r="K25" s="62"/>
    </row>
    <row r="26" spans="1:11" ht="22.15" customHeight="1">
      <c r="A26" s="13" t="s">
        <v>110</v>
      </c>
      <c r="B26" s="11" t="s">
        <v>111</v>
      </c>
      <c r="C26" s="11"/>
      <c r="D26" s="8"/>
      <c r="E26" s="8" t="s">
        <v>107</v>
      </c>
      <c r="F26" s="14" t="str">
        <f t="shared" si="1"/>
        <v/>
      </c>
      <c r="G26" s="15" t="s">
        <v>5</v>
      </c>
      <c r="H26" s="15"/>
      <c r="I26" s="11"/>
      <c r="J26" s="11"/>
      <c r="K26" s="61"/>
    </row>
    <row r="27" spans="1:11" ht="22.15" customHeight="1">
      <c r="A27" s="13" t="s">
        <v>112</v>
      </c>
      <c r="B27" s="12" t="s">
        <v>113</v>
      </c>
      <c r="C27" s="12"/>
      <c r="D27" s="5"/>
      <c r="E27" s="5" t="s">
        <v>114</v>
      </c>
      <c r="F27" s="14" t="str">
        <f t="shared" si="1"/>
        <v/>
      </c>
      <c r="G27" s="15" t="s">
        <v>5</v>
      </c>
      <c r="H27" s="15"/>
      <c r="I27" s="12"/>
      <c r="J27" s="12"/>
      <c r="K27" s="62"/>
    </row>
    <row r="28" spans="1:11" ht="22.15" customHeight="1">
      <c r="A28" s="13" t="s">
        <v>115</v>
      </c>
      <c r="B28" s="11" t="s">
        <v>116</v>
      </c>
      <c r="C28" s="11"/>
      <c r="D28" s="8"/>
      <c r="E28" s="8" t="s">
        <v>114</v>
      </c>
      <c r="F28" s="14" t="str">
        <f t="shared" si="1"/>
        <v/>
      </c>
      <c r="G28" s="15" t="s">
        <v>5</v>
      </c>
      <c r="H28" s="15"/>
      <c r="I28" s="11"/>
      <c r="J28" s="11"/>
      <c r="K28" s="61"/>
    </row>
    <row r="29" spans="1:11" ht="22.15" customHeight="1">
      <c r="A29" s="13" t="s">
        <v>117</v>
      </c>
      <c r="B29" s="12" t="s">
        <v>118</v>
      </c>
      <c r="C29" s="12"/>
      <c r="D29" s="5"/>
      <c r="E29" s="5" t="s">
        <v>114</v>
      </c>
      <c r="F29" s="14" t="str">
        <f t="shared" si="1"/>
        <v/>
      </c>
      <c r="G29" s="15" t="s">
        <v>5</v>
      </c>
      <c r="H29" s="15"/>
      <c r="I29" s="12"/>
      <c r="J29" s="12"/>
      <c r="K29" s="62"/>
    </row>
    <row r="30" spans="1:11" ht="20.100000000000001" customHeight="1">
      <c r="A30" s="70" t="s">
        <v>119</v>
      </c>
      <c r="B30" s="67"/>
      <c r="C30" s="67"/>
      <c r="D30" s="67"/>
      <c r="E30" s="67"/>
      <c r="F30" s="67"/>
      <c r="G30" s="67"/>
      <c r="H30" s="67"/>
      <c r="I30" s="67"/>
      <c r="J30" s="67"/>
      <c r="K30" s="67"/>
    </row>
    <row r="31" spans="1:11" ht="22.15" customHeight="1">
      <c r="A31" s="13" t="s">
        <v>120</v>
      </c>
      <c r="B31" s="11" t="s">
        <v>121</v>
      </c>
      <c r="C31" s="11"/>
      <c r="D31" s="8"/>
      <c r="E31" s="8" t="s">
        <v>122</v>
      </c>
      <c r="F31" s="14" t="str">
        <f t="shared" ref="F31:F36" si="2">IFERROR(H31/D31*100,"")</f>
        <v/>
      </c>
      <c r="G31" s="15" t="s">
        <v>5</v>
      </c>
      <c r="H31" s="15"/>
      <c r="I31" s="11"/>
      <c r="J31" s="11"/>
      <c r="K31" s="61"/>
    </row>
    <row r="32" spans="1:11" ht="22.15" customHeight="1">
      <c r="A32" s="13" t="s">
        <v>123</v>
      </c>
      <c r="B32" s="12" t="s">
        <v>124</v>
      </c>
      <c r="C32" s="12"/>
      <c r="D32" s="5"/>
      <c r="E32" s="5" t="s">
        <v>122</v>
      </c>
      <c r="F32" s="14" t="str">
        <f t="shared" si="2"/>
        <v/>
      </c>
      <c r="G32" s="15" t="s">
        <v>5</v>
      </c>
      <c r="H32" s="15"/>
      <c r="I32" s="12"/>
      <c r="J32" s="12"/>
      <c r="K32" s="62"/>
    </row>
    <row r="33" spans="1:11" ht="22.15" customHeight="1">
      <c r="A33" s="13" t="s">
        <v>125</v>
      </c>
      <c r="B33" s="11" t="s">
        <v>126</v>
      </c>
      <c r="C33" s="11"/>
      <c r="D33" s="8"/>
      <c r="E33" s="8" t="s">
        <v>122</v>
      </c>
      <c r="F33" s="14" t="str">
        <f t="shared" si="2"/>
        <v/>
      </c>
      <c r="G33" s="15" t="s">
        <v>5</v>
      </c>
      <c r="H33" s="15"/>
      <c r="I33" s="11"/>
      <c r="J33" s="11"/>
      <c r="K33" s="61"/>
    </row>
    <row r="34" spans="1:11" ht="22.15" customHeight="1">
      <c r="A34" s="13" t="s">
        <v>127</v>
      </c>
      <c r="B34" s="12" t="s">
        <v>128</v>
      </c>
      <c r="C34" s="12"/>
      <c r="D34" s="5"/>
      <c r="E34" s="5" t="s">
        <v>27</v>
      </c>
      <c r="F34" s="14" t="str">
        <f t="shared" si="2"/>
        <v/>
      </c>
      <c r="G34" s="15" t="s">
        <v>5</v>
      </c>
      <c r="H34" s="15"/>
      <c r="I34" s="12"/>
      <c r="J34" s="12"/>
      <c r="K34" s="62"/>
    </row>
    <row r="35" spans="1:11" ht="22.15" customHeight="1">
      <c r="A35" s="13" t="s">
        <v>129</v>
      </c>
      <c r="B35" s="11" t="s">
        <v>130</v>
      </c>
      <c r="C35" s="11"/>
      <c r="D35" s="8"/>
      <c r="E35" s="8" t="s">
        <v>27</v>
      </c>
      <c r="F35" s="14" t="str">
        <f t="shared" si="2"/>
        <v/>
      </c>
      <c r="G35" s="15" t="s">
        <v>5</v>
      </c>
      <c r="H35" s="15"/>
      <c r="I35" s="11"/>
      <c r="J35" s="11"/>
      <c r="K35" s="61"/>
    </row>
    <row r="36" spans="1:11" ht="22.15" customHeight="1">
      <c r="A36" s="13" t="s">
        <v>131</v>
      </c>
      <c r="B36" s="12" t="s">
        <v>132</v>
      </c>
      <c r="C36" s="12"/>
      <c r="D36" s="5"/>
      <c r="E36" s="5" t="s">
        <v>27</v>
      </c>
      <c r="F36" s="14" t="str">
        <f t="shared" si="2"/>
        <v/>
      </c>
      <c r="G36" s="15" t="s">
        <v>5</v>
      </c>
      <c r="H36" s="15"/>
      <c r="I36" s="12"/>
      <c r="J36" s="12"/>
      <c r="K36" s="62"/>
    </row>
    <row r="37" spans="1:11" ht="20.100000000000001" customHeight="1">
      <c r="A37" s="70" t="s">
        <v>133</v>
      </c>
      <c r="B37" s="67"/>
      <c r="C37" s="67"/>
      <c r="D37" s="67"/>
      <c r="E37" s="67"/>
      <c r="F37" s="67"/>
      <c r="G37" s="67"/>
      <c r="H37" s="67"/>
      <c r="I37" s="67"/>
      <c r="J37" s="67"/>
      <c r="K37" s="67"/>
    </row>
    <row r="38" spans="1:11" ht="22.15" customHeight="1">
      <c r="A38" s="13" t="s">
        <v>134</v>
      </c>
      <c r="B38" s="11" t="s">
        <v>135</v>
      </c>
      <c r="C38" s="11"/>
      <c r="D38" s="8"/>
      <c r="E38" s="8" t="s">
        <v>136</v>
      </c>
      <c r="F38" s="14" t="str">
        <f>IFERROR(H38/D38*100,"")</f>
        <v/>
      </c>
      <c r="G38" s="15" t="s">
        <v>5</v>
      </c>
      <c r="H38" s="15"/>
      <c r="I38" s="11"/>
      <c r="J38" s="11"/>
      <c r="K38" s="61"/>
    </row>
    <row r="39" spans="1:11" ht="22.15" customHeight="1">
      <c r="A39" s="13" t="s">
        <v>137</v>
      </c>
      <c r="B39" s="12" t="s">
        <v>138</v>
      </c>
      <c r="C39" s="12"/>
      <c r="D39" s="5"/>
      <c r="E39" s="5" t="s">
        <v>136</v>
      </c>
      <c r="F39" s="14" t="str">
        <f>IFERROR(H39/D39*100,"")</f>
        <v/>
      </c>
      <c r="G39" s="15" t="s">
        <v>5</v>
      </c>
      <c r="H39" s="15"/>
      <c r="I39" s="12"/>
      <c r="J39" s="12"/>
      <c r="K39" s="62"/>
    </row>
    <row r="40" spans="1:11" ht="22.15" customHeight="1">
      <c r="A40" s="13" t="s">
        <v>139</v>
      </c>
      <c r="B40" s="11" t="s">
        <v>140</v>
      </c>
      <c r="C40" s="11"/>
      <c r="D40" s="8"/>
      <c r="E40" s="8" t="s">
        <v>30</v>
      </c>
      <c r="F40" s="14" t="str">
        <f>IFERROR(H40/D40*100,"")</f>
        <v/>
      </c>
      <c r="G40" s="15" t="s">
        <v>5</v>
      </c>
      <c r="H40" s="15"/>
      <c r="I40" s="11"/>
      <c r="J40" s="11"/>
      <c r="K40" s="61"/>
    </row>
    <row r="41" spans="1:11" ht="22.15" customHeight="1">
      <c r="A41" s="13" t="s">
        <v>141</v>
      </c>
      <c r="B41" s="12" t="s">
        <v>142</v>
      </c>
      <c r="C41" s="12"/>
      <c r="D41" s="5"/>
      <c r="E41" s="5" t="s">
        <v>30</v>
      </c>
      <c r="F41" s="14" t="str">
        <f>IFERROR(H41/D41*100,"")</f>
        <v/>
      </c>
      <c r="G41" s="15" t="s">
        <v>5</v>
      </c>
      <c r="H41" s="15"/>
      <c r="I41" s="12"/>
      <c r="J41" s="12"/>
      <c r="K41" s="62"/>
    </row>
    <row r="42" spans="1:11" ht="20.100000000000001" customHeight="1">
      <c r="A42" s="70" t="s">
        <v>143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</row>
    <row r="43" spans="1:11" ht="22.15" customHeight="1">
      <c r="A43" s="13" t="s">
        <v>144</v>
      </c>
      <c r="B43" s="11" t="s">
        <v>145</v>
      </c>
      <c r="C43" s="11"/>
      <c r="D43" s="8"/>
      <c r="E43" s="8" t="s">
        <v>33</v>
      </c>
      <c r="F43" s="14" t="str">
        <f>IFERROR(H43/D43*100,"")</f>
        <v/>
      </c>
      <c r="G43" s="15" t="s">
        <v>5</v>
      </c>
      <c r="H43" s="15"/>
      <c r="I43" s="11"/>
      <c r="J43" s="11"/>
      <c r="K43" s="61"/>
    </row>
    <row r="44" spans="1:11" ht="22.15" customHeight="1">
      <c r="A44" s="13" t="s">
        <v>146</v>
      </c>
      <c r="B44" s="12" t="s">
        <v>147</v>
      </c>
      <c r="C44" s="12"/>
      <c r="D44" s="5"/>
      <c r="E44" s="5" t="s">
        <v>33</v>
      </c>
      <c r="F44" s="14" t="str">
        <f>IFERROR(H44/D44*100,"")</f>
        <v/>
      </c>
      <c r="G44" s="15" t="s">
        <v>5</v>
      </c>
      <c r="H44" s="15"/>
      <c r="I44" s="12"/>
      <c r="J44" s="12"/>
      <c r="K44" s="62"/>
    </row>
    <row r="45" spans="1:11">
      <c r="A45" s="60"/>
      <c r="B45" s="60"/>
      <c r="C45" s="60"/>
      <c r="D45" s="60"/>
      <c r="E45" s="60"/>
      <c r="F45" s="60"/>
      <c r="G45" s="60"/>
      <c r="H45" s="60"/>
      <c r="I45" s="60"/>
      <c r="J45" s="60"/>
    </row>
    <row r="46" spans="1:11">
      <c r="A46" s="60"/>
      <c r="B46" s="60"/>
      <c r="C46" s="60"/>
      <c r="D46" s="60"/>
      <c r="E46" s="60"/>
      <c r="F46" s="60"/>
      <c r="G46" s="60"/>
      <c r="H46" s="60"/>
      <c r="I46" s="60"/>
      <c r="J46" s="60"/>
    </row>
    <row r="47" spans="1:11">
      <c r="A47" s="60"/>
      <c r="B47" s="60"/>
      <c r="C47" s="60"/>
      <c r="D47" s="60"/>
      <c r="E47" s="60"/>
      <c r="F47" s="60"/>
      <c r="G47" s="60"/>
      <c r="H47" s="60"/>
      <c r="I47" s="60"/>
      <c r="J47" s="60"/>
    </row>
    <row r="48" spans="1:11">
      <c r="A48" s="60"/>
      <c r="B48" s="60"/>
      <c r="C48" s="60"/>
      <c r="D48" s="60"/>
      <c r="E48" s="60"/>
      <c r="F48" s="60"/>
      <c r="G48" s="60"/>
      <c r="H48" s="60"/>
      <c r="I48" s="60"/>
      <c r="J48" s="60"/>
    </row>
  </sheetData>
  <mergeCells count="10">
    <mergeCell ref="A42:K42"/>
    <mergeCell ref="A5:K5"/>
    <mergeCell ref="A1:K1"/>
    <mergeCell ref="A23:K23"/>
    <mergeCell ref="A37:K37"/>
    <mergeCell ref="A30:K30"/>
    <mergeCell ref="A7:K7"/>
    <mergeCell ref="A2:K2"/>
    <mergeCell ref="A11:K11"/>
    <mergeCell ref="A16:K16"/>
  </mergeCells>
  <conditionalFormatting sqref="G5:G45">
    <cfRule type="cellIs" dxfId="116" priority="1" operator="equal">
      <formula>"Done"</formula>
    </cfRule>
    <cfRule type="cellIs" dxfId="115" priority="2" operator="equal">
      <formula>"Completed"</formula>
    </cfRule>
    <cfRule type="cellIs" dxfId="114" priority="3" operator="equal">
      <formula>"Closed"</formula>
    </cfRule>
    <cfRule type="cellIs" dxfId="113" priority="4" operator="equal">
      <formula>"Fixed"</formula>
    </cfRule>
    <cfRule type="cellIs" dxfId="112" priority="5" operator="equal">
      <formula>"Approved"</formula>
    </cfRule>
    <cfRule type="cellIs" dxfId="111" priority="6" operator="equal">
      <formula>"In Progress"</formula>
    </cfRule>
    <cfRule type="cellIs" dxfId="110" priority="7" operator="equal">
      <formula>"Open"</formula>
    </cfRule>
    <cfRule type="cellIs" dxfId="109" priority="8" operator="equal">
      <formula>"Pending"</formula>
    </cfRule>
    <cfRule type="cellIs" dxfId="108" priority="9" operator="equal">
      <formula>"Blocked"</formula>
    </cfRule>
    <cfRule type="cellIs" dxfId="107" priority="10" operator="equal">
      <formula>"Cancelled"</formula>
    </cfRule>
    <cfRule type="cellIs" dxfId="106" priority="11" operator="equal">
      <formula>"Rejected"</formula>
    </cfRule>
    <cfRule type="cellIs" dxfId="105" priority="12" operator="equal">
      <formula>"Submitted"</formula>
    </cfRule>
  </conditionalFormatting>
  <dataValidations count="1">
    <dataValidation type="list" allowBlank="1" sqref="G6 G17:G22 G24:G29 G31:G36 G38:G41 G43:G44 G8:G10 G15 G12:G14" xr:uid="{00000000-0002-0000-0100-000000000000}">
      <formula1>"Not Started,In Progress,Done,Blocked,Deferred"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75623"/>
  </sheetPr>
  <dimension ref="A1:L25"/>
  <sheetViews>
    <sheetView showGridLines="0" workbookViewId="0">
      <pane ySplit="4" topLeftCell="A5" activePane="bottomLeft" state="frozen"/>
      <selection pane="bottomLeft" activeCell="M25" sqref="M25"/>
    </sheetView>
  </sheetViews>
  <sheetFormatPr defaultRowHeight="14.25"/>
  <cols>
    <col min="1" max="1" width="28" customWidth="1"/>
    <col min="2" max="2" width="10" customWidth="1"/>
    <col min="3" max="4" width="16" customWidth="1"/>
    <col min="5" max="5" width="34.42578125" customWidth="1"/>
    <col min="6" max="6" width="12" customWidth="1"/>
    <col min="7" max="7" width="14" customWidth="1"/>
    <col min="8" max="8" width="16" customWidth="1"/>
    <col min="9" max="11" width="14" customWidth="1"/>
    <col min="12" max="12" width="20" customWidth="1"/>
  </cols>
  <sheetData>
    <row r="1" spans="1:12" ht="28.15" customHeight="1">
      <c r="A1" s="58" t="s">
        <v>148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</row>
    <row r="2" spans="1:12" ht="16.149999999999999" customHeight="1">
      <c r="A2" s="59" t="s">
        <v>149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</row>
    <row r="3" spans="1:12" ht="6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</row>
    <row r="4" spans="1:12" ht="26.1" customHeight="1">
      <c r="A4" s="16" t="s">
        <v>150</v>
      </c>
      <c r="B4" s="16" t="s">
        <v>151</v>
      </c>
      <c r="C4" s="16" t="s">
        <v>152</v>
      </c>
      <c r="D4" s="16" t="s">
        <v>153</v>
      </c>
      <c r="E4" s="16" t="s">
        <v>154</v>
      </c>
      <c r="F4" s="16" t="s">
        <v>155</v>
      </c>
      <c r="G4" s="16" t="s">
        <v>37</v>
      </c>
      <c r="H4" s="16" t="s">
        <v>156</v>
      </c>
      <c r="I4" s="16" t="s">
        <v>14</v>
      </c>
      <c r="J4" s="16" t="s">
        <v>157</v>
      </c>
      <c r="K4" s="16" t="s">
        <v>15</v>
      </c>
      <c r="L4" s="16" t="s">
        <v>52</v>
      </c>
    </row>
    <row r="5" spans="1:12" ht="20.100000000000001" customHeight="1">
      <c r="A5" s="7" t="s">
        <v>158</v>
      </c>
      <c r="B5" s="8" t="s">
        <v>159</v>
      </c>
      <c r="C5" s="11" t="s">
        <v>160</v>
      </c>
      <c r="D5" s="11"/>
      <c r="E5" s="11" t="s">
        <v>161</v>
      </c>
      <c r="F5" s="17" t="s">
        <v>162</v>
      </c>
      <c r="G5" s="8">
        <v>5</v>
      </c>
      <c r="H5" s="8" t="s">
        <v>41</v>
      </c>
      <c r="I5" s="11"/>
      <c r="J5" s="8"/>
      <c r="K5" s="15" t="s">
        <v>5</v>
      </c>
      <c r="L5" s="11"/>
    </row>
    <row r="6" spans="1:12" ht="20.100000000000001" customHeight="1">
      <c r="A6" s="4" t="s">
        <v>163</v>
      </c>
      <c r="B6" s="5" t="s">
        <v>164</v>
      </c>
      <c r="C6" s="12" t="s">
        <v>160</v>
      </c>
      <c r="D6" s="12"/>
      <c r="E6" s="12" t="s">
        <v>165</v>
      </c>
      <c r="F6" s="17" t="s">
        <v>166</v>
      </c>
      <c r="G6" s="5">
        <v>3</v>
      </c>
      <c r="H6" s="5" t="s">
        <v>40</v>
      </c>
      <c r="I6" s="12"/>
      <c r="J6" s="5"/>
      <c r="K6" s="15" t="s">
        <v>5</v>
      </c>
      <c r="L6" s="12"/>
    </row>
    <row r="7" spans="1:12" ht="20.100000000000001" customHeight="1">
      <c r="A7" s="7" t="s">
        <v>167</v>
      </c>
      <c r="B7" s="8" t="s">
        <v>164</v>
      </c>
      <c r="C7" s="11" t="s">
        <v>160</v>
      </c>
      <c r="D7" s="11"/>
      <c r="E7" s="11" t="s">
        <v>168</v>
      </c>
      <c r="F7" s="17" t="s">
        <v>166</v>
      </c>
      <c r="G7" s="8">
        <v>3</v>
      </c>
      <c r="H7" s="8" t="s">
        <v>40</v>
      </c>
      <c r="I7" s="11"/>
      <c r="J7" s="8"/>
      <c r="K7" s="15" t="s">
        <v>5</v>
      </c>
      <c r="L7" s="11"/>
    </row>
    <row r="8" spans="1:12" ht="20.100000000000001" customHeight="1">
      <c r="A8" s="4" t="s">
        <v>169</v>
      </c>
      <c r="B8" s="5" t="s">
        <v>164</v>
      </c>
      <c r="C8" s="12" t="s">
        <v>160</v>
      </c>
      <c r="D8" s="12"/>
      <c r="E8" s="12" t="s">
        <v>170</v>
      </c>
      <c r="F8" s="17" t="s">
        <v>162</v>
      </c>
      <c r="G8" s="5">
        <v>5</v>
      </c>
      <c r="H8" s="5" t="s">
        <v>42</v>
      </c>
      <c r="I8" s="12"/>
      <c r="J8" s="5"/>
      <c r="K8" s="15" t="s">
        <v>5</v>
      </c>
      <c r="L8" s="12"/>
    </row>
    <row r="9" spans="1:12" ht="20.100000000000001" customHeight="1">
      <c r="A9" s="7" t="s">
        <v>171</v>
      </c>
      <c r="B9" s="8" t="s">
        <v>159</v>
      </c>
      <c r="C9" s="11" t="s">
        <v>160</v>
      </c>
      <c r="D9" s="11"/>
      <c r="E9" s="11" t="s">
        <v>172</v>
      </c>
      <c r="F9" s="17" t="s">
        <v>173</v>
      </c>
      <c r="G9" s="8">
        <v>8</v>
      </c>
      <c r="H9" s="8" t="s">
        <v>40</v>
      </c>
      <c r="I9" s="11"/>
      <c r="J9" s="8"/>
      <c r="K9" s="15" t="s">
        <v>5</v>
      </c>
      <c r="L9" s="11"/>
    </row>
    <row r="10" spans="1:12" ht="20.100000000000001" customHeight="1">
      <c r="A10" s="4" t="s">
        <v>174</v>
      </c>
      <c r="B10" s="5" t="s">
        <v>164</v>
      </c>
      <c r="C10" s="12" t="s">
        <v>160</v>
      </c>
      <c r="D10" s="12"/>
      <c r="E10" s="12" t="s">
        <v>175</v>
      </c>
      <c r="F10" s="17" t="s">
        <v>166</v>
      </c>
      <c r="G10" s="5">
        <v>3</v>
      </c>
      <c r="H10" s="5" t="s">
        <v>42</v>
      </c>
      <c r="I10" s="12"/>
      <c r="J10" s="5"/>
      <c r="K10" s="15" t="s">
        <v>5</v>
      </c>
      <c r="L10" s="12"/>
    </row>
    <row r="11" spans="1:12" ht="20.100000000000001" customHeight="1">
      <c r="A11" s="7" t="s">
        <v>176</v>
      </c>
      <c r="B11" s="8" t="s">
        <v>164</v>
      </c>
      <c r="C11" s="11" t="s">
        <v>160</v>
      </c>
      <c r="D11" s="11"/>
      <c r="E11" s="11" t="s">
        <v>177</v>
      </c>
      <c r="F11" s="17" t="s">
        <v>166</v>
      </c>
      <c r="G11" s="8">
        <v>3</v>
      </c>
      <c r="H11" s="8" t="s">
        <v>42</v>
      </c>
      <c r="I11" s="11"/>
      <c r="J11" s="8"/>
      <c r="K11" s="15" t="s">
        <v>5</v>
      </c>
      <c r="L11" s="11"/>
    </row>
    <row r="12" spans="1:12" ht="20.100000000000001" customHeight="1">
      <c r="A12" s="4" t="s">
        <v>178</v>
      </c>
      <c r="B12" s="5" t="s">
        <v>164</v>
      </c>
      <c r="C12" s="12" t="s">
        <v>179</v>
      </c>
      <c r="D12" s="12"/>
      <c r="E12" s="12" t="s">
        <v>180</v>
      </c>
      <c r="F12" s="17" t="s">
        <v>162</v>
      </c>
      <c r="G12" s="5">
        <v>5</v>
      </c>
      <c r="H12" s="5" t="s">
        <v>41</v>
      </c>
      <c r="I12" s="12"/>
      <c r="J12" s="5"/>
      <c r="K12" s="15" t="s">
        <v>5</v>
      </c>
      <c r="L12" s="12"/>
    </row>
    <row r="13" spans="1:12" ht="20.100000000000001" customHeight="1">
      <c r="A13" s="7" t="s">
        <v>181</v>
      </c>
      <c r="B13" s="8" t="s">
        <v>164</v>
      </c>
      <c r="C13" s="11" t="s">
        <v>179</v>
      </c>
      <c r="D13" s="11"/>
      <c r="E13" s="11" t="s">
        <v>182</v>
      </c>
      <c r="F13" s="17" t="s">
        <v>166</v>
      </c>
      <c r="G13" s="8">
        <v>3</v>
      </c>
      <c r="H13" s="8" t="s">
        <v>41</v>
      </c>
      <c r="I13" s="11"/>
      <c r="J13" s="8"/>
      <c r="K13" s="15" t="s">
        <v>5</v>
      </c>
      <c r="L13" s="11"/>
    </row>
    <row r="14" spans="1:12" ht="20.100000000000001" customHeight="1">
      <c r="A14" s="4" t="s">
        <v>183</v>
      </c>
      <c r="B14" s="5" t="s">
        <v>164</v>
      </c>
      <c r="C14" s="12" t="s">
        <v>184</v>
      </c>
      <c r="D14" s="12"/>
      <c r="E14" s="12" t="s">
        <v>185</v>
      </c>
      <c r="F14" s="17" t="s">
        <v>162</v>
      </c>
      <c r="G14" s="5">
        <v>5</v>
      </c>
      <c r="H14" s="5" t="s">
        <v>40</v>
      </c>
      <c r="I14" s="12"/>
      <c r="J14" s="5"/>
      <c r="K14" s="15" t="s">
        <v>5</v>
      </c>
      <c r="L14" s="12"/>
    </row>
    <row r="15" spans="1:12" ht="20.100000000000001" customHeight="1">
      <c r="A15" s="7" t="s">
        <v>186</v>
      </c>
      <c r="B15" s="8" t="s">
        <v>164</v>
      </c>
      <c r="C15" s="11" t="s">
        <v>184</v>
      </c>
      <c r="D15" s="11"/>
      <c r="E15" s="11" t="s">
        <v>187</v>
      </c>
      <c r="F15" s="17" t="s">
        <v>162</v>
      </c>
      <c r="G15" s="8">
        <v>5</v>
      </c>
      <c r="H15" s="8" t="s">
        <v>40</v>
      </c>
      <c r="I15" s="11"/>
      <c r="J15" s="8"/>
      <c r="K15" s="15" t="s">
        <v>5</v>
      </c>
      <c r="L15" s="11"/>
    </row>
    <row r="16" spans="1:12" ht="20.100000000000001" customHeight="1">
      <c r="A16" s="4" t="s">
        <v>188</v>
      </c>
      <c r="B16" s="5" t="s">
        <v>164</v>
      </c>
      <c r="C16" s="12" t="s">
        <v>189</v>
      </c>
      <c r="D16" s="12"/>
      <c r="E16" s="12" t="s">
        <v>190</v>
      </c>
      <c r="F16" s="17" t="s">
        <v>166</v>
      </c>
      <c r="G16" s="5">
        <v>3</v>
      </c>
      <c r="H16" s="5" t="s">
        <v>40</v>
      </c>
      <c r="I16" s="12"/>
      <c r="J16" s="5"/>
      <c r="K16" s="15" t="s">
        <v>5</v>
      </c>
      <c r="L16" s="12"/>
    </row>
    <row r="17" spans="1:12" ht="20.100000000000001" customHeight="1">
      <c r="A17" s="7" t="s">
        <v>191</v>
      </c>
      <c r="B17" s="8" t="s">
        <v>164</v>
      </c>
      <c r="C17" s="11" t="s">
        <v>189</v>
      </c>
      <c r="D17" s="11"/>
      <c r="E17" s="11" t="s">
        <v>192</v>
      </c>
      <c r="F17" s="17" t="s">
        <v>166</v>
      </c>
      <c r="G17" s="8">
        <v>3</v>
      </c>
      <c r="H17" s="8" t="s">
        <v>40</v>
      </c>
      <c r="I17" s="11"/>
      <c r="J17" s="8"/>
      <c r="K17" s="15" t="s">
        <v>5</v>
      </c>
      <c r="L17" s="11"/>
    </row>
    <row r="20" spans="1:12" ht="20.100000000000001" customHeight="1">
      <c r="A20" s="18" t="s">
        <v>193</v>
      </c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</row>
    <row r="21" spans="1:12" ht="22.15" customHeight="1">
      <c r="A21" s="16" t="s">
        <v>35</v>
      </c>
      <c r="B21" s="16" t="s">
        <v>36</v>
      </c>
      <c r="C21" s="16" t="s">
        <v>37</v>
      </c>
      <c r="D21" s="16" t="s">
        <v>38</v>
      </c>
      <c r="E21" s="16" t="s">
        <v>4</v>
      </c>
      <c r="F21" s="60"/>
      <c r="G21" s="60"/>
      <c r="H21" s="60"/>
      <c r="I21" s="60"/>
      <c r="J21" s="60"/>
      <c r="K21" s="60"/>
      <c r="L21" s="60"/>
    </row>
    <row r="22" spans="1:12" ht="20.100000000000001" customHeight="1">
      <c r="A22" s="4" t="s">
        <v>40</v>
      </c>
      <c r="B22" s="5">
        <v>7</v>
      </c>
      <c r="C22" s="5">
        <v>30</v>
      </c>
      <c r="D22" s="5"/>
      <c r="E22" s="5"/>
      <c r="F22" s="60"/>
      <c r="G22" s="60"/>
      <c r="H22" s="60"/>
      <c r="I22" s="60"/>
      <c r="J22" s="60"/>
      <c r="K22" s="60"/>
      <c r="L22" s="60"/>
    </row>
    <row r="23" spans="1:12" ht="20.100000000000001" customHeight="1">
      <c r="A23" s="7" t="s">
        <v>41</v>
      </c>
      <c r="B23" s="8">
        <v>3</v>
      </c>
      <c r="C23" s="8">
        <v>13</v>
      </c>
      <c r="D23" s="8"/>
      <c r="E23" s="8"/>
      <c r="F23" s="60"/>
      <c r="G23" s="60"/>
      <c r="H23" s="60"/>
      <c r="I23" s="60"/>
      <c r="J23" s="60"/>
      <c r="K23" s="60"/>
      <c r="L23" s="60"/>
    </row>
    <row r="24" spans="1:12" ht="20.100000000000001" customHeight="1">
      <c r="A24" s="4" t="s">
        <v>42</v>
      </c>
      <c r="B24" s="5">
        <v>3</v>
      </c>
      <c r="C24" s="5">
        <v>11</v>
      </c>
      <c r="D24" s="5"/>
      <c r="E24" s="5"/>
      <c r="F24" s="60"/>
      <c r="G24" s="60"/>
      <c r="H24" s="60"/>
      <c r="I24" s="60"/>
      <c r="J24" s="60"/>
      <c r="K24" s="60"/>
      <c r="L24" s="60"/>
    </row>
    <row r="25" spans="1:12" ht="22.15" customHeight="1">
      <c r="A25" s="19" t="s">
        <v>194</v>
      </c>
      <c r="B25" s="10">
        <v>13</v>
      </c>
      <c r="C25" s="10">
        <v>54</v>
      </c>
      <c r="D25" s="10"/>
      <c r="E25" s="10"/>
      <c r="F25" s="60"/>
      <c r="G25" s="60"/>
      <c r="H25" s="60"/>
      <c r="I25" s="60"/>
      <c r="J25" s="60"/>
      <c r="K25" s="60"/>
      <c r="L25" s="60"/>
    </row>
  </sheetData>
  <conditionalFormatting sqref="K5:K23">
    <cfRule type="cellIs" dxfId="104" priority="1" operator="equal">
      <formula>"Done"</formula>
    </cfRule>
    <cfRule type="cellIs" dxfId="103" priority="2" operator="equal">
      <formula>"Completed"</formula>
    </cfRule>
    <cfRule type="cellIs" dxfId="102" priority="3" operator="equal">
      <formula>"Closed"</formula>
    </cfRule>
    <cfRule type="cellIs" dxfId="101" priority="4" operator="equal">
      <formula>"Fixed"</formula>
    </cfRule>
    <cfRule type="cellIs" dxfId="100" priority="5" operator="equal">
      <formula>"Approved"</formula>
    </cfRule>
    <cfRule type="cellIs" dxfId="99" priority="6" operator="equal">
      <formula>"In Progress"</formula>
    </cfRule>
    <cfRule type="cellIs" dxfId="98" priority="7" operator="equal">
      <formula>"Open"</formula>
    </cfRule>
    <cfRule type="cellIs" dxfId="97" priority="8" operator="equal">
      <formula>"Pending"</formula>
    </cfRule>
    <cfRule type="cellIs" dxfId="96" priority="9" operator="equal">
      <formula>"Blocked"</formula>
    </cfRule>
    <cfRule type="cellIs" dxfId="95" priority="10" operator="equal">
      <formula>"Cancelled"</formula>
    </cfRule>
    <cfRule type="cellIs" dxfId="94" priority="11" operator="equal">
      <formula>"Rejected"</formula>
    </cfRule>
    <cfRule type="cellIs" dxfId="93" priority="12" operator="equal">
      <formula>"Submitted"</formula>
    </cfRule>
  </conditionalFormatting>
  <dataValidations count="3">
    <dataValidation type="list" allowBlank="1" sqref="F5 F6 F7 F8 F9 F10 F11 F12 F13 F14 F15 F16 F17" xr:uid="{00000000-0002-0000-0200-000000000000}">
      <formula1>"Simple,Medium,Complex"</formula1>
    </dataValidation>
    <dataValidation type="list" allowBlank="1" sqref="H5 H6 H7 H8 H9 H10 H11 H12 H13 H14 H15 H16 H17" xr:uid="{00000000-0002-0000-0200-000001000000}">
      <formula1>"Iteration 1,Iteration 2,Iteration 3"</formula1>
    </dataValidation>
    <dataValidation type="list" allowBlank="1" sqref="K5 K6 K7 K8 K9 K10 K11 K12 K13 K14 K15 K16 K17" xr:uid="{00000000-0002-0000-0200-000002000000}">
      <formula1>"Not Started,In Progress,Done,Blocked"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F6000"/>
  </sheetPr>
  <dimension ref="A1:L24"/>
  <sheetViews>
    <sheetView showGridLines="0" workbookViewId="0">
      <pane ySplit="4" topLeftCell="A5" activePane="bottomLeft" state="frozen"/>
      <selection pane="bottomLeft" activeCell="C29" sqref="C29"/>
    </sheetView>
  </sheetViews>
  <sheetFormatPr defaultRowHeight="14.25"/>
  <cols>
    <col min="1" max="1" width="7.140625" customWidth="1"/>
    <col min="2" max="2" width="12" customWidth="1"/>
    <col min="3" max="3" width="38" customWidth="1"/>
    <col min="4" max="5" width="14" customWidth="1"/>
    <col min="6" max="6" width="10" customWidth="1"/>
    <col min="7" max="7" width="12" customWidth="1"/>
    <col min="8" max="8" width="38" customWidth="1"/>
    <col min="9" max="10" width="14" customWidth="1"/>
    <col min="11" max="11" width="12" customWidth="1"/>
    <col min="12" max="12" width="20" customWidth="1"/>
  </cols>
  <sheetData>
    <row r="1" spans="1:12" ht="17.649999999999999">
      <c r="A1" s="71" t="s">
        <v>195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</row>
    <row r="2" spans="1:12">
      <c r="A2" s="68" t="s">
        <v>196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</row>
    <row r="4" spans="1:12">
      <c r="A4" s="20" t="s">
        <v>46</v>
      </c>
      <c r="B4" s="20" t="s">
        <v>197</v>
      </c>
      <c r="C4" s="20" t="s">
        <v>198</v>
      </c>
      <c r="D4" s="20" t="s">
        <v>199</v>
      </c>
      <c r="E4" s="20" t="s">
        <v>200</v>
      </c>
      <c r="F4" s="20" t="s">
        <v>201</v>
      </c>
      <c r="G4" s="20" t="s">
        <v>202</v>
      </c>
      <c r="H4" s="20" t="s">
        <v>203</v>
      </c>
      <c r="I4" s="20" t="s">
        <v>204</v>
      </c>
      <c r="J4" s="20" t="s">
        <v>205</v>
      </c>
      <c r="K4" s="20" t="s">
        <v>15</v>
      </c>
      <c r="L4" s="20" t="s">
        <v>52</v>
      </c>
    </row>
    <row r="5" spans="1:12" ht="25.5">
      <c r="A5" s="21" t="s">
        <v>206</v>
      </c>
      <c r="B5" s="8" t="s">
        <v>207</v>
      </c>
      <c r="C5" s="22" t="s">
        <v>208</v>
      </c>
      <c r="D5" s="11" t="s">
        <v>209</v>
      </c>
      <c r="E5" s="11" t="s">
        <v>210</v>
      </c>
      <c r="F5" s="23" t="s">
        <v>162</v>
      </c>
      <c r="G5" s="8" t="s">
        <v>211</v>
      </c>
      <c r="H5" s="11" t="s">
        <v>212</v>
      </c>
      <c r="I5" s="8"/>
      <c r="J5" s="8"/>
      <c r="K5" s="15" t="s">
        <v>213</v>
      </c>
      <c r="L5" s="11"/>
    </row>
    <row r="6" spans="1:12">
      <c r="A6" s="21" t="s">
        <v>214</v>
      </c>
      <c r="B6" s="24"/>
      <c r="C6" s="24"/>
      <c r="D6" s="24"/>
      <c r="E6" s="24"/>
      <c r="F6" s="23" t="s">
        <v>162</v>
      </c>
      <c r="G6" s="24"/>
      <c r="H6" s="24"/>
      <c r="I6" s="24"/>
      <c r="J6" s="24"/>
      <c r="K6" s="25" t="s">
        <v>213</v>
      </c>
      <c r="L6" s="24"/>
    </row>
    <row r="7" spans="1:12">
      <c r="A7" s="21" t="s">
        <v>215</v>
      </c>
      <c r="B7" s="26"/>
      <c r="C7" s="26"/>
      <c r="D7" s="26"/>
      <c r="E7" s="26"/>
      <c r="F7" s="23" t="s">
        <v>162</v>
      </c>
      <c r="G7" s="26"/>
      <c r="H7" s="26"/>
      <c r="I7" s="26"/>
      <c r="J7" s="26"/>
      <c r="K7" s="25" t="s">
        <v>213</v>
      </c>
      <c r="L7" s="26"/>
    </row>
    <row r="8" spans="1:12">
      <c r="A8" s="21" t="s">
        <v>216</v>
      </c>
      <c r="B8" s="24"/>
      <c r="C8" s="24"/>
      <c r="D8" s="24"/>
      <c r="E8" s="24"/>
      <c r="F8" s="23" t="s">
        <v>162</v>
      </c>
      <c r="G8" s="24"/>
      <c r="H8" s="24"/>
      <c r="I8" s="24"/>
      <c r="J8" s="24"/>
      <c r="K8" s="25" t="s">
        <v>213</v>
      </c>
      <c r="L8" s="24"/>
    </row>
    <row r="9" spans="1:12">
      <c r="A9" s="21" t="s">
        <v>217</v>
      </c>
      <c r="B9" s="26"/>
      <c r="C9" s="26"/>
      <c r="D9" s="26"/>
      <c r="E9" s="26"/>
      <c r="F9" s="23" t="s">
        <v>162</v>
      </c>
      <c r="G9" s="26"/>
      <c r="H9" s="26"/>
      <c r="I9" s="26"/>
      <c r="J9" s="26"/>
      <c r="K9" s="25" t="s">
        <v>213</v>
      </c>
      <c r="L9" s="26"/>
    </row>
    <row r="10" spans="1:12">
      <c r="A10" s="21" t="s">
        <v>218</v>
      </c>
      <c r="B10" s="24"/>
      <c r="C10" s="24"/>
      <c r="D10" s="24"/>
      <c r="E10" s="24"/>
      <c r="F10" s="23" t="s">
        <v>162</v>
      </c>
      <c r="G10" s="24"/>
      <c r="H10" s="24"/>
      <c r="I10" s="24"/>
      <c r="J10" s="24"/>
      <c r="K10" s="25" t="s">
        <v>213</v>
      </c>
      <c r="L10" s="24"/>
    </row>
    <row r="11" spans="1:12">
      <c r="A11" s="21" t="s">
        <v>219</v>
      </c>
      <c r="B11" s="26"/>
      <c r="C11" s="26"/>
      <c r="D11" s="26"/>
      <c r="E11" s="26"/>
      <c r="F11" s="23" t="s">
        <v>162</v>
      </c>
      <c r="G11" s="26"/>
      <c r="H11" s="26"/>
      <c r="I11" s="26"/>
      <c r="J11" s="26"/>
      <c r="K11" s="25" t="s">
        <v>213</v>
      </c>
      <c r="L11" s="26"/>
    </row>
    <row r="12" spans="1:12">
      <c r="A12" s="21" t="s">
        <v>220</v>
      </c>
      <c r="B12" s="24"/>
      <c r="C12" s="24"/>
      <c r="D12" s="24"/>
      <c r="E12" s="24"/>
      <c r="F12" s="23" t="s">
        <v>162</v>
      </c>
      <c r="G12" s="24"/>
      <c r="H12" s="24"/>
      <c r="I12" s="24"/>
      <c r="J12" s="24"/>
      <c r="K12" s="25" t="s">
        <v>213</v>
      </c>
      <c r="L12" s="24"/>
    </row>
    <row r="13" spans="1:12">
      <c r="A13" s="21" t="s">
        <v>221</v>
      </c>
      <c r="B13" s="26"/>
      <c r="C13" s="26"/>
      <c r="D13" s="26"/>
      <c r="E13" s="26"/>
      <c r="F13" s="23" t="s">
        <v>162</v>
      </c>
      <c r="G13" s="26"/>
      <c r="H13" s="26"/>
      <c r="I13" s="26"/>
      <c r="J13" s="26"/>
      <c r="K13" s="25" t="s">
        <v>213</v>
      </c>
      <c r="L13" s="26"/>
    </row>
    <row r="14" spans="1:12">
      <c r="A14" s="21" t="s">
        <v>222</v>
      </c>
      <c r="B14" s="24"/>
      <c r="C14" s="24"/>
      <c r="D14" s="24"/>
      <c r="E14" s="24"/>
      <c r="F14" s="23" t="s">
        <v>162</v>
      </c>
      <c r="G14" s="24"/>
      <c r="H14" s="24"/>
      <c r="I14" s="24"/>
      <c r="J14" s="24"/>
      <c r="K14" s="25" t="s">
        <v>213</v>
      </c>
      <c r="L14" s="24"/>
    </row>
    <row r="15" spans="1:12">
      <c r="A15" s="21" t="s">
        <v>223</v>
      </c>
      <c r="B15" s="26"/>
      <c r="C15" s="26"/>
      <c r="D15" s="26"/>
      <c r="E15" s="26"/>
      <c r="F15" s="23" t="s">
        <v>162</v>
      </c>
      <c r="G15" s="26"/>
      <c r="H15" s="26"/>
      <c r="I15" s="26"/>
      <c r="J15" s="26"/>
      <c r="K15" s="25" t="s">
        <v>213</v>
      </c>
      <c r="L15" s="26"/>
    </row>
    <row r="16" spans="1:12">
      <c r="A16" s="21" t="s">
        <v>224</v>
      </c>
      <c r="B16" s="24"/>
      <c r="C16" s="24"/>
      <c r="D16" s="24"/>
      <c r="E16" s="24"/>
      <c r="F16" s="23" t="s">
        <v>162</v>
      </c>
      <c r="G16" s="24"/>
      <c r="H16" s="24"/>
      <c r="I16" s="24"/>
      <c r="J16" s="24"/>
      <c r="K16" s="25" t="s">
        <v>213</v>
      </c>
      <c r="L16" s="24"/>
    </row>
    <row r="17" spans="1:12">
      <c r="A17" s="21" t="s">
        <v>225</v>
      </c>
      <c r="B17" s="26"/>
      <c r="C17" s="26"/>
      <c r="D17" s="26"/>
      <c r="E17" s="26"/>
      <c r="F17" s="23" t="s">
        <v>162</v>
      </c>
      <c r="G17" s="26"/>
      <c r="H17" s="26"/>
      <c r="I17" s="26"/>
      <c r="J17" s="26"/>
      <c r="K17" s="25" t="s">
        <v>213</v>
      </c>
      <c r="L17" s="26"/>
    </row>
    <row r="18" spans="1:12">
      <c r="A18" s="21" t="s">
        <v>226</v>
      </c>
      <c r="B18" s="24"/>
      <c r="C18" s="24"/>
      <c r="D18" s="24"/>
      <c r="E18" s="24"/>
      <c r="F18" s="23" t="s">
        <v>162</v>
      </c>
      <c r="G18" s="24"/>
      <c r="H18" s="24"/>
      <c r="I18" s="24"/>
      <c r="J18" s="24"/>
      <c r="K18" s="25" t="s">
        <v>213</v>
      </c>
      <c r="L18" s="24"/>
    </row>
    <row r="19" spans="1:12">
      <c r="A19" s="21" t="s">
        <v>227</v>
      </c>
      <c r="B19" s="26"/>
      <c r="C19" s="26"/>
      <c r="D19" s="26"/>
      <c r="E19" s="26"/>
      <c r="F19" s="23" t="s">
        <v>162</v>
      </c>
      <c r="G19" s="26"/>
      <c r="H19" s="26"/>
      <c r="I19" s="26"/>
      <c r="J19" s="26"/>
      <c r="K19" s="25" t="s">
        <v>213</v>
      </c>
      <c r="L19" s="26"/>
    </row>
    <row r="20" spans="1:12">
      <c r="A20" s="21" t="s">
        <v>228</v>
      </c>
      <c r="B20" s="24"/>
      <c r="C20" s="24"/>
      <c r="D20" s="24"/>
      <c r="E20" s="24"/>
      <c r="F20" s="23" t="s">
        <v>162</v>
      </c>
      <c r="G20" s="24"/>
      <c r="H20" s="24"/>
      <c r="I20" s="24"/>
      <c r="J20" s="24"/>
      <c r="K20" s="25" t="s">
        <v>213</v>
      </c>
      <c r="L20" s="24"/>
    </row>
    <row r="21" spans="1:12">
      <c r="A21" s="21" t="s">
        <v>229</v>
      </c>
      <c r="B21" s="26"/>
      <c r="C21" s="26"/>
      <c r="D21" s="26"/>
      <c r="E21" s="26"/>
      <c r="F21" s="23" t="s">
        <v>162</v>
      </c>
      <c r="G21" s="26"/>
      <c r="H21" s="26"/>
      <c r="I21" s="26"/>
      <c r="J21" s="26"/>
      <c r="K21" s="25" t="s">
        <v>213</v>
      </c>
      <c r="L21" s="26"/>
    </row>
    <row r="22" spans="1:12">
      <c r="A22" s="21" t="s">
        <v>230</v>
      </c>
      <c r="B22" s="24"/>
      <c r="C22" s="24"/>
      <c r="D22" s="24"/>
      <c r="E22" s="24"/>
      <c r="F22" s="23" t="s">
        <v>162</v>
      </c>
      <c r="G22" s="24"/>
      <c r="H22" s="24"/>
      <c r="I22" s="24"/>
      <c r="J22" s="24"/>
      <c r="K22" s="25" t="s">
        <v>213</v>
      </c>
      <c r="L22" s="24"/>
    </row>
    <row r="23" spans="1:12">
      <c r="A23" s="21" t="s">
        <v>231</v>
      </c>
      <c r="B23" s="26"/>
      <c r="C23" s="26"/>
      <c r="D23" s="26"/>
      <c r="E23" s="26"/>
      <c r="F23" s="23" t="s">
        <v>162</v>
      </c>
      <c r="G23" s="26"/>
      <c r="H23" s="26"/>
      <c r="I23" s="26"/>
      <c r="J23" s="26"/>
      <c r="K23" s="25" t="s">
        <v>213</v>
      </c>
      <c r="L23" s="26"/>
    </row>
    <row r="24" spans="1:12">
      <c r="A24" s="21" t="s">
        <v>232</v>
      </c>
      <c r="B24" s="24"/>
      <c r="C24" s="24"/>
      <c r="D24" s="24"/>
      <c r="E24" s="24"/>
      <c r="F24" s="23" t="s">
        <v>162</v>
      </c>
      <c r="G24" s="24"/>
      <c r="H24" s="24"/>
      <c r="I24" s="24"/>
      <c r="J24" s="24"/>
      <c r="K24" s="25" t="s">
        <v>213</v>
      </c>
      <c r="L24" s="24"/>
    </row>
  </sheetData>
  <mergeCells count="2">
    <mergeCell ref="A2:L2"/>
    <mergeCell ref="A1:L1"/>
  </mergeCells>
  <conditionalFormatting sqref="K5:K200">
    <cfRule type="cellIs" dxfId="92" priority="1" operator="equal">
      <formula>"Done"</formula>
    </cfRule>
    <cfRule type="cellIs" dxfId="91" priority="2" operator="equal">
      <formula>"Completed"</formula>
    </cfRule>
    <cfRule type="cellIs" dxfId="90" priority="3" operator="equal">
      <formula>"Closed"</formula>
    </cfRule>
    <cfRule type="cellIs" dxfId="89" priority="4" operator="equal">
      <formula>"Fixed"</formula>
    </cfRule>
    <cfRule type="cellIs" dxfId="88" priority="5" operator="equal">
      <formula>"Approved"</formula>
    </cfRule>
    <cfRule type="cellIs" dxfId="87" priority="6" operator="equal">
      <formula>"In Progress"</formula>
    </cfRule>
    <cfRule type="cellIs" dxfId="86" priority="7" operator="equal">
      <formula>"Open"</formula>
    </cfRule>
    <cfRule type="cellIs" dxfId="85" priority="8" operator="equal">
      <formula>"Pending"</formula>
    </cfRule>
    <cfRule type="cellIs" dxfId="84" priority="9" operator="equal">
      <formula>"Blocked"</formula>
    </cfRule>
    <cfRule type="cellIs" dxfId="83" priority="10" operator="equal">
      <formula>"Cancelled"</formula>
    </cfRule>
    <cfRule type="cellIs" dxfId="82" priority="11" operator="equal">
      <formula>"Rejected"</formula>
    </cfRule>
    <cfRule type="cellIs" dxfId="81" priority="12" operator="equal">
      <formula>"Submitted"</formula>
    </cfRule>
  </conditionalFormatting>
  <conditionalFormatting sqref="F5:F200">
    <cfRule type="cellIs" dxfId="80" priority="13" operator="equal">
      <formula>"Critical"</formula>
    </cfRule>
    <cfRule type="cellIs" dxfId="79" priority="14" operator="equal">
      <formula>"High"</formula>
    </cfRule>
    <cfRule type="cellIs" dxfId="78" priority="15" operator="equal">
      <formula>"Medium"</formula>
    </cfRule>
    <cfRule type="cellIs" dxfId="77" priority="16" operator="equal">
      <formula>"Low"</formula>
    </cfRule>
  </conditionalFormatting>
  <dataValidations count="2">
    <dataValidation type="list" allowBlank="1" sqref="K5:K200" xr:uid="{00000000-0002-0000-0300-000000000000}">
      <formula1>"Open,Answered,Closed,Cancelled"</formula1>
    </dataValidation>
    <dataValidation type="list" allowBlank="1" sqref="F5:F200" xr:uid="{00000000-0002-0000-0300-000001000000}">
      <formula1>"Critical,High,Medium,Low"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6B75"/>
  </sheetPr>
  <dimension ref="A1:N49"/>
  <sheetViews>
    <sheetView showGridLines="0" workbookViewId="0">
      <pane ySplit="4" topLeftCell="A17" activePane="bottomLeft" state="frozen"/>
      <selection pane="bottomLeft" activeCell="D28" sqref="D28"/>
    </sheetView>
  </sheetViews>
  <sheetFormatPr defaultRowHeight="14.25"/>
  <cols>
    <col min="1" max="1" width="9.42578125" customWidth="1"/>
    <col min="2" max="2" width="12" customWidth="1"/>
    <col min="3" max="3" width="14" customWidth="1"/>
    <col min="4" max="4" width="10" customWidth="1"/>
    <col min="5" max="5" width="30" customWidth="1"/>
    <col min="6" max="7" width="14" customWidth="1"/>
    <col min="8" max="8" width="10" customWidth="1"/>
    <col min="9" max="9" width="24" customWidth="1"/>
    <col min="10" max="10" width="14" customWidth="1"/>
    <col min="11" max="11" width="12" customWidth="1"/>
    <col min="12" max="12" width="14" customWidth="1"/>
    <col min="13" max="13" width="12" customWidth="1"/>
    <col min="14" max="14" width="20" customWidth="1"/>
  </cols>
  <sheetData>
    <row r="1" spans="1:14" ht="17.649999999999999">
      <c r="A1" s="71" t="s">
        <v>233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</row>
    <row r="2" spans="1:14">
      <c r="A2" s="68" t="s">
        <v>234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</row>
    <row r="4" spans="1:14">
      <c r="A4" s="27" t="s">
        <v>46</v>
      </c>
      <c r="B4" s="27" t="s">
        <v>197</v>
      </c>
      <c r="C4" s="27" t="s">
        <v>235</v>
      </c>
      <c r="D4" s="27" t="s">
        <v>236</v>
      </c>
      <c r="E4" s="27" t="s">
        <v>237</v>
      </c>
      <c r="F4" s="27" t="s">
        <v>238</v>
      </c>
      <c r="G4" s="27" t="s">
        <v>151</v>
      </c>
      <c r="H4" s="27" t="s">
        <v>239</v>
      </c>
      <c r="I4" s="27" t="s">
        <v>240</v>
      </c>
      <c r="J4" s="27" t="s">
        <v>35</v>
      </c>
      <c r="K4" s="27" t="s">
        <v>15</v>
      </c>
      <c r="L4" s="27" t="s">
        <v>51</v>
      </c>
      <c r="M4" s="27" t="s">
        <v>241</v>
      </c>
      <c r="N4" s="27" t="s">
        <v>52</v>
      </c>
    </row>
    <row r="5" spans="1:14" ht="25.5">
      <c r="A5" s="28" t="s">
        <v>242</v>
      </c>
      <c r="B5" s="29" t="s">
        <v>243</v>
      </c>
      <c r="C5" s="30" t="s">
        <v>209</v>
      </c>
      <c r="D5" s="29" t="s">
        <v>244</v>
      </c>
      <c r="E5" s="30" t="s">
        <v>245</v>
      </c>
      <c r="F5" s="30" t="s">
        <v>246</v>
      </c>
      <c r="G5" s="30" t="s">
        <v>247</v>
      </c>
      <c r="H5" s="23">
        <v>2</v>
      </c>
      <c r="I5" s="30" t="s">
        <v>248</v>
      </c>
      <c r="J5" s="29" t="s">
        <v>40</v>
      </c>
      <c r="K5" s="15" t="s">
        <v>249</v>
      </c>
      <c r="L5" s="30"/>
      <c r="M5" s="29" t="s">
        <v>250</v>
      </c>
      <c r="N5" s="30"/>
    </row>
    <row r="6" spans="1:14">
      <c r="A6" s="28" t="s">
        <v>251</v>
      </c>
      <c r="B6" s="5"/>
      <c r="C6" s="12" t="s">
        <v>209</v>
      </c>
      <c r="D6" s="5" t="s">
        <v>252</v>
      </c>
      <c r="E6" s="12" t="s">
        <v>253</v>
      </c>
      <c r="F6" s="12" t="s">
        <v>246</v>
      </c>
      <c r="G6" s="12" t="s">
        <v>247</v>
      </c>
      <c r="H6" s="23">
        <v>4</v>
      </c>
      <c r="I6" s="12" t="s">
        <v>248</v>
      </c>
      <c r="J6" s="5" t="s">
        <v>40</v>
      </c>
      <c r="K6" s="15" t="s">
        <v>249</v>
      </c>
      <c r="L6" s="12"/>
      <c r="M6" s="5"/>
      <c r="N6" s="12"/>
    </row>
    <row r="7" spans="1:14">
      <c r="A7" s="28" t="s">
        <v>254</v>
      </c>
      <c r="B7" s="5"/>
      <c r="C7" s="12"/>
      <c r="D7" s="5"/>
      <c r="E7" s="12"/>
      <c r="F7" s="12"/>
      <c r="G7" s="12"/>
      <c r="H7" s="31"/>
      <c r="I7" s="12"/>
      <c r="J7" s="5"/>
      <c r="K7" s="15" t="s">
        <v>249</v>
      </c>
      <c r="L7" s="12"/>
      <c r="M7" s="5"/>
      <c r="N7" s="12"/>
    </row>
    <row r="8" spans="1:14">
      <c r="A8" s="28" t="s">
        <v>255</v>
      </c>
      <c r="B8" s="29"/>
      <c r="C8" s="30"/>
      <c r="D8" s="29"/>
      <c r="E8" s="30"/>
      <c r="F8" s="30"/>
      <c r="G8" s="30"/>
      <c r="H8" s="31"/>
      <c r="I8" s="30"/>
      <c r="J8" s="29"/>
      <c r="K8" s="15" t="s">
        <v>249</v>
      </c>
      <c r="L8" s="30"/>
      <c r="M8" s="29"/>
      <c r="N8" s="30"/>
    </row>
    <row r="9" spans="1:14">
      <c r="A9" s="28" t="s">
        <v>256</v>
      </c>
      <c r="B9" s="5"/>
      <c r="C9" s="12"/>
      <c r="D9" s="5"/>
      <c r="E9" s="12"/>
      <c r="F9" s="12"/>
      <c r="G9" s="12"/>
      <c r="H9" s="31"/>
      <c r="I9" s="12"/>
      <c r="J9" s="5"/>
      <c r="K9" s="15" t="s">
        <v>249</v>
      </c>
      <c r="L9" s="12"/>
      <c r="M9" s="5"/>
      <c r="N9" s="12"/>
    </row>
    <row r="10" spans="1:14">
      <c r="A10" s="28" t="s">
        <v>257</v>
      </c>
      <c r="B10" s="29"/>
      <c r="C10" s="30"/>
      <c r="D10" s="29"/>
      <c r="E10" s="30"/>
      <c r="F10" s="30"/>
      <c r="G10" s="30"/>
      <c r="H10" s="31"/>
      <c r="I10" s="30"/>
      <c r="J10" s="29"/>
      <c r="K10" s="15" t="s">
        <v>249</v>
      </c>
      <c r="L10" s="30"/>
      <c r="M10" s="29"/>
      <c r="N10" s="30"/>
    </row>
    <row r="11" spans="1:14">
      <c r="A11" s="28" t="s">
        <v>258</v>
      </c>
      <c r="B11" s="5"/>
      <c r="C11" s="12"/>
      <c r="D11" s="5"/>
      <c r="E11" s="12"/>
      <c r="F11" s="12"/>
      <c r="G11" s="12"/>
      <c r="H11" s="31"/>
      <c r="I11" s="12"/>
      <c r="J11" s="5"/>
      <c r="K11" s="15" t="s">
        <v>249</v>
      </c>
      <c r="L11" s="12"/>
      <c r="M11" s="5"/>
      <c r="N11" s="12"/>
    </row>
    <row r="12" spans="1:14">
      <c r="A12" s="28" t="s">
        <v>259</v>
      </c>
      <c r="B12" s="29"/>
      <c r="C12" s="30"/>
      <c r="D12" s="29"/>
      <c r="E12" s="30"/>
      <c r="F12" s="30"/>
      <c r="G12" s="30"/>
      <c r="H12" s="31"/>
      <c r="I12" s="30"/>
      <c r="J12" s="29"/>
      <c r="K12" s="15" t="s">
        <v>249</v>
      </c>
      <c r="L12" s="30"/>
      <c r="M12" s="29"/>
      <c r="N12" s="30"/>
    </row>
    <row r="13" spans="1:14">
      <c r="A13" s="28" t="s">
        <v>260</v>
      </c>
      <c r="B13" s="5"/>
      <c r="C13" s="12"/>
      <c r="D13" s="5"/>
      <c r="E13" s="12"/>
      <c r="F13" s="12"/>
      <c r="G13" s="12"/>
      <c r="H13" s="31"/>
      <c r="I13" s="12"/>
      <c r="J13" s="5"/>
      <c r="K13" s="15" t="s">
        <v>249</v>
      </c>
      <c r="L13" s="12"/>
      <c r="M13" s="5"/>
      <c r="N13" s="12"/>
    </row>
    <row r="14" spans="1:14">
      <c r="A14" s="28" t="s">
        <v>261</v>
      </c>
      <c r="B14" s="29"/>
      <c r="C14" s="30"/>
      <c r="D14" s="29"/>
      <c r="E14" s="30"/>
      <c r="F14" s="30"/>
      <c r="G14" s="30"/>
      <c r="H14" s="31"/>
      <c r="I14" s="30"/>
      <c r="J14" s="29"/>
      <c r="K14" s="15" t="s">
        <v>249</v>
      </c>
      <c r="L14" s="30"/>
      <c r="M14" s="29"/>
      <c r="N14" s="30"/>
    </row>
    <row r="15" spans="1:14">
      <c r="A15" s="28" t="s">
        <v>262</v>
      </c>
      <c r="B15" s="5"/>
      <c r="C15" s="12"/>
      <c r="D15" s="5"/>
      <c r="E15" s="12"/>
      <c r="F15" s="12"/>
      <c r="G15" s="12"/>
      <c r="H15" s="31"/>
      <c r="I15" s="12"/>
      <c r="J15" s="5"/>
      <c r="K15" s="15" t="s">
        <v>249</v>
      </c>
      <c r="L15" s="12"/>
      <c r="M15" s="5"/>
      <c r="N15" s="12"/>
    </row>
    <row r="16" spans="1:14">
      <c r="A16" s="28" t="s">
        <v>263</v>
      </c>
      <c r="B16" s="29"/>
      <c r="C16" s="30"/>
      <c r="D16" s="29"/>
      <c r="E16" s="30"/>
      <c r="F16" s="30"/>
      <c r="G16" s="30"/>
      <c r="H16" s="31"/>
      <c r="I16" s="30"/>
      <c r="J16" s="29"/>
      <c r="K16" s="15" t="s">
        <v>249</v>
      </c>
      <c r="L16" s="30"/>
      <c r="M16" s="29"/>
      <c r="N16" s="30"/>
    </row>
    <row r="17" spans="1:14">
      <c r="A17" s="28" t="s">
        <v>264</v>
      </c>
      <c r="B17" s="5"/>
      <c r="C17" s="12"/>
      <c r="D17" s="5"/>
      <c r="E17" s="12"/>
      <c r="F17" s="12"/>
      <c r="G17" s="12"/>
      <c r="H17" s="31"/>
      <c r="I17" s="12"/>
      <c r="J17" s="5"/>
      <c r="K17" s="15" t="s">
        <v>249</v>
      </c>
      <c r="L17" s="12"/>
      <c r="M17" s="5"/>
      <c r="N17" s="12"/>
    </row>
    <row r="18" spans="1:14">
      <c r="A18" s="28" t="s">
        <v>265</v>
      </c>
      <c r="B18" s="29"/>
      <c r="C18" s="30"/>
      <c r="D18" s="29"/>
      <c r="E18" s="30"/>
      <c r="F18" s="30"/>
      <c r="G18" s="30"/>
      <c r="H18" s="31"/>
      <c r="I18" s="30"/>
      <c r="J18" s="29"/>
      <c r="K18" s="15" t="s">
        <v>249</v>
      </c>
      <c r="L18" s="30"/>
      <c r="M18" s="29"/>
      <c r="N18" s="30"/>
    </row>
    <row r="19" spans="1:14">
      <c r="A19" s="28" t="s">
        <v>266</v>
      </c>
      <c r="B19" s="5"/>
      <c r="C19" s="12"/>
      <c r="D19" s="5"/>
      <c r="E19" s="12"/>
      <c r="F19" s="12"/>
      <c r="G19" s="12"/>
      <c r="H19" s="31"/>
      <c r="I19" s="12"/>
      <c r="J19" s="5"/>
      <c r="K19" s="15" t="s">
        <v>249</v>
      </c>
      <c r="L19" s="12"/>
      <c r="M19" s="5"/>
      <c r="N19" s="12"/>
    </row>
    <row r="20" spans="1:14">
      <c r="A20" s="28" t="s">
        <v>267</v>
      </c>
      <c r="B20" s="29"/>
      <c r="C20" s="30"/>
      <c r="D20" s="29"/>
      <c r="E20" s="30"/>
      <c r="F20" s="30"/>
      <c r="G20" s="30"/>
      <c r="H20" s="31"/>
      <c r="I20" s="30"/>
      <c r="J20" s="29"/>
      <c r="K20" s="15" t="s">
        <v>249</v>
      </c>
      <c r="L20" s="30"/>
      <c r="M20" s="29"/>
      <c r="N20" s="30"/>
    </row>
    <row r="21" spans="1:14">
      <c r="A21" s="28" t="s">
        <v>268</v>
      </c>
      <c r="B21" s="5"/>
      <c r="C21" s="12"/>
      <c r="D21" s="5"/>
      <c r="E21" s="12"/>
      <c r="F21" s="12"/>
      <c r="G21" s="12"/>
      <c r="H21" s="31"/>
      <c r="I21" s="12"/>
      <c r="J21" s="5"/>
      <c r="K21" s="15" t="s">
        <v>249</v>
      </c>
      <c r="L21" s="12"/>
      <c r="M21" s="5"/>
      <c r="N21" s="12"/>
    </row>
    <row r="22" spans="1:14">
      <c r="A22" s="28" t="s">
        <v>269</v>
      </c>
      <c r="B22" s="29"/>
      <c r="C22" s="30"/>
      <c r="D22" s="29"/>
      <c r="E22" s="30"/>
      <c r="F22" s="30"/>
      <c r="G22" s="30"/>
      <c r="H22" s="31"/>
      <c r="I22" s="30"/>
      <c r="J22" s="29"/>
      <c r="K22" s="15" t="s">
        <v>249</v>
      </c>
      <c r="L22" s="30"/>
      <c r="M22" s="29"/>
      <c r="N22" s="30"/>
    </row>
    <row r="23" spans="1:14">
      <c r="A23" s="28" t="s">
        <v>270</v>
      </c>
      <c r="B23" s="5"/>
      <c r="C23" s="12"/>
      <c r="D23" s="5"/>
      <c r="E23" s="12"/>
      <c r="F23" s="12"/>
      <c r="G23" s="12"/>
      <c r="H23" s="31"/>
      <c r="I23" s="12"/>
      <c r="J23" s="5"/>
      <c r="K23" s="15" t="s">
        <v>249</v>
      </c>
      <c r="L23" s="12"/>
      <c r="M23" s="5"/>
      <c r="N23" s="12"/>
    </row>
    <row r="24" spans="1:14">
      <c r="A24" s="28" t="s">
        <v>271</v>
      </c>
      <c r="B24" s="29"/>
      <c r="C24" s="30"/>
      <c r="D24" s="29"/>
      <c r="E24" s="30"/>
      <c r="F24" s="30"/>
      <c r="G24" s="30"/>
      <c r="H24" s="31"/>
      <c r="I24" s="30"/>
      <c r="J24" s="29"/>
      <c r="K24" s="15" t="s">
        <v>249</v>
      </c>
      <c r="L24" s="30"/>
      <c r="M24" s="29"/>
      <c r="N24" s="30"/>
    </row>
    <row r="25" spans="1:14">
      <c r="A25" s="28" t="s">
        <v>272</v>
      </c>
      <c r="B25" s="5"/>
      <c r="C25" s="12"/>
      <c r="D25" s="5"/>
      <c r="E25" s="12"/>
      <c r="F25" s="12"/>
      <c r="G25" s="12"/>
      <c r="H25" s="31"/>
      <c r="I25" s="12"/>
      <c r="J25" s="5"/>
      <c r="K25" s="15" t="s">
        <v>249</v>
      </c>
      <c r="L25" s="12"/>
      <c r="M25" s="5"/>
      <c r="N25" s="12"/>
    </row>
    <row r="26" spans="1:14">
      <c r="A26" s="28" t="s">
        <v>273</v>
      </c>
      <c r="B26" s="29"/>
      <c r="C26" s="30"/>
      <c r="D26" s="29"/>
      <c r="E26" s="30"/>
      <c r="F26" s="30"/>
      <c r="G26" s="30"/>
      <c r="H26" s="31"/>
      <c r="I26" s="30"/>
      <c r="J26" s="29"/>
      <c r="K26" s="15" t="s">
        <v>249</v>
      </c>
      <c r="L26" s="30"/>
      <c r="M26" s="29"/>
      <c r="N26" s="30"/>
    </row>
    <row r="27" spans="1:14">
      <c r="A27" s="28" t="s">
        <v>274</v>
      </c>
      <c r="B27" s="5"/>
      <c r="C27" s="12"/>
      <c r="D27" s="5"/>
      <c r="E27" s="12"/>
      <c r="F27" s="12"/>
      <c r="G27" s="12"/>
      <c r="H27" s="31"/>
      <c r="I27" s="12"/>
      <c r="J27" s="5"/>
      <c r="K27" s="15" t="s">
        <v>249</v>
      </c>
      <c r="L27" s="12"/>
      <c r="M27" s="5"/>
      <c r="N27" s="12"/>
    </row>
    <row r="28" spans="1:14">
      <c r="A28" s="28" t="s">
        <v>275</v>
      </c>
      <c r="B28" s="29"/>
      <c r="C28" s="30"/>
      <c r="D28" s="29"/>
      <c r="E28" s="30"/>
      <c r="F28" s="30"/>
      <c r="G28" s="30"/>
      <c r="H28" s="31"/>
      <c r="I28" s="30"/>
      <c r="J28" s="29"/>
      <c r="K28" s="15" t="s">
        <v>249</v>
      </c>
      <c r="L28" s="30"/>
      <c r="M28" s="29"/>
      <c r="N28" s="30"/>
    </row>
    <row r="29" spans="1:14">
      <c r="A29" s="28" t="s">
        <v>276</v>
      </c>
      <c r="B29" s="5"/>
      <c r="C29" s="12"/>
      <c r="D29" s="5"/>
      <c r="E29" s="12"/>
      <c r="F29" s="12"/>
      <c r="G29" s="12"/>
      <c r="H29" s="31"/>
      <c r="I29" s="12"/>
      <c r="J29" s="5"/>
      <c r="K29" s="15" t="s">
        <v>249</v>
      </c>
      <c r="L29" s="12"/>
      <c r="M29" s="5"/>
      <c r="N29" s="12"/>
    </row>
    <row r="30" spans="1:14">
      <c r="A30" s="28" t="s">
        <v>277</v>
      </c>
      <c r="B30" s="29"/>
      <c r="C30" s="30"/>
      <c r="D30" s="29"/>
      <c r="E30" s="30"/>
      <c r="F30" s="30"/>
      <c r="G30" s="30"/>
      <c r="H30" s="31"/>
      <c r="I30" s="30"/>
      <c r="J30" s="29"/>
      <c r="K30" s="15" t="s">
        <v>249</v>
      </c>
      <c r="L30" s="30"/>
      <c r="M30" s="29"/>
      <c r="N30" s="30"/>
    </row>
    <row r="31" spans="1:14">
      <c r="A31" s="28" t="s">
        <v>278</v>
      </c>
      <c r="B31" s="5"/>
      <c r="C31" s="12"/>
      <c r="D31" s="5"/>
      <c r="E31" s="12"/>
      <c r="F31" s="12"/>
      <c r="G31" s="12"/>
      <c r="H31" s="31"/>
      <c r="I31" s="12"/>
      <c r="J31" s="5"/>
      <c r="K31" s="15" t="s">
        <v>249</v>
      </c>
      <c r="L31" s="12"/>
      <c r="M31" s="5"/>
      <c r="N31" s="12"/>
    </row>
    <row r="32" spans="1:14">
      <c r="A32" s="28" t="s">
        <v>279</v>
      </c>
      <c r="B32" s="29"/>
      <c r="C32" s="30"/>
      <c r="D32" s="29"/>
      <c r="E32" s="30"/>
      <c r="F32" s="30"/>
      <c r="G32" s="30"/>
      <c r="H32" s="31"/>
      <c r="I32" s="30"/>
      <c r="J32" s="29"/>
      <c r="K32" s="15" t="s">
        <v>249</v>
      </c>
      <c r="L32" s="30"/>
      <c r="M32" s="29"/>
      <c r="N32" s="30"/>
    </row>
    <row r="33" spans="1:14">
      <c r="A33" s="28" t="s">
        <v>280</v>
      </c>
      <c r="B33" s="5"/>
      <c r="C33" s="12"/>
      <c r="D33" s="5"/>
      <c r="E33" s="12"/>
      <c r="F33" s="12"/>
      <c r="G33" s="12"/>
      <c r="H33" s="31"/>
      <c r="I33" s="12"/>
      <c r="J33" s="5"/>
      <c r="K33" s="15" t="s">
        <v>249</v>
      </c>
      <c r="L33" s="12"/>
      <c r="M33" s="5"/>
      <c r="N33" s="12"/>
    </row>
    <row r="34" spans="1:14">
      <c r="A34" s="28" t="s">
        <v>281</v>
      </c>
      <c r="B34" s="29"/>
      <c r="C34" s="30"/>
      <c r="D34" s="29"/>
      <c r="E34" s="30"/>
      <c r="F34" s="30"/>
      <c r="G34" s="30"/>
      <c r="H34" s="31"/>
      <c r="I34" s="30"/>
      <c r="J34" s="29"/>
      <c r="K34" s="15" t="s">
        <v>249</v>
      </c>
      <c r="L34" s="30"/>
      <c r="M34" s="29"/>
      <c r="N34" s="30"/>
    </row>
    <row r="35" spans="1:14">
      <c r="A35" s="28" t="s">
        <v>282</v>
      </c>
      <c r="B35" s="5"/>
      <c r="C35" s="12"/>
      <c r="D35" s="5"/>
      <c r="E35" s="12"/>
      <c r="F35" s="12"/>
      <c r="G35" s="12"/>
      <c r="H35" s="31"/>
      <c r="I35" s="12"/>
      <c r="J35" s="5"/>
      <c r="K35" s="15" t="s">
        <v>249</v>
      </c>
      <c r="L35" s="12"/>
      <c r="M35" s="5"/>
      <c r="N35" s="12"/>
    </row>
    <row r="39" spans="1:14">
      <c r="A39" s="18" t="s">
        <v>283</v>
      </c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</row>
    <row r="40" spans="1:14">
      <c r="A40" s="27" t="s">
        <v>238</v>
      </c>
      <c r="B40" s="27" t="s">
        <v>284</v>
      </c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</row>
    <row r="41" spans="1:14">
      <c r="A41" s="32" t="s">
        <v>285</v>
      </c>
      <c r="B41" s="5">
        <f>SUMIF(F5:F500,"Training",H5:H500)</f>
        <v>0</v>
      </c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</row>
    <row r="42" spans="1:14">
      <c r="A42" s="32" t="s">
        <v>286</v>
      </c>
      <c r="B42" s="5">
        <f>SUMIF(F5:F500,"Analyzing",H5:H500)</f>
        <v>0</v>
      </c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</row>
    <row r="43" spans="1:14">
      <c r="A43" s="32" t="s">
        <v>287</v>
      </c>
      <c r="B43" s="5">
        <f>SUMIF(F5:F500,"Designing",H5:H500)</f>
        <v>0</v>
      </c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</row>
    <row r="44" spans="1:14">
      <c r="A44" s="32" t="s">
        <v>246</v>
      </c>
      <c r="B44" s="5">
        <f>SUMIF(F5:F500,"Coding",H5:H500)</f>
        <v>6</v>
      </c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</row>
    <row r="45" spans="1:14">
      <c r="A45" s="32" t="s">
        <v>288</v>
      </c>
      <c r="B45" s="5">
        <f>SUMIF(F5:F500,"Testing",H5:H500)</f>
        <v>0</v>
      </c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</row>
    <row r="46" spans="1:14">
      <c r="A46" s="32" t="s">
        <v>289</v>
      </c>
      <c r="B46" s="5">
        <f>SUMIF(F5:F500,"Reviewing",H5:H500)</f>
        <v>0</v>
      </c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</row>
    <row r="47" spans="1:14">
      <c r="A47" s="32" t="s">
        <v>290</v>
      </c>
      <c r="B47" s="5">
        <f>SUMIF(F5:F500,"Deploying",H5:H500)</f>
        <v>0</v>
      </c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</row>
    <row r="48" spans="1:14">
      <c r="A48" s="32" t="s">
        <v>291</v>
      </c>
      <c r="B48" s="5">
        <f>SUMIF(F5:F500,"Meeting",H5:H500)</f>
        <v>0</v>
      </c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</row>
    <row r="49" spans="1:2">
      <c r="A49" s="33" t="s">
        <v>194</v>
      </c>
      <c r="B49" s="10">
        <f>SUM(H5:H500)</f>
        <v>6</v>
      </c>
    </row>
  </sheetData>
  <mergeCells count="2">
    <mergeCell ref="A2:N2"/>
    <mergeCell ref="A1:N1"/>
  </mergeCells>
  <conditionalFormatting sqref="K5:K500">
    <cfRule type="cellIs" dxfId="76" priority="1" operator="equal">
      <formula>"Done"</formula>
    </cfRule>
    <cfRule type="cellIs" dxfId="75" priority="2" operator="equal">
      <formula>"Completed"</formula>
    </cfRule>
    <cfRule type="cellIs" dxfId="74" priority="3" operator="equal">
      <formula>"Closed"</formula>
    </cfRule>
    <cfRule type="cellIs" dxfId="73" priority="4" operator="equal">
      <formula>"Fixed"</formula>
    </cfRule>
    <cfRule type="cellIs" dxfId="72" priority="5" operator="equal">
      <formula>"Approved"</formula>
    </cfRule>
    <cfRule type="cellIs" dxfId="71" priority="6" operator="equal">
      <formula>"In Progress"</formula>
    </cfRule>
    <cfRule type="cellIs" dxfId="70" priority="7" operator="equal">
      <formula>"Open"</formula>
    </cfRule>
    <cfRule type="cellIs" dxfId="69" priority="8" operator="equal">
      <formula>"Pending"</formula>
    </cfRule>
    <cfRule type="cellIs" dxfId="68" priority="9" operator="equal">
      <formula>"Blocked"</formula>
    </cfRule>
    <cfRule type="cellIs" dxfId="67" priority="10" operator="equal">
      <formula>"Cancelled"</formula>
    </cfRule>
    <cfRule type="cellIs" dxfId="66" priority="11" operator="equal">
      <formula>"Rejected"</formula>
    </cfRule>
    <cfRule type="cellIs" dxfId="65" priority="12" operator="equal">
      <formula>"Submitted"</formula>
    </cfRule>
  </conditionalFormatting>
  <dataValidations count="4">
    <dataValidation type="list" allowBlank="1" sqref="F5:F500" xr:uid="{00000000-0002-0000-0400-000000000000}">
      <formula1>"Training,Analyzing,Designing,Coding,Testing,Reviewing,Deploying,Meeting"</formula1>
    </dataValidation>
    <dataValidation type="list" allowBlank="1" sqref="G5:G500" xr:uid="{00000000-0002-0000-0400-000001000000}">
      <formula1>"Newly-Created,Updating,Reviewing,Bug-Fix,Research"</formula1>
    </dataValidation>
    <dataValidation type="list" allowBlank="1" sqref="K5:K500" xr:uid="{00000000-0002-0000-0400-000002000000}">
      <formula1>"Submitted,Approved,Rejected"</formula1>
    </dataValidation>
    <dataValidation type="list" allowBlank="1" sqref="J5:J500" xr:uid="{00000000-0002-0000-0400-000003000000}">
      <formula1>"Iteration 1,Iteration 2,Iteration 3,General"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0000"/>
    <outlinePr summaryBelow="0" summaryRight="0"/>
  </sheetPr>
  <dimension ref="A1:R34"/>
  <sheetViews>
    <sheetView showGridLines="0" workbookViewId="0">
      <pane ySplit="4" topLeftCell="A5" activePane="bottomLeft" state="frozen"/>
      <selection pane="bottomLeft" activeCell="A5" sqref="A5"/>
    </sheetView>
  </sheetViews>
  <sheetFormatPr defaultRowHeight="14.25" outlineLevelCol="1"/>
  <cols>
    <col min="1" max="1" width="6" customWidth="1"/>
    <col min="2" max="2" width="12" customWidth="1"/>
    <col min="3" max="3" width="32" customWidth="1" collapsed="1"/>
    <col min="4" max="4" width="28" hidden="1" customWidth="1" outlineLevel="1"/>
    <col min="5" max="6" width="22" hidden="1" customWidth="1" outlineLevel="1"/>
    <col min="7" max="7" width="12" customWidth="1"/>
    <col min="8" max="8" width="10" customWidth="1"/>
    <col min="9" max="9" width="14" customWidth="1" collapsed="1"/>
    <col min="10" max="10" width="16" hidden="1" customWidth="1" outlineLevel="1"/>
    <col min="11" max="11" width="18" hidden="1" customWidth="1" outlineLevel="1"/>
    <col min="12" max="13" width="14" customWidth="1"/>
    <col min="14" max="14" width="12" customWidth="1" collapsed="1"/>
    <col min="15" max="15" width="12" hidden="1" customWidth="1" outlineLevel="1"/>
    <col min="16" max="16" width="16" hidden="1" customWidth="1" outlineLevel="1"/>
    <col min="17" max="17" width="12" customWidth="1"/>
    <col min="18" max="18" width="26" customWidth="1"/>
  </cols>
  <sheetData>
    <row r="1" spans="1:18" ht="17.649999999999999">
      <c r="A1" s="71" t="s">
        <v>292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</row>
    <row r="2" spans="1:18">
      <c r="A2" s="68" t="s">
        <v>293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</row>
    <row r="4" spans="1:18">
      <c r="A4" s="34" t="s">
        <v>46</v>
      </c>
      <c r="B4" s="34" t="s">
        <v>294</v>
      </c>
      <c r="C4" s="34" t="s">
        <v>295</v>
      </c>
      <c r="D4" s="34" t="s">
        <v>296</v>
      </c>
      <c r="E4" s="34" t="s">
        <v>297</v>
      </c>
      <c r="F4" s="34" t="s">
        <v>298</v>
      </c>
      <c r="G4" s="34" t="s">
        <v>299</v>
      </c>
      <c r="H4" s="34" t="s">
        <v>201</v>
      </c>
      <c r="I4" s="34" t="s">
        <v>238</v>
      </c>
      <c r="J4" s="34" t="s">
        <v>300</v>
      </c>
      <c r="K4" s="34" t="s">
        <v>301</v>
      </c>
      <c r="L4" s="34" t="s">
        <v>302</v>
      </c>
      <c r="M4" s="34" t="s">
        <v>303</v>
      </c>
      <c r="N4" s="34" t="s">
        <v>15</v>
      </c>
      <c r="O4" s="34" t="s">
        <v>304</v>
      </c>
      <c r="P4" s="34" t="s">
        <v>305</v>
      </c>
      <c r="Q4" s="34" t="s">
        <v>241</v>
      </c>
      <c r="R4" s="34" t="s">
        <v>52</v>
      </c>
    </row>
    <row r="5" spans="1:18" ht="25.5">
      <c r="A5" s="35" t="s">
        <v>306</v>
      </c>
      <c r="B5" s="36" t="s">
        <v>243</v>
      </c>
      <c r="C5" s="37" t="s">
        <v>307</v>
      </c>
      <c r="D5" s="37" t="s">
        <v>308</v>
      </c>
      <c r="E5" s="37" t="s">
        <v>309</v>
      </c>
      <c r="F5" s="37" t="s">
        <v>310</v>
      </c>
      <c r="G5" s="36" t="s">
        <v>162</v>
      </c>
      <c r="H5" s="31" t="s">
        <v>162</v>
      </c>
      <c r="I5" s="36" t="s">
        <v>311</v>
      </c>
      <c r="J5" s="38" t="s">
        <v>248</v>
      </c>
      <c r="K5" s="38"/>
      <c r="L5" s="38" t="s">
        <v>209</v>
      </c>
      <c r="M5" s="38" t="s">
        <v>312</v>
      </c>
      <c r="N5" s="15" t="s">
        <v>313</v>
      </c>
      <c r="O5" s="36"/>
      <c r="P5" s="36"/>
      <c r="Q5" s="36" t="s">
        <v>250</v>
      </c>
      <c r="R5" s="38"/>
    </row>
    <row r="6" spans="1:18">
      <c r="A6" s="35" t="s">
        <v>314</v>
      </c>
      <c r="B6" s="5"/>
      <c r="C6" s="12"/>
      <c r="D6" s="12"/>
      <c r="E6" s="12"/>
      <c r="F6" s="12"/>
      <c r="G6" s="31" t="s">
        <v>162</v>
      </c>
      <c r="H6" s="31" t="s">
        <v>162</v>
      </c>
      <c r="I6" s="5"/>
      <c r="J6" s="12"/>
      <c r="K6" s="12"/>
      <c r="L6" s="12"/>
      <c r="M6" s="12"/>
      <c r="N6" s="15" t="s">
        <v>313</v>
      </c>
      <c r="O6" s="5"/>
      <c r="P6" s="5"/>
      <c r="Q6" s="5"/>
      <c r="R6" s="12"/>
    </row>
    <row r="7" spans="1:18">
      <c r="A7" s="35" t="s">
        <v>315</v>
      </c>
      <c r="B7" s="36"/>
      <c r="C7" s="38"/>
      <c r="D7" s="38"/>
      <c r="E7" s="38"/>
      <c r="F7" s="38"/>
      <c r="G7" s="31" t="s">
        <v>162</v>
      </c>
      <c r="H7" s="31" t="s">
        <v>162</v>
      </c>
      <c r="I7" s="36"/>
      <c r="J7" s="38"/>
      <c r="K7" s="38"/>
      <c r="L7" s="38"/>
      <c r="M7" s="38"/>
      <c r="N7" s="15" t="s">
        <v>313</v>
      </c>
      <c r="O7" s="36"/>
      <c r="P7" s="36"/>
      <c r="Q7" s="36"/>
      <c r="R7" s="38"/>
    </row>
    <row r="8" spans="1:18">
      <c r="A8" s="35" t="s">
        <v>316</v>
      </c>
      <c r="B8" s="5"/>
      <c r="C8" s="12"/>
      <c r="D8" s="12"/>
      <c r="E8" s="12"/>
      <c r="F8" s="12"/>
      <c r="G8" s="31" t="s">
        <v>162</v>
      </c>
      <c r="H8" s="31" t="s">
        <v>162</v>
      </c>
      <c r="I8" s="5"/>
      <c r="J8" s="12"/>
      <c r="K8" s="12"/>
      <c r="L8" s="12"/>
      <c r="M8" s="12"/>
      <c r="N8" s="15" t="s">
        <v>313</v>
      </c>
      <c r="O8" s="5"/>
      <c r="P8" s="5"/>
      <c r="Q8" s="5"/>
      <c r="R8" s="12"/>
    </row>
    <row r="9" spans="1:18">
      <c r="A9" s="35" t="s">
        <v>317</v>
      </c>
      <c r="B9" s="36"/>
      <c r="C9" s="38"/>
      <c r="D9" s="38"/>
      <c r="E9" s="38"/>
      <c r="F9" s="38"/>
      <c r="G9" s="31" t="s">
        <v>162</v>
      </c>
      <c r="H9" s="31" t="s">
        <v>162</v>
      </c>
      <c r="I9" s="36"/>
      <c r="J9" s="38"/>
      <c r="K9" s="38"/>
      <c r="L9" s="38"/>
      <c r="M9" s="38"/>
      <c r="N9" s="15" t="s">
        <v>313</v>
      </c>
      <c r="O9" s="36"/>
      <c r="P9" s="36"/>
      <c r="Q9" s="36"/>
      <c r="R9" s="38"/>
    </row>
    <row r="10" spans="1:18">
      <c r="A10" s="35" t="s">
        <v>318</v>
      </c>
      <c r="B10" s="5"/>
      <c r="C10" s="12"/>
      <c r="D10" s="12"/>
      <c r="E10" s="12"/>
      <c r="F10" s="12"/>
      <c r="G10" s="31" t="s">
        <v>162</v>
      </c>
      <c r="H10" s="31" t="s">
        <v>162</v>
      </c>
      <c r="I10" s="5"/>
      <c r="J10" s="12"/>
      <c r="K10" s="12"/>
      <c r="L10" s="12"/>
      <c r="M10" s="12"/>
      <c r="N10" s="15" t="s">
        <v>313</v>
      </c>
      <c r="O10" s="5"/>
      <c r="P10" s="5"/>
      <c r="Q10" s="5"/>
      <c r="R10" s="12"/>
    </row>
    <row r="11" spans="1:18">
      <c r="A11" s="35" t="s">
        <v>319</v>
      </c>
      <c r="B11" s="36"/>
      <c r="C11" s="38"/>
      <c r="D11" s="38"/>
      <c r="E11" s="38"/>
      <c r="F11" s="38"/>
      <c r="G11" s="31" t="s">
        <v>162</v>
      </c>
      <c r="H11" s="31" t="s">
        <v>162</v>
      </c>
      <c r="I11" s="36"/>
      <c r="J11" s="38"/>
      <c r="K11" s="38"/>
      <c r="L11" s="38"/>
      <c r="M11" s="38"/>
      <c r="N11" s="15" t="s">
        <v>313</v>
      </c>
      <c r="O11" s="36"/>
      <c r="P11" s="36"/>
      <c r="Q11" s="36"/>
      <c r="R11" s="38"/>
    </row>
    <row r="12" spans="1:18">
      <c r="A12" s="35" t="s">
        <v>320</v>
      </c>
      <c r="B12" s="5"/>
      <c r="C12" s="12"/>
      <c r="D12" s="12"/>
      <c r="E12" s="12"/>
      <c r="F12" s="12"/>
      <c r="G12" s="31" t="s">
        <v>162</v>
      </c>
      <c r="H12" s="31" t="s">
        <v>162</v>
      </c>
      <c r="I12" s="5"/>
      <c r="J12" s="12"/>
      <c r="K12" s="12"/>
      <c r="L12" s="12"/>
      <c r="M12" s="12"/>
      <c r="N12" s="15" t="s">
        <v>313</v>
      </c>
      <c r="O12" s="5"/>
      <c r="P12" s="5"/>
      <c r="Q12" s="5"/>
      <c r="R12" s="12"/>
    </row>
    <row r="13" spans="1:18">
      <c r="A13" s="35" t="s">
        <v>321</v>
      </c>
      <c r="B13" s="36"/>
      <c r="C13" s="38"/>
      <c r="D13" s="38"/>
      <c r="E13" s="38"/>
      <c r="F13" s="38"/>
      <c r="G13" s="31" t="s">
        <v>162</v>
      </c>
      <c r="H13" s="31" t="s">
        <v>162</v>
      </c>
      <c r="I13" s="36"/>
      <c r="J13" s="38"/>
      <c r="K13" s="38"/>
      <c r="L13" s="38"/>
      <c r="M13" s="38"/>
      <c r="N13" s="15" t="s">
        <v>313</v>
      </c>
      <c r="O13" s="36"/>
      <c r="P13" s="36"/>
      <c r="Q13" s="36"/>
      <c r="R13" s="38"/>
    </row>
    <row r="14" spans="1:18">
      <c r="A14" s="35" t="s">
        <v>322</v>
      </c>
      <c r="B14" s="5"/>
      <c r="C14" s="12"/>
      <c r="D14" s="12"/>
      <c r="E14" s="12"/>
      <c r="F14" s="12"/>
      <c r="G14" s="31" t="s">
        <v>162</v>
      </c>
      <c r="H14" s="31" t="s">
        <v>162</v>
      </c>
      <c r="I14" s="5"/>
      <c r="J14" s="12"/>
      <c r="K14" s="12"/>
      <c r="L14" s="12"/>
      <c r="M14" s="12"/>
      <c r="N14" s="15" t="s">
        <v>313</v>
      </c>
      <c r="O14" s="5"/>
      <c r="P14" s="5"/>
      <c r="Q14" s="5"/>
      <c r="R14" s="12"/>
    </row>
    <row r="15" spans="1:18">
      <c r="A15" s="35" t="s">
        <v>323</v>
      </c>
      <c r="B15" s="36"/>
      <c r="C15" s="38"/>
      <c r="D15" s="38"/>
      <c r="E15" s="38"/>
      <c r="F15" s="38"/>
      <c r="G15" s="31" t="s">
        <v>162</v>
      </c>
      <c r="H15" s="31" t="s">
        <v>162</v>
      </c>
      <c r="I15" s="36"/>
      <c r="J15" s="38"/>
      <c r="K15" s="38"/>
      <c r="L15" s="38"/>
      <c r="M15" s="38"/>
      <c r="N15" s="15" t="s">
        <v>313</v>
      </c>
      <c r="O15" s="36"/>
      <c r="P15" s="36"/>
      <c r="Q15" s="36"/>
      <c r="R15" s="38"/>
    </row>
    <row r="16" spans="1:18">
      <c r="A16" s="35" t="s">
        <v>324</v>
      </c>
      <c r="B16" s="5"/>
      <c r="C16" s="12"/>
      <c r="D16" s="12"/>
      <c r="E16" s="12"/>
      <c r="F16" s="12"/>
      <c r="G16" s="31" t="s">
        <v>162</v>
      </c>
      <c r="H16" s="31" t="s">
        <v>162</v>
      </c>
      <c r="I16" s="5"/>
      <c r="J16" s="12"/>
      <c r="K16" s="12"/>
      <c r="L16" s="12"/>
      <c r="M16" s="12"/>
      <c r="N16" s="15" t="s">
        <v>313</v>
      </c>
      <c r="O16" s="5"/>
      <c r="P16" s="5"/>
      <c r="Q16" s="5"/>
      <c r="R16" s="12"/>
    </row>
    <row r="17" spans="1:18">
      <c r="A17" s="35" t="s">
        <v>325</v>
      </c>
      <c r="B17" s="36"/>
      <c r="C17" s="38"/>
      <c r="D17" s="38"/>
      <c r="E17" s="38"/>
      <c r="F17" s="38"/>
      <c r="G17" s="31" t="s">
        <v>162</v>
      </c>
      <c r="H17" s="31" t="s">
        <v>162</v>
      </c>
      <c r="I17" s="36"/>
      <c r="J17" s="38"/>
      <c r="K17" s="38"/>
      <c r="L17" s="38"/>
      <c r="M17" s="38"/>
      <c r="N17" s="15" t="s">
        <v>313</v>
      </c>
      <c r="O17" s="36"/>
      <c r="P17" s="36"/>
      <c r="Q17" s="36"/>
      <c r="R17" s="38"/>
    </row>
    <row r="18" spans="1:18">
      <c r="A18" s="35" t="s">
        <v>326</v>
      </c>
      <c r="B18" s="5"/>
      <c r="C18" s="12"/>
      <c r="D18" s="12"/>
      <c r="E18" s="12"/>
      <c r="F18" s="12"/>
      <c r="G18" s="31" t="s">
        <v>162</v>
      </c>
      <c r="H18" s="31" t="s">
        <v>162</v>
      </c>
      <c r="I18" s="5"/>
      <c r="J18" s="12"/>
      <c r="K18" s="12"/>
      <c r="L18" s="12"/>
      <c r="M18" s="12"/>
      <c r="N18" s="15" t="s">
        <v>313</v>
      </c>
      <c r="O18" s="5"/>
      <c r="P18" s="5"/>
      <c r="Q18" s="5"/>
      <c r="R18" s="12"/>
    </row>
    <row r="19" spans="1:18">
      <c r="A19" s="35" t="s">
        <v>327</v>
      </c>
      <c r="B19" s="36"/>
      <c r="C19" s="38"/>
      <c r="D19" s="38"/>
      <c r="E19" s="38"/>
      <c r="F19" s="38"/>
      <c r="G19" s="31" t="s">
        <v>162</v>
      </c>
      <c r="H19" s="31" t="s">
        <v>162</v>
      </c>
      <c r="I19" s="36"/>
      <c r="J19" s="38"/>
      <c r="K19" s="38"/>
      <c r="L19" s="38"/>
      <c r="M19" s="38"/>
      <c r="N19" s="15" t="s">
        <v>313</v>
      </c>
      <c r="O19" s="36"/>
      <c r="P19" s="36"/>
      <c r="Q19" s="36"/>
      <c r="R19" s="38"/>
    </row>
    <row r="20" spans="1:18">
      <c r="A20" s="35" t="s">
        <v>328</v>
      </c>
      <c r="B20" s="5"/>
      <c r="C20" s="12"/>
      <c r="D20" s="12"/>
      <c r="E20" s="12"/>
      <c r="F20" s="12"/>
      <c r="G20" s="31" t="s">
        <v>162</v>
      </c>
      <c r="H20" s="31" t="s">
        <v>162</v>
      </c>
      <c r="I20" s="5"/>
      <c r="J20" s="12"/>
      <c r="K20" s="12"/>
      <c r="L20" s="12"/>
      <c r="M20" s="12"/>
      <c r="N20" s="15" t="s">
        <v>313</v>
      </c>
      <c r="O20" s="5"/>
      <c r="P20" s="5"/>
      <c r="Q20" s="5"/>
      <c r="R20" s="12"/>
    </row>
    <row r="21" spans="1:18">
      <c r="A21" s="35" t="s">
        <v>329</v>
      </c>
      <c r="B21" s="36"/>
      <c r="C21" s="38"/>
      <c r="D21" s="38"/>
      <c r="E21" s="38"/>
      <c r="F21" s="38"/>
      <c r="G21" s="31" t="s">
        <v>162</v>
      </c>
      <c r="H21" s="31" t="s">
        <v>162</v>
      </c>
      <c r="I21" s="36"/>
      <c r="J21" s="38"/>
      <c r="K21" s="38"/>
      <c r="L21" s="38"/>
      <c r="M21" s="38"/>
      <c r="N21" s="15" t="s">
        <v>313</v>
      </c>
      <c r="O21" s="36"/>
      <c r="P21" s="36"/>
      <c r="Q21" s="36"/>
      <c r="R21" s="38"/>
    </row>
    <row r="22" spans="1:18">
      <c r="A22" s="35" t="s">
        <v>330</v>
      </c>
      <c r="B22" s="5"/>
      <c r="C22" s="12"/>
      <c r="D22" s="12"/>
      <c r="E22" s="12"/>
      <c r="F22" s="12"/>
      <c r="G22" s="31" t="s">
        <v>162</v>
      </c>
      <c r="H22" s="31" t="s">
        <v>162</v>
      </c>
      <c r="I22" s="5"/>
      <c r="J22" s="12"/>
      <c r="K22" s="12"/>
      <c r="L22" s="12"/>
      <c r="M22" s="12"/>
      <c r="N22" s="15" t="s">
        <v>313</v>
      </c>
      <c r="O22" s="5"/>
      <c r="P22" s="5"/>
      <c r="Q22" s="5"/>
      <c r="R22" s="12"/>
    </row>
    <row r="23" spans="1:18">
      <c r="A23" s="35" t="s">
        <v>331</v>
      </c>
      <c r="B23" s="36"/>
      <c r="C23" s="38"/>
      <c r="D23" s="38"/>
      <c r="E23" s="38"/>
      <c r="F23" s="38"/>
      <c r="G23" s="31" t="s">
        <v>162</v>
      </c>
      <c r="H23" s="31" t="s">
        <v>162</v>
      </c>
      <c r="I23" s="36"/>
      <c r="J23" s="38"/>
      <c r="K23" s="38"/>
      <c r="L23" s="38"/>
      <c r="M23" s="38"/>
      <c r="N23" s="15" t="s">
        <v>313</v>
      </c>
      <c r="O23" s="36"/>
      <c r="P23" s="36"/>
      <c r="Q23" s="36"/>
      <c r="R23" s="38"/>
    </row>
    <row r="24" spans="1:18">
      <c r="A24" s="35" t="s">
        <v>332</v>
      </c>
      <c r="B24" s="5"/>
      <c r="C24" s="12"/>
      <c r="D24" s="12"/>
      <c r="E24" s="12"/>
      <c r="F24" s="12"/>
      <c r="G24" s="31" t="s">
        <v>162</v>
      </c>
      <c r="H24" s="31" t="s">
        <v>162</v>
      </c>
      <c r="I24" s="5"/>
      <c r="J24" s="12"/>
      <c r="K24" s="12"/>
      <c r="L24" s="12"/>
      <c r="M24" s="12"/>
      <c r="N24" s="15" t="s">
        <v>313</v>
      </c>
      <c r="O24" s="5"/>
      <c r="P24" s="5"/>
      <c r="Q24" s="5"/>
      <c r="R24" s="12"/>
    </row>
    <row r="25" spans="1:18">
      <c r="A25" s="35" t="s">
        <v>333</v>
      </c>
      <c r="B25" s="36"/>
      <c r="C25" s="38"/>
      <c r="D25" s="38"/>
      <c r="E25" s="38"/>
      <c r="F25" s="38"/>
      <c r="G25" s="31" t="s">
        <v>162</v>
      </c>
      <c r="H25" s="31" t="s">
        <v>162</v>
      </c>
      <c r="I25" s="36"/>
      <c r="J25" s="38"/>
      <c r="K25" s="38"/>
      <c r="L25" s="38"/>
      <c r="M25" s="38"/>
      <c r="N25" s="15" t="s">
        <v>313</v>
      </c>
      <c r="O25" s="36"/>
      <c r="P25" s="36"/>
      <c r="Q25" s="36"/>
      <c r="R25" s="38"/>
    </row>
    <row r="26" spans="1:18">
      <c r="A26" s="35" t="s">
        <v>334</v>
      </c>
      <c r="B26" s="5"/>
      <c r="C26" s="12"/>
      <c r="D26" s="12"/>
      <c r="E26" s="12"/>
      <c r="F26" s="12"/>
      <c r="G26" s="31" t="s">
        <v>162</v>
      </c>
      <c r="H26" s="31" t="s">
        <v>162</v>
      </c>
      <c r="I26" s="5"/>
      <c r="J26" s="12"/>
      <c r="K26" s="12"/>
      <c r="L26" s="12"/>
      <c r="M26" s="12"/>
      <c r="N26" s="15" t="s">
        <v>313</v>
      </c>
      <c r="O26" s="5"/>
      <c r="P26" s="5"/>
      <c r="Q26" s="5"/>
      <c r="R26" s="12"/>
    </row>
    <row r="27" spans="1:18">
      <c r="A27" s="35" t="s">
        <v>335</v>
      </c>
      <c r="B27" s="36"/>
      <c r="C27" s="38"/>
      <c r="D27" s="38"/>
      <c r="E27" s="38"/>
      <c r="F27" s="38"/>
      <c r="G27" s="31" t="s">
        <v>162</v>
      </c>
      <c r="H27" s="31" t="s">
        <v>162</v>
      </c>
      <c r="I27" s="36"/>
      <c r="J27" s="38"/>
      <c r="K27" s="38"/>
      <c r="L27" s="38"/>
      <c r="M27" s="38"/>
      <c r="N27" s="15" t="s">
        <v>313</v>
      </c>
      <c r="O27" s="36"/>
      <c r="P27" s="36"/>
      <c r="Q27" s="36"/>
      <c r="R27" s="38"/>
    </row>
    <row r="28" spans="1:18">
      <c r="A28" s="35" t="s">
        <v>336</v>
      </c>
      <c r="B28" s="5"/>
      <c r="C28" s="12"/>
      <c r="D28" s="12"/>
      <c r="E28" s="12"/>
      <c r="F28" s="12"/>
      <c r="G28" s="31" t="s">
        <v>162</v>
      </c>
      <c r="H28" s="31" t="s">
        <v>162</v>
      </c>
      <c r="I28" s="5"/>
      <c r="J28" s="12"/>
      <c r="K28" s="12"/>
      <c r="L28" s="12"/>
      <c r="M28" s="12"/>
      <c r="N28" s="15" t="s">
        <v>313</v>
      </c>
      <c r="O28" s="5"/>
      <c r="P28" s="5"/>
      <c r="Q28" s="5"/>
      <c r="R28" s="12"/>
    </row>
    <row r="29" spans="1:18">
      <c r="A29" s="35" t="s">
        <v>337</v>
      </c>
      <c r="B29" s="36"/>
      <c r="C29" s="38"/>
      <c r="D29" s="38"/>
      <c r="E29" s="38"/>
      <c r="F29" s="38"/>
      <c r="G29" s="31" t="s">
        <v>162</v>
      </c>
      <c r="H29" s="31" t="s">
        <v>162</v>
      </c>
      <c r="I29" s="36"/>
      <c r="J29" s="38"/>
      <c r="K29" s="38"/>
      <c r="L29" s="38"/>
      <c r="M29" s="38"/>
      <c r="N29" s="15" t="s">
        <v>313</v>
      </c>
      <c r="O29" s="36"/>
      <c r="P29" s="36"/>
      <c r="Q29" s="36"/>
      <c r="R29" s="38"/>
    </row>
    <row r="30" spans="1:18">
      <c r="A30" s="35" t="s">
        <v>338</v>
      </c>
      <c r="B30" s="5"/>
      <c r="C30" s="12"/>
      <c r="D30" s="12"/>
      <c r="E30" s="12"/>
      <c r="F30" s="12"/>
      <c r="G30" s="31" t="s">
        <v>162</v>
      </c>
      <c r="H30" s="31" t="s">
        <v>162</v>
      </c>
      <c r="I30" s="5"/>
      <c r="J30" s="12"/>
      <c r="K30" s="12"/>
      <c r="L30" s="12"/>
      <c r="M30" s="12"/>
      <c r="N30" s="15" t="s">
        <v>313</v>
      </c>
      <c r="O30" s="5"/>
      <c r="P30" s="5"/>
      <c r="Q30" s="5"/>
      <c r="R30" s="12"/>
    </row>
    <row r="31" spans="1:18">
      <c r="A31" s="35" t="s">
        <v>339</v>
      </c>
      <c r="B31" s="36"/>
      <c r="C31" s="38"/>
      <c r="D31" s="38"/>
      <c r="E31" s="38"/>
      <c r="F31" s="38"/>
      <c r="G31" s="31" t="s">
        <v>162</v>
      </c>
      <c r="H31" s="31" t="s">
        <v>162</v>
      </c>
      <c r="I31" s="36"/>
      <c r="J31" s="38"/>
      <c r="K31" s="38"/>
      <c r="L31" s="38"/>
      <c r="M31" s="38"/>
      <c r="N31" s="15" t="s">
        <v>313</v>
      </c>
      <c r="O31" s="36"/>
      <c r="P31" s="36"/>
      <c r="Q31" s="36"/>
      <c r="R31" s="38"/>
    </row>
    <row r="32" spans="1:18">
      <c r="A32" s="35" t="s">
        <v>340</v>
      </c>
      <c r="B32" s="5"/>
      <c r="C32" s="12"/>
      <c r="D32" s="12"/>
      <c r="E32" s="12"/>
      <c r="F32" s="12"/>
      <c r="G32" s="31" t="s">
        <v>162</v>
      </c>
      <c r="H32" s="31" t="s">
        <v>162</v>
      </c>
      <c r="I32" s="5"/>
      <c r="J32" s="12"/>
      <c r="K32" s="12"/>
      <c r="L32" s="12"/>
      <c r="M32" s="12"/>
      <c r="N32" s="15" t="s">
        <v>313</v>
      </c>
      <c r="O32" s="5"/>
      <c r="P32" s="5"/>
      <c r="Q32" s="5"/>
      <c r="R32" s="12"/>
    </row>
    <row r="33" spans="1:18">
      <c r="A33" s="35" t="s">
        <v>341</v>
      </c>
      <c r="B33" s="36"/>
      <c r="C33" s="38"/>
      <c r="D33" s="38"/>
      <c r="E33" s="38"/>
      <c r="F33" s="38"/>
      <c r="G33" s="31" t="s">
        <v>162</v>
      </c>
      <c r="H33" s="31" t="s">
        <v>162</v>
      </c>
      <c r="I33" s="36"/>
      <c r="J33" s="38"/>
      <c r="K33" s="38"/>
      <c r="L33" s="38"/>
      <c r="M33" s="38"/>
      <c r="N33" s="15" t="s">
        <v>313</v>
      </c>
      <c r="O33" s="36"/>
      <c r="P33" s="36"/>
      <c r="Q33" s="36"/>
      <c r="R33" s="38"/>
    </row>
    <row r="34" spans="1:18">
      <c r="A34" s="35" t="s">
        <v>342</v>
      </c>
      <c r="B34" s="5"/>
      <c r="C34" s="12"/>
      <c r="D34" s="12"/>
      <c r="E34" s="12"/>
      <c r="F34" s="12"/>
      <c r="G34" s="31" t="s">
        <v>162</v>
      </c>
      <c r="H34" s="31" t="s">
        <v>162</v>
      </c>
      <c r="I34" s="5"/>
      <c r="J34" s="12"/>
      <c r="K34" s="12"/>
      <c r="L34" s="12"/>
      <c r="M34" s="12"/>
      <c r="N34" s="15" t="s">
        <v>313</v>
      </c>
      <c r="O34" s="5"/>
      <c r="P34" s="5"/>
      <c r="Q34" s="5"/>
      <c r="R34" s="12"/>
    </row>
  </sheetData>
  <mergeCells count="2">
    <mergeCell ref="A2:R2"/>
    <mergeCell ref="A1:R1"/>
  </mergeCells>
  <conditionalFormatting sqref="G5:G300">
    <cfRule type="cellIs" dxfId="64" priority="1" operator="equal">
      <formula>"Critical"</formula>
    </cfRule>
    <cfRule type="cellIs" dxfId="63" priority="2" operator="equal">
      <formula>"High"</formula>
    </cfRule>
    <cfRule type="cellIs" dxfId="62" priority="3" operator="equal">
      <formula>"Medium"</formula>
    </cfRule>
    <cfRule type="cellIs" dxfId="61" priority="4" operator="equal">
      <formula>"Low"</formula>
    </cfRule>
    <cfRule type="cellIs" dxfId="60" priority="5" operator="equal">
      <formula>"Info"</formula>
    </cfRule>
  </conditionalFormatting>
  <conditionalFormatting sqref="H5:H300">
    <cfRule type="cellIs" dxfId="59" priority="6" operator="equal">
      <formula>"Critical"</formula>
    </cfRule>
    <cfRule type="cellIs" dxfId="58" priority="7" operator="equal">
      <formula>"High"</formula>
    </cfRule>
    <cfRule type="cellIs" dxfId="57" priority="8" operator="equal">
      <formula>"Medium"</formula>
    </cfRule>
    <cfRule type="cellIs" dxfId="56" priority="9" operator="equal">
      <formula>"Low"</formula>
    </cfRule>
  </conditionalFormatting>
  <conditionalFormatting sqref="N5:N300">
    <cfRule type="cellIs" dxfId="55" priority="10" operator="equal">
      <formula>"Done"</formula>
    </cfRule>
    <cfRule type="cellIs" dxfId="54" priority="11" operator="equal">
      <formula>"Completed"</formula>
    </cfRule>
    <cfRule type="cellIs" dxfId="53" priority="12" operator="equal">
      <formula>"Closed"</formula>
    </cfRule>
    <cfRule type="cellIs" dxfId="52" priority="13" operator="equal">
      <formula>"Fixed"</formula>
    </cfRule>
    <cfRule type="cellIs" dxfId="51" priority="14" operator="equal">
      <formula>"Approved"</formula>
    </cfRule>
    <cfRule type="cellIs" dxfId="50" priority="15" operator="equal">
      <formula>"In Progress"</formula>
    </cfRule>
    <cfRule type="cellIs" dxfId="49" priority="16" operator="equal">
      <formula>"Open"</formula>
    </cfRule>
    <cfRule type="cellIs" dxfId="48" priority="17" operator="equal">
      <formula>"Pending"</formula>
    </cfRule>
    <cfRule type="cellIs" dxfId="47" priority="18" operator="equal">
      <formula>"Blocked"</formula>
    </cfRule>
    <cfRule type="cellIs" dxfId="46" priority="19" operator="equal">
      <formula>"Cancelled"</formula>
    </cfRule>
    <cfRule type="cellIs" dxfId="45" priority="20" operator="equal">
      <formula>"Rejected"</formula>
    </cfRule>
    <cfRule type="cellIs" dxfId="44" priority="21" operator="equal">
      <formula>"Submitted"</formula>
    </cfRule>
  </conditionalFormatting>
  <dataValidations count="4">
    <dataValidation type="list" allowBlank="1" sqref="G5:G300" xr:uid="{00000000-0002-0000-0500-000000000000}">
      <formula1>"Critical,High,Medium,Low,Info"</formula1>
    </dataValidation>
    <dataValidation type="list" allowBlank="1" sqref="H5:H300" xr:uid="{00000000-0002-0000-0500-000001000000}">
      <formula1>"Critical,High,Medium,Low"</formula1>
    </dataValidation>
    <dataValidation type="list" allowBlank="1" sqref="I5:I300" xr:uid="{00000000-0002-0000-0500-000002000000}">
      <formula1>"Review,Unit Test,Integration Test,System Test,UAT"</formula1>
    </dataValidation>
    <dataValidation type="list" allowBlank="1" sqref="N5:N300" xr:uid="{00000000-0002-0000-0500-000003000000}">
      <formula1>"Pending,Open,In Progress,Fixed,Closed,Rejected"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C3292"/>
  </sheetPr>
  <dimension ref="A1:M24"/>
  <sheetViews>
    <sheetView showGridLines="0" workbookViewId="0">
      <pane ySplit="4" topLeftCell="A5" activePane="bottomLeft" state="frozen"/>
      <selection pane="bottomLeft" activeCell="F13" sqref="F13"/>
    </sheetView>
  </sheetViews>
  <sheetFormatPr defaultRowHeight="14.25"/>
  <cols>
    <col min="1" max="1" width="6" customWidth="1"/>
    <col min="2" max="2" width="12" customWidth="1"/>
    <col min="3" max="3" width="36" customWidth="1"/>
    <col min="4" max="4" width="16" customWidth="1"/>
    <col min="5" max="5" width="10" customWidth="1"/>
    <col min="6" max="6" width="28" customWidth="1"/>
    <col min="7" max="8" width="14" customWidth="1"/>
    <col min="9" max="9" width="12" customWidth="1"/>
    <col min="10" max="10" width="32" customWidth="1"/>
    <col min="11" max="12" width="12" customWidth="1"/>
    <col min="13" max="13" width="20" customWidth="1"/>
  </cols>
  <sheetData>
    <row r="1" spans="1:13" ht="28.15" customHeight="1">
      <c r="A1" s="71" t="s">
        <v>343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</row>
    <row r="2" spans="1:13" ht="16.149999999999999" customHeight="1">
      <c r="A2" s="68" t="s">
        <v>344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</row>
    <row r="3" spans="1:13" ht="6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</row>
    <row r="4" spans="1:13" ht="26.1" customHeight="1">
      <c r="A4" s="39" t="s">
        <v>46</v>
      </c>
      <c r="B4" s="39" t="s">
        <v>197</v>
      </c>
      <c r="C4" s="39" t="s">
        <v>345</v>
      </c>
      <c r="D4" s="39" t="s">
        <v>346</v>
      </c>
      <c r="E4" s="39" t="s">
        <v>201</v>
      </c>
      <c r="F4" s="39" t="s">
        <v>347</v>
      </c>
      <c r="G4" s="39" t="s">
        <v>199</v>
      </c>
      <c r="H4" s="39" t="s">
        <v>348</v>
      </c>
      <c r="I4" s="39" t="s">
        <v>202</v>
      </c>
      <c r="J4" s="39" t="s">
        <v>349</v>
      </c>
      <c r="K4" s="39" t="s">
        <v>15</v>
      </c>
      <c r="L4" s="39" t="s">
        <v>350</v>
      </c>
      <c r="M4" s="39" t="s">
        <v>52</v>
      </c>
    </row>
    <row r="5" spans="1:13" ht="32.1" customHeight="1">
      <c r="A5" s="40" t="s">
        <v>351</v>
      </c>
      <c r="B5" s="41" t="s">
        <v>243</v>
      </c>
      <c r="C5" s="42" t="s">
        <v>352</v>
      </c>
      <c r="D5" s="41" t="s">
        <v>353</v>
      </c>
      <c r="E5" s="31" t="s">
        <v>162</v>
      </c>
      <c r="F5" s="43" t="s">
        <v>354</v>
      </c>
      <c r="G5" s="43" t="s">
        <v>209</v>
      </c>
      <c r="H5" s="43" t="s">
        <v>355</v>
      </c>
      <c r="I5" s="41"/>
      <c r="J5" s="43" t="s">
        <v>356</v>
      </c>
      <c r="K5" s="15" t="s">
        <v>213</v>
      </c>
      <c r="L5" s="41"/>
      <c r="M5" s="43"/>
    </row>
    <row r="6" spans="1:13" ht="20.100000000000001" customHeight="1">
      <c r="A6" s="40" t="s">
        <v>357</v>
      </c>
      <c r="B6" s="5"/>
      <c r="C6" s="12"/>
      <c r="D6" s="5"/>
      <c r="E6" s="31" t="s">
        <v>162</v>
      </c>
      <c r="F6" s="12"/>
      <c r="G6" s="12"/>
      <c r="H6" s="12"/>
      <c r="I6" s="5"/>
      <c r="J6" s="12"/>
      <c r="K6" s="15" t="s">
        <v>213</v>
      </c>
      <c r="L6" s="5"/>
      <c r="M6" s="12"/>
    </row>
    <row r="7" spans="1:13" ht="20.100000000000001" customHeight="1">
      <c r="A7" s="40" t="s">
        <v>358</v>
      </c>
      <c r="B7" s="41"/>
      <c r="C7" s="43"/>
      <c r="D7" s="41"/>
      <c r="E7" s="31" t="s">
        <v>162</v>
      </c>
      <c r="F7" s="43"/>
      <c r="G7" s="43"/>
      <c r="H7" s="43"/>
      <c r="I7" s="41"/>
      <c r="J7" s="43"/>
      <c r="K7" s="15" t="s">
        <v>213</v>
      </c>
      <c r="L7" s="41"/>
      <c r="M7" s="43"/>
    </row>
    <row r="8" spans="1:13" ht="20.100000000000001" customHeight="1">
      <c r="A8" s="40" t="s">
        <v>359</v>
      </c>
      <c r="B8" s="5"/>
      <c r="C8" s="12"/>
      <c r="D8" s="5"/>
      <c r="E8" s="31" t="s">
        <v>162</v>
      </c>
      <c r="F8" s="12"/>
      <c r="G8" s="12"/>
      <c r="H8" s="12"/>
      <c r="I8" s="5"/>
      <c r="J8" s="12"/>
      <c r="K8" s="15" t="s">
        <v>213</v>
      </c>
      <c r="L8" s="5"/>
      <c r="M8" s="12"/>
    </row>
    <row r="9" spans="1:13" ht="20.100000000000001" customHeight="1">
      <c r="A9" s="40" t="s">
        <v>360</v>
      </c>
      <c r="B9" s="41"/>
      <c r="C9" s="43"/>
      <c r="D9" s="41"/>
      <c r="E9" s="31" t="s">
        <v>162</v>
      </c>
      <c r="F9" s="43"/>
      <c r="G9" s="43"/>
      <c r="H9" s="43"/>
      <c r="I9" s="41"/>
      <c r="J9" s="43"/>
      <c r="K9" s="15" t="s">
        <v>213</v>
      </c>
      <c r="L9" s="41"/>
      <c r="M9" s="43"/>
    </row>
    <row r="10" spans="1:13" ht="20.100000000000001" customHeight="1">
      <c r="A10" s="40" t="s">
        <v>361</v>
      </c>
      <c r="B10" s="5"/>
      <c r="C10" s="12"/>
      <c r="D10" s="5"/>
      <c r="E10" s="31" t="s">
        <v>162</v>
      </c>
      <c r="F10" s="12"/>
      <c r="G10" s="12"/>
      <c r="H10" s="12"/>
      <c r="I10" s="5"/>
      <c r="J10" s="12"/>
      <c r="K10" s="15" t="s">
        <v>213</v>
      </c>
      <c r="L10" s="5"/>
      <c r="M10" s="12"/>
    </row>
    <row r="11" spans="1:13" ht="20.100000000000001" customHeight="1">
      <c r="A11" s="40" t="s">
        <v>362</v>
      </c>
      <c r="B11" s="41"/>
      <c r="C11" s="43"/>
      <c r="D11" s="41"/>
      <c r="E11" s="31" t="s">
        <v>162</v>
      </c>
      <c r="F11" s="43"/>
      <c r="G11" s="43"/>
      <c r="H11" s="43"/>
      <c r="I11" s="41"/>
      <c r="J11" s="43"/>
      <c r="K11" s="15" t="s">
        <v>213</v>
      </c>
      <c r="L11" s="41"/>
      <c r="M11" s="43"/>
    </row>
    <row r="12" spans="1:13" ht="20.100000000000001" customHeight="1">
      <c r="A12" s="40" t="s">
        <v>363</v>
      </c>
      <c r="B12" s="5"/>
      <c r="C12" s="12"/>
      <c r="D12" s="5"/>
      <c r="E12" s="31" t="s">
        <v>162</v>
      </c>
      <c r="F12" s="12"/>
      <c r="G12" s="12"/>
      <c r="H12" s="12"/>
      <c r="I12" s="5"/>
      <c r="J12" s="12"/>
      <c r="K12" s="15" t="s">
        <v>213</v>
      </c>
      <c r="L12" s="5"/>
      <c r="M12" s="12"/>
    </row>
    <row r="13" spans="1:13" ht="20.100000000000001" customHeight="1">
      <c r="A13" s="40" t="s">
        <v>364</v>
      </c>
      <c r="B13" s="41"/>
      <c r="C13" s="43"/>
      <c r="D13" s="41"/>
      <c r="E13" s="31" t="s">
        <v>162</v>
      </c>
      <c r="F13" s="43"/>
      <c r="G13" s="43"/>
      <c r="H13" s="43"/>
      <c r="I13" s="41"/>
      <c r="J13" s="43"/>
      <c r="K13" s="15" t="s">
        <v>213</v>
      </c>
      <c r="L13" s="41"/>
      <c r="M13" s="43"/>
    </row>
    <row r="14" spans="1:13" ht="20.100000000000001" customHeight="1">
      <c r="A14" s="40" t="s">
        <v>365</v>
      </c>
      <c r="B14" s="5"/>
      <c r="C14" s="12"/>
      <c r="D14" s="5"/>
      <c r="E14" s="31" t="s">
        <v>162</v>
      </c>
      <c r="F14" s="12"/>
      <c r="G14" s="12"/>
      <c r="H14" s="12"/>
      <c r="I14" s="5"/>
      <c r="J14" s="12"/>
      <c r="K14" s="15" t="s">
        <v>213</v>
      </c>
      <c r="L14" s="5"/>
      <c r="M14" s="12"/>
    </row>
    <row r="15" spans="1:13" ht="20.100000000000001" customHeight="1">
      <c r="A15" s="40" t="s">
        <v>366</v>
      </c>
      <c r="B15" s="41"/>
      <c r="C15" s="43"/>
      <c r="D15" s="41"/>
      <c r="E15" s="31" t="s">
        <v>162</v>
      </c>
      <c r="F15" s="43"/>
      <c r="G15" s="43"/>
      <c r="H15" s="43"/>
      <c r="I15" s="41"/>
      <c r="J15" s="43"/>
      <c r="K15" s="15" t="s">
        <v>213</v>
      </c>
      <c r="L15" s="41"/>
      <c r="M15" s="43"/>
    </row>
    <row r="16" spans="1:13" ht="20.100000000000001" customHeight="1">
      <c r="A16" s="40" t="s">
        <v>367</v>
      </c>
      <c r="B16" s="5"/>
      <c r="C16" s="12"/>
      <c r="D16" s="5"/>
      <c r="E16" s="31" t="s">
        <v>162</v>
      </c>
      <c r="F16" s="12"/>
      <c r="G16" s="12"/>
      <c r="H16" s="12"/>
      <c r="I16" s="5"/>
      <c r="J16" s="12"/>
      <c r="K16" s="15" t="s">
        <v>213</v>
      </c>
      <c r="L16" s="5"/>
      <c r="M16" s="12"/>
    </row>
    <row r="17" spans="1:13" ht="20.100000000000001" customHeight="1">
      <c r="A17" s="40" t="s">
        <v>368</v>
      </c>
      <c r="B17" s="41"/>
      <c r="C17" s="43"/>
      <c r="D17" s="41"/>
      <c r="E17" s="31" t="s">
        <v>162</v>
      </c>
      <c r="F17" s="43"/>
      <c r="G17" s="43"/>
      <c r="H17" s="43"/>
      <c r="I17" s="41"/>
      <c r="J17" s="43"/>
      <c r="K17" s="15" t="s">
        <v>213</v>
      </c>
      <c r="L17" s="41"/>
      <c r="M17" s="43"/>
    </row>
    <row r="18" spans="1:13" ht="20.100000000000001" customHeight="1">
      <c r="A18" s="40" t="s">
        <v>369</v>
      </c>
      <c r="B18" s="5"/>
      <c r="C18" s="12"/>
      <c r="D18" s="5"/>
      <c r="E18" s="31" t="s">
        <v>162</v>
      </c>
      <c r="F18" s="12"/>
      <c r="G18" s="12"/>
      <c r="H18" s="12"/>
      <c r="I18" s="5"/>
      <c r="J18" s="12"/>
      <c r="K18" s="15" t="s">
        <v>213</v>
      </c>
      <c r="L18" s="5"/>
      <c r="M18" s="12"/>
    </row>
    <row r="19" spans="1:13" ht="20.100000000000001" customHeight="1">
      <c r="A19" s="40" t="s">
        <v>370</v>
      </c>
      <c r="B19" s="41"/>
      <c r="C19" s="43"/>
      <c r="D19" s="41"/>
      <c r="E19" s="31" t="s">
        <v>162</v>
      </c>
      <c r="F19" s="43"/>
      <c r="G19" s="43"/>
      <c r="H19" s="43"/>
      <c r="I19" s="41"/>
      <c r="J19" s="43"/>
      <c r="K19" s="15" t="s">
        <v>213</v>
      </c>
      <c r="L19" s="41"/>
      <c r="M19" s="43"/>
    </row>
    <row r="20" spans="1:13" ht="20.100000000000001" customHeight="1">
      <c r="A20" s="40" t="s">
        <v>371</v>
      </c>
      <c r="B20" s="5"/>
      <c r="C20" s="12"/>
      <c r="D20" s="5"/>
      <c r="E20" s="31" t="s">
        <v>162</v>
      </c>
      <c r="F20" s="12"/>
      <c r="G20" s="12"/>
      <c r="H20" s="12"/>
      <c r="I20" s="5"/>
      <c r="J20" s="12"/>
      <c r="K20" s="15" t="s">
        <v>213</v>
      </c>
      <c r="L20" s="5"/>
      <c r="M20" s="12"/>
    </row>
    <row r="21" spans="1:13" ht="20.100000000000001" customHeight="1">
      <c r="A21" s="40" t="s">
        <v>372</v>
      </c>
      <c r="B21" s="41"/>
      <c r="C21" s="43"/>
      <c r="D21" s="41"/>
      <c r="E21" s="31" t="s">
        <v>162</v>
      </c>
      <c r="F21" s="43"/>
      <c r="G21" s="43"/>
      <c r="H21" s="43"/>
      <c r="I21" s="41"/>
      <c r="J21" s="43"/>
      <c r="K21" s="15" t="s">
        <v>213</v>
      </c>
      <c r="L21" s="41"/>
      <c r="M21" s="43"/>
    </row>
    <row r="22" spans="1:13" ht="20.100000000000001" customHeight="1">
      <c r="A22" s="40" t="s">
        <v>373</v>
      </c>
      <c r="B22" s="5"/>
      <c r="C22" s="12"/>
      <c r="D22" s="5"/>
      <c r="E22" s="31" t="s">
        <v>162</v>
      </c>
      <c r="F22" s="12"/>
      <c r="G22" s="12"/>
      <c r="H22" s="12"/>
      <c r="I22" s="5"/>
      <c r="J22" s="12"/>
      <c r="K22" s="15" t="s">
        <v>213</v>
      </c>
      <c r="L22" s="5"/>
      <c r="M22" s="12"/>
    </row>
    <row r="23" spans="1:13" ht="20.100000000000001" customHeight="1">
      <c r="A23" s="40" t="s">
        <v>374</v>
      </c>
      <c r="B23" s="41"/>
      <c r="C23" s="43"/>
      <c r="D23" s="41"/>
      <c r="E23" s="31" t="s">
        <v>162</v>
      </c>
      <c r="F23" s="43"/>
      <c r="G23" s="43"/>
      <c r="H23" s="43"/>
      <c r="I23" s="41"/>
      <c r="J23" s="43"/>
      <c r="K23" s="15" t="s">
        <v>213</v>
      </c>
      <c r="L23" s="41"/>
      <c r="M23" s="43"/>
    </row>
    <row r="24" spans="1:13" ht="20.100000000000001" customHeight="1">
      <c r="A24" s="40" t="s">
        <v>375</v>
      </c>
      <c r="B24" s="5"/>
      <c r="C24" s="12"/>
      <c r="D24" s="5"/>
      <c r="E24" s="31" t="s">
        <v>162</v>
      </c>
      <c r="F24" s="12"/>
      <c r="G24" s="12"/>
      <c r="H24" s="12"/>
      <c r="I24" s="5"/>
      <c r="J24" s="12"/>
      <c r="K24" s="15" t="s">
        <v>213</v>
      </c>
      <c r="L24" s="5"/>
      <c r="M24" s="12"/>
    </row>
  </sheetData>
  <mergeCells count="2">
    <mergeCell ref="A2:M2"/>
    <mergeCell ref="A1:M1"/>
  </mergeCells>
  <conditionalFormatting sqref="E5:E200">
    <cfRule type="cellIs" dxfId="43" priority="1" operator="equal">
      <formula>"Critical"</formula>
    </cfRule>
    <cfRule type="cellIs" dxfId="42" priority="2" operator="equal">
      <formula>"High"</formula>
    </cfRule>
    <cfRule type="cellIs" dxfId="41" priority="3" operator="equal">
      <formula>"Medium"</formula>
    </cfRule>
    <cfRule type="cellIs" dxfId="40" priority="4" operator="equal">
      <formula>"Low"</formula>
    </cfRule>
  </conditionalFormatting>
  <conditionalFormatting sqref="K5:K200">
    <cfRule type="cellIs" dxfId="39" priority="5" operator="equal">
      <formula>"Done"</formula>
    </cfRule>
    <cfRule type="cellIs" dxfId="38" priority="6" operator="equal">
      <formula>"Completed"</formula>
    </cfRule>
    <cfRule type="cellIs" dxfId="37" priority="7" operator="equal">
      <formula>"Closed"</formula>
    </cfRule>
    <cfRule type="cellIs" dxfId="36" priority="8" operator="equal">
      <formula>"Fixed"</formula>
    </cfRule>
    <cfRule type="cellIs" dxfId="35" priority="9" operator="equal">
      <formula>"Approved"</formula>
    </cfRule>
    <cfRule type="cellIs" dxfId="34" priority="10" operator="equal">
      <formula>"In Progress"</formula>
    </cfRule>
    <cfRule type="cellIs" dxfId="33" priority="11" operator="equal">
      <formula>"Open"</formula>
    </cfRule>
    <cfRule type="cellIs" dxfId="32" priority="12" operator="equal">
      <formula>"Pending"</formula>
    </cfRule>
    <cfRule type="cellIs" dxfId="31" priority="13" operator="equal">
      <formula>"Blocked"</formula>
    </cfRule>
    <cfRule type="cellIs" dxfId="30" priority="14" operator="equal">
      <formula>"Cancelled"</formula>
    </cfRule>
    <cfRule type="cellIs" dxfId="29" priority="15" operator="equal">
      <formula>"Rejected"</formula>
    </cfRule>
    <cfRule type="cellIs" dxfId="28" priority="16" operator="equal">
      <formula>"Submitted"</formula>
    </cfRule>
  </conditionalFormatting>
  <dataValidations count="3">
    <dataValidation type="list" allowBlank="1" sqref="D5:D200" xr:uid="{00000000-0002-0000-0600-000000000000}">
      <formula1>"Technical,Process,Resource,Scope,External,Other"</formula1>
    </dataValidation>
    <dataValidation type="list" allowBlank="1" sqref="E5:E200" xr:uid="{00000000-0002-0000-0600-000001000000}">
      <formula1>"Critical,High,Medium,Low"</formula1>
    </dataValidation>
    <dataValidation type="list" allowBlank="1" sqref="K5:K200" xr:uid="{00000000-0002-0000-0600-000002000000}">
      <formula1>"Open,In Progress,Closed,Deferred,Cancelled"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843C0C"/>
  </sheetPr>
  <dimension ref="A1:L19"/>
  <sheetViews>
    <sheetView showGridLines="0" zoomScale="85" zoomScaleNormal="85" workbookViewId="0">
      <pane ySplit="4" topLeftCell="A5" activePane="bottomLeft" state="frozen"/>
      <selection pane="bottomLeft" activeCell="C7" sqref="C7"/>
    </sheetView>
  </sheetViews>
  <sheetFormatPr defaultRowHeight="14.25"/>
  <cols>
    <col min="1" max="1" width="6" customWidth="1"/>
    <col min="2" max="2" width="36" customWidth="1"/>
    <col min="3" max="3" width="16" customWidth="1"/>
    <col min="4" max="4" width="13" customWidth="1"/>
    <col min="5" max="5" width="10" customWidth="1"/>
    <col min="6" max="6" width="14" customWidth="1"/>
    <col min="7" max="7" width="34" customWidth="1"/>
    <col min="8" max="8" width="30" customWidth="1"/>
    <col min="9" max="9" width="14" customWidth="1"/>
    <col min="10" max="10" width="12" customWidth="1"/>
    <col min="11" max="11" width="14" customWidth="1"/>
    <col min="12" max="12" width="20" customWidth="1"/>
  </cols>
  <sheetData>
    <row r="1" spans="1:12" ht="17.649999999999999">
      <c r="A1" s="71" t="s">
        <v>376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</row>
    <row r="2" spans="1:12">
      <c r="A2" s="68" t="s">
        <v>377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</row>
    <row r="4" spans="1:12" ht="26.25">
      <c r="A4" s="44" t="s">
        <v>46</v>
      </c>
      <c r="B4" s="44" t="s">
        <v>378</v>
      </c>
      <c r="C4" s="44" t="s">
        <v>346</v>
      </c>
      <c r="D4" s="44" t="s">
        <v>379</v>
      </c>
      <c r="E4" s="44" t="s">
        <v>380</v>
      </c>
      <c r="F4" s="44" t="s">
        <v>381</v>
      </c>
      <c r="G4" s="44" t="s">
        <v>382</v>
      </c>
      <c r="H4" s="44" t="s">
        <v>383</v>
      </c>
      <c r="I4" s="44" t="s">
        <v>348</v>
      </c>
      <c r="J4" s="44" t="s">
        <v>202</v>
      </c>
      <c r="K4" s="44" t="s">
        <v>15</v>
      </c>
      <c r="L4" s="44" t="s">
        <v>52</v>
      </c>
    </row>
    <row r="5" spans="1:12" ht="38.25">
      <c r="A5" s="45" t="s">
        <v>384</v>
      </c>
      <c r="B5" s="38" t="s">
        <v>385</v>
      </c>
      <c r="C5" s="38" t="s">
        <v>386</v>
      </c>
      <c r="D5" s="31" t="s">
        <v>162</v>
      </c>
      <c r="E5" s="31" t="s">
        <v>387</v>
      </c>
      <c r="F5" s="35">
        <v>6</v>
      </c>
      <c r="G5" s="38" t="s">
        <v>388</v>
      </c>
      <c r="H5" s="38" t="s">
        <v>389</v>
      </c>
      <c r="I5" s="38" t="s">
        <v>390</v>
      </c>
      <c r="J5" s="36" t="s">
        <v>62</v>
      </c>
      <c r="K5" s="15" t="s">
        <v>213</v>
      </c>
      <c r="L5" s="38"/>
    </row>
    <row r="6" spans="1:12" ht="38.25">
      <c r="A6" s="45" t="s">
        <v>391</v>
      </c>
      <c r="B6" s="12" t="s">
        <v>392</v>
      </c>
      <c r="C6" s="12" t="s">
        <v>393</v>
      </c>
      <c r="D6" s="31" t="s">
        <v>394</v>
      </c>
      <c r="E6" s="31" t="s">
        <v>387</v>
      </c>
      <c r="F6" s="46">
        <v>3</v>
      </c>
      <c r="G6" s="12" t="s">
        <v>395</v>
      </c>
      <c r="H6" s="12" t="s">
        <v>396</v>
      </c>
      <c r="I6" s="12" t="s">
        <v>390</v>
      </c>
      <c r="J6" s="5"/>
      <c r="K6" s="15" t="s">
        <v>213</v>
      </c>
      <c r="L6" s="12"/>
    </row>
    <row r="7" spans="1:12" ht="38.25">
      <c r="A7" s="45" t="s">
        <v>397</v>
      </c>
      <c r="B7" s="38" t="s">
        <v>398</v>
      </c>
      <c r="C7" s="38" t="s">
        <v>399</v>
      </c>
      <c r="D7" s="31" t="s">
        <v>162</v>
      </c>
      <c r="E7" s="31" t="s">
        <v>162</v>
      </c>
      <c r="F7" s="46">
        <v>4</v>
      </c>
      <c r="G7" s="38" t="s">
        <v>400</v>
      </c>
      <c r="H7" s="38" t="s">
        <v>401</v>
      </c>
      <c r="I7" s="38" t="s">
        <v>390</v>
      </c>
      <c r="J7" s="36"/>
      <c r="K7" s="15" t="s">
        <v>213</v>
      </c>
      <c r="L7" s="38"/>
    </row>
    <row r="8" spans="1:12" ht="25.5">
      <c r="A8" s="45" t="s">
        <v>402</v>
      </c>
      <c r="B8" s="12" t="s">
        <v>403</v>
      </c>
      <c r="C8" s="12" t="s">
        <v>353</v>
      </c>
      <c r="D8" s="31" t="s">
        <v>162</v>
      </c>
      <c r="E8" s="31" t="s">
        <v>162</v>
      </c>
      <c r="F8" s="46">
        <v>4</v>
      </c>
      <c r="G8" s="12" t="s">
        <v>404</v>
      </c>
      <c r="H8" s="12" t="s">
        <v>405</v>
      </c>
      <c r="I8" s="12" t="s">
        <v>406</v>
      </c>
      <c r="J8" s="5"/>
      <c r="K8" s="15" t="s">
        <v>213</v>
      </c>
      <c r="L8" s="12"/>
    </row>
    <row r="9" spans="1:12" ht="25.5">
      <c r="A9" s="45" t="s">
        <v>407</v>
      </c>
      <c r="B9" s="38" t="s">
        <v>408</v>
      </c>
      <c r="C9" s="38" t="s">
        <v>353</v>
      </c>
      <c r="D9" s="31" t="s">
        <v>394</v>
      </c>
      <c r="E9" s="31" t="s">
        <v>162</v>
      </c>
      <c r="F9" s="47">
        <v>2</v>
      </c>
      <c r="G9" s="38" t="s">
        <v>409</v>
      </c>
      <c r="H9" s="38" t="s">
        <v>410</v>
      </c>
      <c r="I9" s="38" t="s">
        <v>406</v>
      </c>
      <c r="J9" s="36" t="s">
        <v>122</v>
      </c>
      <c r="K9" s="15" t="s">
        <v>213</v>
      </c>
      <c r="L9" s="38"/>
    </row>
    <row r="10" spans="1:12" ht="25.5">
      <c r="A10" s="45" t="s">
        <v>411</v>
      </c>
      <c r="B10" s="12" t="s">
        <v>412</v>
      </c>
      <c r="C10" s="12" t="s">
        <v>413</v>
      </c>
      <c r="D10" s="31" t="s">
        <v>162</v>
      </c>
      <c r="E10" s="31" t="s">
        <v>387</v>
      </c>
      <c r="F10" s="35">
        <v>6</v>
      </c>
      <c r="G10" s="12" t="s">
        <v>414</v>
      </c>
      <c r="H10" s="12" t="s">
        <v>415</v>
      </c>
      <c r="I10" s="12" t="s">
        <v>390</v>
      </c>
      <c r="J10" s="5" t="s">
        <v>30</v>
      </c>
      <c r="K10" s="15" t="s">
        <v>213</v>
      </c>
      <c r="L10" s="12"/>
    </row>
    <row r="11" spans="1:12">
      <c r="A11" s="45" t="s">
        <v>416</v>
      </c>
      <c r="B11" s="12"/>
      <c r="C11" s="12"/>
      <c r="D11" s="31" t="s">
        <v>162</v>
      </c>
      <c r="E11" s="31" t="s">
        <v>162</v>
      </c>
      <c r="F11" s="31"/>
      <c r="G11" s="12"/>
      <c r="H11" s="12"/>
      <c r="I11" s="12"/>
      <c r="J11" s="5"/>
      <c r="K11" s="15" t="s">
        <v>213</v>
      </c>
      <c r="L11" s="12"/>
    </row>
    <row r="12" spans="1:12">
      <c r="A12" s="45" t="s">
        <v>417</v>
      </c>
      <c r="B12" s="38"/>
      <c r="C12" s="38"/>
      <c r="D12" s="31" t="s">
        <v>162</v>
      </c>
      <c r="E12" s="31" t="s">
        <v>162</v>
      </c>
      <c r="F12" s="31"/>
      <c r="G12" s="38"/>
      <c r="H12" s="38"/>
      <c r="I12" s="38"/>
      <c r="J12" s="36"/>
      <c r="K12" s="15" t="s">
        <v>213</v>
      </c>
      <c r="L12" s="38"/>
    </row>
    <row r="13" spans="1:12">
      <c r="A13" s="45" t="s">
        <v>418</v>
      </c>
      <c r="B13" s="12"/>
      <c r="C13" s="12"/>
      <c r="D13" s="31" t="s">
        <v>162</v>
      </c>
      <c r="E13" s="31" t="s">
        <v>162</v>
      </c>
      <c r="F13" s="31"/>
      <c r="G13" s="12"/>
      <c r="H13" s="12"/>
      <c r="I13" s="12"/>
      <c r="J13" s="5"/>
      <c r="K13" s="15" t="s">
        <v>213</v>
      </c>
      <c r="L13" s="12"/>
    </row>
    <row r="14" spans="1:12">
      <c r="A14" s="45" t="s">
        <v>419</v>
      </c>
      <c r="B14" s="38"/>
      <c r="C14" s="38"/>
      <c r="D14" s="31" t="s">
        <v>162</v>
      </c>
      <c r="E14" s="31" t="s">
        <v>162</v>
      </c>
      <c r="F14" s="31"/>
      <c r="G14" s="38"/>
      <c r="H14" s="38"/>
      <c r="I14" s="38"/>
      <c r="J14" s="36"/>
      <c r="K14" s="15" t="s">
        <v>213</v>
      </c>
      <c r="L14" s="38"/>
    </row>
    <row r="15" spans="1:12">
      <c r="A15" s="45" t="s">
        <v>420</v>
      </c>
      <c r="B15" s="12"/>
      <c r="C15" s="12"/>
      <c r="D15" s="31" t="s">
        <v>162</v>
      </c>
      <c r="E15" s="31" t="s">
        <v>162</v>
      </c>
      <c r="F15" s="31"/>
      <c r="G15" s="12"/>
      <c r="H15" s="12"/>
      <c r="I15" s="12"/>
      <c r="J15" s="5"/>
      <c r="K15" s="15" t="s">
        <v>213</v>
      </c>
      <c r="L15" s="12"/>
    </row>
    <row r="16" spans="1:12">
      <c r="A16" s="45" t="s">
        <v>421</v>
      </c>
      <c r="B16" s="38"/>
      <c r="C16" s="38"/>
      <c r="D16" s="31" t="s">
        <v>162</v>
      </c>
      <c r="E16" s="31" t="s">
        <v>162</v>
      </c>
      <c r="F16" s="31"/>
      <c r="G16" s="38"/>
      <c r="H16" s="38"/>
      <c r="I16" s="38"/>
      <c r="J16" s="36"/>
      <c r="K16" s="15" t="s">
        <v>213</v>
      </c>
      <c r="L16" s="38"/>
    </row>
    <row r="17" spans="1:12">
      <c r="A17" s="45" t="s">
        <v>422</v>
      </c>
      <c r="B17" s="12"/>
      <c r="C17" s="12"/>
      <c r="D17" s="31" t="s">
        <v>162</v>
      </c>
      <c r="E17" s="31" t="s">
        <v>162</v>
      </c>
      <c r="F17" s="31"/>
      <c r="G17" s="12"/>
      <c r="H17" s="12"/>
      <c r="I17" s="12"/>
      <c r="J17" s="5"/>
      <c r="K17" s="15" t="s">
        <v>213</v>
      </c>
      <c r="L17" s="12"/>
    </row>
    <row r="18" spans="1:12">
      <c r="A18" s="45" t="s">
        <v>423</v>
      </c>
      <c r="B18" s="38"/>
      <c r="C18" s="38"/>
      <c r="D18" s="31" t="s">
        <v>162</v>
      </c>
      <c r="E18" s="31" t="s">
        <v>162</v>
      </c>
      <c r="F18" s="31"/>
      <c r="G18" s="38"/>
      <c r="H18" s="38"/>
      <c r="I18" s="38"/>
      <c r="J18" s="36"/>
      <c r="K18" s="15" t="s">
        <v>213</v>
      </c>
      <c r="L18" s="38"/>
    </row>
    <row r="19" spans="1:12">
      <c r="A19" s="45" t="s">
        <v>424</v>
      </c>
      <c r="B19" s="12"/>
      <c r="C19" s="12"/>
      <c r="D19" s="31" t="s">
        <v>162</v>
      </c>
      <c r="E19" s="31" t="s">
        <v>162</v>
      </c>
      <c r="F19" s="31"/>
      <c r="G19" s="12"/>
      <c r="H19" s="12"/>
      <c r="I19" s="12"/>
      <c r="J19" s="5"/>
      <c r="K19" s="15" t="s">
        <v>213</v>
      </c>
      <c r="L19" s="12"/>
    </row>
  </sheetData>
  <mergeCells count="2">
    <mergeCell ref="A2:L2"/>
    <mergeCell ref="A1:L1"/>
  </mergeCells>
  <conditionalFormatting sqref="K5:K100">
    <cfRule type="cellIs" dxfId="27" priority="1" operator="equal">
      <formula>"Done"</formula>
    </cfRule>
    <cfRule type="cellIs" dxfId="26" priority="2" operator="equal">
      <formula>"Completed"</formula>
    </cfRule>
    <cfRule type="cellIs" dxfId="25" priority="3" operator="equal">
      <formula>"Closed"</formula>
    </cfRule>
    <cfRule type="cellIs" dxfId="24" priority="4" operator="equal">
      <formula>"Fixed"</formula>
    </cfRule>
    <cfRule type="cellIs" dxfId="23" priority="5" operator="equal">
      <formula>"Approved"</formula>
    </cfRule>
    <cfRule type="cellIs" dxfId="22" priority="6" operator="equal">
      <formula>"In Progress"</formula>
    </cfRule>
    <cfRule type="cellIs" dxfId="21" priority="7" operator="equal">
      <formula>"Open"</formula>
    </cfRule>
    <cfRule type="cellIs" dxfId="20" priority="8" operator="equal">
      <formula>"Pending"</formula>
    </cfRule>
    <cfRule type="cellIs" dxfId="19" priority="9" operator="equal">
      <formula>"Blocked"</formula>
    </cfRule>
    <cfRule type="cellIs" dxfId="18" priority="10" operator="equal">
      <formula>"Cancelled"</formula>
    </cfRule>
    <cfRule type="cellIs" dxfId="17" priority="11" operator="equal">
      <formula>"Rejected"</formula>
    </cfRule>
    <cfRule type="cellIs" dxfId="16" priority="12" operator="equal">
      <formula>"Submitted"</formula>
    </cfRule>
  </conditionalFormatting>
  <dataValidations count="3">
    <dataValidation type="list" allowBlank="1" sqref="C5:C100" xr:uid="{00000000-0002-0000-0700-000000000000}">
      <formula1>"Technical,Schedule,Resource,Scope,External,Quality,Other"</formula1>
    </dataValidation>
    <dataValidation type="list" allowBlank="1" sqref="D5:E100" xr:uid="{00000000-0002-0000-0700-000001000000}">
      <formula1>"High,Medium,Low"</formula1>
    </dataValidation>
    <dataValidation type="list" allowBlank="1" sqref="K5:K100" xr:uid="{00000000-0002-0000-0700-000003000000}">
      <formula1>"Open,Mitigated,Occurred,Closed"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595959"/>
  </sheetPr>
  <dimension ref="A1:L24"/>
  <sheetViews>
    <sheetView showGridLines="0" zoomScale="85" zoomScaleNormal="85" workbookViewId="0">
      <pane ySplit="4" topLeftCell="A5" activePane="bottomLeft" state="frozen"/>
      <selection pane="bottomLeft" activeCell="C11" sqref="C11"/>
    </sheetView>
  </sheetViews>
  <sheetFormatPr defaultRowHeight="14.25"/>
  <cols>
    <col min="1" max="1" width="6" customWidth="1"/>
    <col min="2" max="2" width="12" customWidth="1"/>
    <col min="3" max="3" width="36" customWidth="1"/>
    <col min="4" max="4" width="14" customWidth="1"/>
    <col min="5" max="5" width="18" customWidth="1"/>
    <col min="6" max="6" width="22" customWidth="1"/>
    <col min="7" max="7" width="16" customWidth="1"/>
    <col min="8" max="8" width="18" customWidth="1"/>
    <col min="9" max="9" width="10" customWidth="1"/>
    <col min="10" max="10" width="14" customWidth="1"/>
    <col min="11" max="11" width="12" customWidth="1"/>
    <col min="12" max="12" width="20" customWidth="1"/>
  </cols>
  <sheetData>
    <row r="1" spans="1:12" ht="28.15" customHeight="1">
      <c r="A1" s="71" t="s">
        <v>425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</row>
    <row r="2" spans="1:12" ht="16.149999999999999" customHeight="1">
      <c r="A2" s="68" t="s">
        <v>426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</row>
    <row r="3" spans="1:12" ht="6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</row>
    <row r="4" spans="1:12" ht="26.1" customHeight="1">
      <c r="A4" s="48" t="s">
        <v>46</v>
      </c>
      <c r="B4" s="48" t="s">
        <v>197</v>
      </c>
      <c r="C4" s="48" t="s">
        <v>427</v>
      </c>
      <c r="D4" s="48" t="s">
        <v>428</v>
      </c>
      <c r="E4" s="48" t="s">
        <v>429</v>
      </c>
      <c r="F4" s="48" t="s">
        <v>430</v>
      </c>
      <c r="G4" s="48" t="s">
        <v>431</v>
      </c>
      <c r="H4" s="48" t="s">
        <v>432</v>
      </c>
      <c r="I4" s="48" t="s">
        <v>201</v>
      </c>
      <c r="J4" s="48" t="s">
        <v>51</v>
      </c>
      <c r="K4" s="48" t="s">
        <v>15</v>
      </c>
      <c r="L4" s="48" t="s">
        <v>52</v>
      </c>
    </row>
    <row r="5" spans="1:12" ht="32.1" customHeight="1">
      <c r="A5" s="49" t="s">
        <v>433</v>
      </c>
      <c r="B5" s="15" t="s">
        <v>207</v>
      </c>
      <c r="C5" s="50" t="s">
        <v>434</v>
      </c>
      <c r="D5" s="51" t="s">
        <v>209</v>
      </c>
      <c r="E5" s="51" t="s">
        <v>435</v>
      </c>
      <c r="F5" s="51" t="s">
        <v>436</v>
      </c>
      <c r="G5" s="15" t="s">
        <v>437</v>
      </c>
      <c r="H5" s="15" t="s">
        <v>438</v>
      </c>
      <c r="I5" s="31" t="s">
        <v>162</v>
      </c>
      <c r="J5" s="51" t="s">
        <v>439</v>
      </c>
      <c r="K5" s="15" t="s">
        <v>313</v>
      </c>
      <c r="L5" s="51" t="s">
        <v>440</v>
      </c>
    </row>
    <row r="6" spans="1:12" ht="20.100000000000001" customHeight="1">
      <c r="A6" s="49" t="s">
        <v>441</v>
      </c>
      <c r="B6" s="5"/>
      <c r="C6" s="12"/>
      <c r="D6" s="12"/>
      <c r="E6" s="12"/>
      <c r="F6" s="12"/>
      <c r="G6" s="5"/>
      <c r="H6" s="5"/>
      <c r="I6" s="31" t="s">
        <v>162</v>
      </c>
      <c r="J6" s="12"/>
      <c r="K6" s="15" t="s">
        <v>313</v>
      </c>
      <c r="L6" s="12"/>
    </row>
    <row r="7" spans="1:12" ht="20.100000000000001" customHeight="1">
      <c r="A7" s="49" t="s">
        <v>442</v>
      </c>
      <c r="B7" s="15"/>
      <c r="C7" s="51"/>
      <c r="D7" s="51"/>
      <c r="E7" s="51"/>
      <c r="F7" s="51"/>
      <c r="G7" s="15"/>
      <c r="H7" s="15"/>
      <c r="I7" s="31" t="s">
        <v>162</v>
      </c>
      <c r="J7" s="51"/>
      <c r="K7" s="15" t="s">
        <v>313</v>
      </c>
      <c r="L7" s="51"/>
    </row>
    <row r="8" spans="1:12" ht="20.100000000000001" customHeight="1">
      <c r="A8" s="49" t="s">
        <v>443</v>
      </c>
      <c r="B8" s="5"/>
      <c r="C8" s="12"/>
      <c r="D8" s="12"/>
      <c r="E8" s="12"/>
      <c r="F8" s="12"/>
      <c r="G8" s="5"/>
      <c r="H8" s="5"/>
      <c r="I8" s="31" t="s">
        <v>162</v>
      </c>
      <c r="J8" s="12"/>
      <c r="K8" s="15" t="s">
        <v>313</v>
      </c>
      <c r="L8" s="12"/>
    </row>
    <row r="9" spans="1:12" ht="20.100000000000001" customHeight="1">
      <c r="A9" s="49" t="s">
        <v>444</v>
      </c>
      <c r="B9" s="15"/>
      <c r="C9" s="51"/>
      <c r="D9" s="51"/>
      <c r="E9" s="51"/>
      <c r="F9" s="51"/>
      <c r="G9" s="15"/>
      <c r="H9" s="15"/>
      <c r="I9" s="31" t="s">
        <v>162</v>
      </c>
      <c r="J9" s="51"/>
      <c r="K9" s="15" t="s">
        <v>313</v>
      </c>
      <c r="L9" s="51"/>
    </row>
    <row r="10" spans="1:12" ht="20.100000000000001" customHeight="1">
      <c r="A10" s="49" t="s">
        <v>445</v>
      </c>
      <c r="B10" s="5"/>
      <c r="C10" s="12"/>
      <c r="D10" s="12"/>
      <c r="E10" s="12"/>
      <c r="F10" s="12"/>
      <c r="G10" s="5"/>
      <c r="H10" s="5"/>
      <c r="I10" s="31" t="s">
        <v>162</v>
      </c>
      <c r="J10" s="12"/>
      <c r="K10" s="15" t="s">
        <v>313</v>
      </c>
      <c r="L10" s="12"/>
    </row>
    <row r="11" spans="1:12" ht="20.100000000000001" customHeight="1">
      <c r="A11" s="49" t="s">
        <v>446</v>
      </c>
      <c r="B11" s="15"/>
      <c r="C11" s="51"/>
      <c r="D11" s="51"/>
      <c r="E11" s="51"/>
      <c r="F11" s="51"/>
      <c r="G11" s="15"/>
      <c r="H11" s="15"/>
      <c r="I11" s="31" t="s">
        <v>162</v>
      </c>
      <c r="J11" s="51"/>
      <c r="K11" s="15" t="s">
        <v>313</v>
      </c>
      <c r="L11" s="51"/>
    </row>
    <row r="12" spans="1:12" ht="20.100000000000001" customHeight="1">
      <c r="A12" s="49" t="s">
        <v>447</v>
      </c>
      <c r="B12" s="5"/>
      <c r="C12" s="12"/>
      <c r="D12" s="12"/>
      <c r="E12" s="12"/>
      <c r="F12" s="12"/>
      <c r="G12" s="5"/>
      <c r="H12" s="5"/>
      <c r="I12" s="31" t="s">
        <v>162</v>
      </c>
      <c r="J12" s="12"/>
      <c r="K12" s="15" t="s">
        <v>313</v>
      </c>
      <c r="L12" s="12"/>
    </row>
    <row r="13" spans="1:12" ht="20.100000000000001" customHeight="1">
      <c r="A13" s="49" t="s">
        <v>448</v>
      </c>
      <c r="B13" s="15"/>
      <c r="C13" s="51"/>
      <c r="D13" s="51"/>
      <c r="E13" s="51"/>
      <c r="F13" s="51"/>
      <c r="G13" s="15"/>
      <c r="H13" s="15"/>
      <c r="I13" s="31" t="s">
        <v>162</v>
      </c>
      <c r="J13" s="51"/>
      <c r="K13" s="15" t="s">
        <v>313</v>
      </c>
      <c r="L13" s="51"/>
    </row>
    <row r="14" spans="1:12" ht="20.100000000000001" customHeight="1">
      <c r="A14" s="49" t="s">
        <v>449</v>
      </c>
      <c r="B14" s="5"/>
      <c r="C14" s="12"/>
      <c r="D14" s="12"/>
      <c r="E14" s="12"/>
      <c r="F14" s="12"/>
      <c r="G14" s="5"/>
      <c r="H14" s="5"/>
      <c r="I14" s="31" t="s">
        <v>162</v>
      </c>
      <c r="J14" s="12"/>
      <c r="K14" s="15" t="s">
        <v>313</v>
      </c>
      <c r="L14" s="12"/>
    </row>
    <row r="15" spans="1:12" ht="20.100000000000001" customHeight="1">
      <c r="A15" s="49" t="s">
        <v>450</v>
      </c>
      <c r="B15" s="15"/>
      <c r="C15" s="51"/>
      <c r="D15" s="51"/>
      <c r="E15" s="51"/>
      <c r="F15" s="51"/>
      <c r="G15" s="15"/>
      <c r="H15" s="15"/>
      <c r="I15" s="31" t="s">
        <v>162</v>
      </c>
      <c r="J15" s="51"/>
      <c r="K15" s="15" t="s">
        <v>313</v>
      </c>
      <c r="L15" s="51"/>
    </row>
    <row r="16" spans="1:12" ht="20.100000000000001" customHeight="1">
      <c r="A16" s="49" t="s">
        <v>451</v>
      </c>
      <c r="B16" s="5"/>
      <c r="C16" s="12"/>
      <c r="D16" s="12"/>
      <c r="E16" s="12"/>
      <c r="F16" s="12"/>
      <c r="G16" s="5"/>
      <c r="H16" s="5"/>
      <c r="I16" s="31" t="s">
        <v>162</v>
      </c>
      <c r="J16" s="12"/>
      <c r="K16" s="15" t="s">
        <v>313</v>
      </c>
      <c r="L16" s="12"/>
    </row>
    <row r="17" spans="1:12" ht="20.100000000000001" customHeight="1">
      <c r="A17" s="49" t="s">
        <v>452</v>
      </c>
      <c r="B17" s="15"/>
      <c r="C17" s="51"/>
      <c r="D17" s="51"/>
      <c r="E17" s="51"/>
      <c r="F17" s="51"/>
      <c r="G17" s="15"/>
      <c r="H17" s="15"/>
      <c r="I17" s="31" t="s">
        <v>162</v>
      </c>
      <c r="J17" s="51"/>
      <c r="K17" s="15" t="s">
        <v>313</v>
      </c>
      <c r="L17" s="51"/>
    </row>
    <row r="18" spans="1:12" ht="20.100000000000001" customHeight="1">
      <c r="A18" s="49" t="s">
        <v>453</v>
      </c>
      <c r="B18" s="5"/>
      <c r="C18" s="12"/>
      <c r="D18" s="12"/>
      <c r="E18" s="12"/>
      <c r="F18" s="12"/>
      <c r="G18" s="5"/>
      <c r="H18" s="5"/>
      <c r="I18" s="31" t="s">
        <v>162</v>
      </c>
      <c r="J18" s="12"/>
      <c r="K18" s="15" t="s">
        <v>313</v>
      </c>
      <c r="L18" s="12"/>
    </row>
    <row r="19" spans="1:12" ht="20.100000000000001" customHeight="1">
      <c r="A19" s="49" t="s">
        <v>454</v>
      </c>
      <c r="B19" s="15"/>
      <c r="C19" s="51"/>
      <c r="D19" s="51"/>
      <c r="E19" s="51"/>
      <c r="F19" s="51"/>
      <c r="G19" s="15"/>
      <c r="H19" s="15"/>
      <c r="I19" s="31" t="s">
        <v>162</v>
      </c>
      <c r="J19" s="51"/>
      <c r="K19" s="15" t="s">
        <v>313</v>
      </c>
      <c r="L19" s="51"/>
    </row>
    <row r="20" spans="1:12" ht="20.100000000000001" customHeight="1">
      <c r="A20" s="49" t="s">
        <v>455</v>
      </c>
      <c r="B20" s="5"/>
      <c r="C20" s="12"/>
      <c r="D20" s="12"/>
      <c r="E20" s="12"/>
      <c r="F20" s="12"/>
      <c r="G20" s="5"/>
      <c r="H20" s="5"/>
      <c r="I20" s="31" t="s">
        <v>162</v>
      </c>
      <c r="J20" s="12"/>
      <c r="K20" s="15" t="s">
        <v>313</v>
      </c>
      <c r="L20" s="12"/>
    </row>
    <row r="21" spans="1:12" ht="20.100000000000001" customHeight="1">
      <c r="A21" s="49" t="s">
        <v>456</v>
      </c>
      <c r="B21" s="15"/>
      <c r="C21" s="51"/>
      <c r="D21" s="51"/>
      <c r="E21" s="51"/>
      <c r="F21" s="51"/>
      <c r="G21" s="15"/>
      <c r="H21" s="15"/>
      <c r="I21" s="31" t="s">
        <v>162</v>
      </c>
      <c r="J21" s="51"/>
      <c r="K21" s="15" t="s">
        <v>313</v>
      </c>
      <c r="L21" s="51"/>
    </row>
    <row r="22" spans="1:12" ht="20.100000000000001" customHeight="1">
      <c r="A22" s="49" t="s">
        <v>457</v>
      </c>
      <c r="B22" s="5"/>
      <c r="C22" s="12"/>
      <c r="D22" s="12"/>
      <c r="E22" s="12"/>
      <c r="F22" s="12"/>
      <c r="G22" s="5"/>
      <c r="H22" s="5"/>
      <c r="I22" s="31" t="s">
        <v>162</v>
      </c>
      <c r="J22" s="12"/>
      <c r="K22" s="15" t="s">
        <v>313</v>
      </c>
      <c r="L22" s="12"/>
    </row>
    <row r="23" spans="1:12" ht="20.100000000000001" customHeight="1">
      <c r="A23" s="49" t="s">
        <v>458</v>
      </c>
      <c r="B23" s="15"/>
      <c r="C23" s="51"/>
      <c r="D23" s="51"/>
      <c r="E23" s="51"/>
      <c r="F23" s="51"/>
      <c r="G23" s="15"/>
      <c r="H23" s="15"/>
      <c r="I23" s="31" t="s">
        <v>162</v>
      </c>
      <c r="J23" s="51"/>
      <c r="K23" s="15" t="s">
        <v>313</v>
      </c>
      <c r="L23" s="51"/>
    </row>
    <row r="24" spans="1:12" ht="20.100000000000001" customHeight="1">
      <c r="A24" s="49" t="s">
        <v>459</v>
      </c>
      <c r="B24" s="5"/>
      <c r="C24" s="12"/>
      <c r="D24" s="12"/>
      <c r="E24" s="12"/>
      <c r="F24" s="12"/>
      <c r="G24" s="5"/>
      <c r="H24" s="5"/>
      <c r="I24" s="31" t="s">
        <v>162</v>
      </c>
      <c r="J24" s="12"/>
      <c r="K24" s="15" t="s">
        <v>313</v>
      </c>
      <c r="L24" s="12"/>
    </row>
  </sheetData>
  <mergeCells count="2">
    <mergeCell ref="A2:L2"/>
    <mergeCell ref="A1:L1"/>
  </mergeCells>
  <conditionalFormatting sqref="I5:I200">
    <cfRule type="cellIs" dxfId="15" priority="1" operator="equal">
      <formula>"Critical"</formula>
    </cfRule>
    <cfRule type="cellIs" dxfId="14" priority="2" operator="equal">
      <formula>"High"</formula>
    </cfRule>
    <cfRule type="cellIs" dxfId="13" priority="3" operator="equal">
      <formula>"Medium"</formula>
    </cfRule>
    <cfRule type="cellIs" dxfId="12" priority="4" operator="equal">
      <formula>"Low"</formula>
    </cfRule>
  </conditionalFormatting>
  <conditionalFormatting sqref="K5:K200">
    <cfRule type="cellIs" dxfId="11" priority="5" operator="equal">
      <formula>"Done"</formula>
    </cfRule>
    <cfRule type="cellIs" dxfId="10" priority="6" operator="equal">
      <formula>"Completed"</formula>
    </cfRule>
    <cfRule type="cellIs" dxfId="9" priority="7" operator="equal">
      <formula>"Closed"</formula>
    </cfRule>
    <cfRule type="cellIs" dxfId="8" priority="8" operator="equal">
      <formula>"Fixed"</formula>
    </cfRule>
    <cfRule type="cellIs" dxfId="7" priority="9" operator="equal">
      <formula>"Approved"</formula>
    </cfRule>
    <cfRule type="cellIs" dxfId="6" priority="10" operator="equal">
      <formula>"In Progress"</formula>
    </cfRule>
    <cfRule type="cellIs" dxfId="5" priority="11" operator="equal">
      <formula>"Open"</formula>
    </cfRule>
    <cfRule type="cellIs" dxfId="4" priority="12" operator="equal">
      <formula>"Pending"</formula>
    </cfRule>
    <cfRule type="cellIs" dxfId="3" priority="13" operator="equal">
      <formula>"Blocked"</formula>
    </cfRule>
    <cfRule type="cellIs" dxfId="2" priority="14" operator="equal">
      <formula>"Cancelled"</formula>
    </cfRule>
    <cfRule type="cellIs" dxfId="1" priority="15" operator="equal">
      <formula>"Rejected"</formula>
    </cfRule>
    <cfRule type="cellIs" dxfId="0" priority="16" operator="equal">
      <formula>"Submitted"</formula>
    </cfRule>
  </conditionalFormatting>
  <dataValidations count="2">
    <dataValidation type="list" allowBlank="1" sqref="I5:I200" xr:uid="{00000000-0002-0000-0800-000000000000}">
      <formula1>"Critical,High,Medium,Low"</formula1>
    </dataValidation>
    <dataValidation type="list" allowBlank="1" sqref="K5:K200" xr:uid="{00000000-0002-0000-0800-000001000000}">
      <formula1>"Pending,Approved,Rejected,Deferred,Implemented"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Người dùng Khách</cp:lastModifiedBy>
  <cp:revision/>
  <dcterms:created xsi:type="dcterms:W3CDTF">2026-05-24T20:19:29Z</dcterms:created>
  <dcterms:modified xsi:type="dcterms:W3CDTF">2026-10-03T08:27:40Z</dcterms:modified>
  <cp:category/>
  <cp:contentStatus/>
</cp:coreProperties>
</file>