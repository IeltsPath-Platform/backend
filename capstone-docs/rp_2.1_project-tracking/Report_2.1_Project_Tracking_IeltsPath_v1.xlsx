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Xjodia\Downloads\"/>
    </mc:Choice>
  </mc:AlternateContent>
  <xr:revisionPtr revIDLastSave="0" documentId="13_ncr:1_{6371546C-D044-4F74-B884-4C617E809C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shboard" sheetId="1" r:id="rId1"/>
    <sheet name="Scope" sheetId="2" r:id="rId2"/>
    <sheet name="WBS" sheetId="3" r:id="rId3"/>
    <sheet name="Q&amp;A" sheetId="4" r:id="rId4"/>
    <sheet name="TimeLogs" sheetId="5" r:id="rId5"/>
    <sheet name="Defects" sheetId="6" r:id="rId6"/>
    <sheet name="Issues" sheetId="7" r:id="rId7"/>
    <sheet name="Risks" sheetId="8" r:id="rId8"/>
    <sheet name="ChangeLog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<sst xmlns="http://schemas.openxmlformats.org/spreadsheetml/2006/main" count="2042" uniqueCount="2042">
  <si>
    <t>In Progress</t>
  </si>
  <si>
    <t>Not Started</t>
  </si>
  <si>
    <t>Deadline</t>
  </si>
  <si>
    <t>In Charge</t>
  </si>
  <si>
    <t>Status</t>
  </si>
  <si>
    <t>Week 1</t>
  </si>
  <si>
    <t>Week 3</t>
  </si>
  <si>
    <t>Week 5</t>
  </si>
  <si>
    <t>Week 11</t>
  </si>
  <si>
    <t>Week 13</t>
  </si>
  <si>
    <t>Week 14</t>
  </si>
  <si>
    <t>Iteration</t>
  </si>
  <si>
    <t>Done</t>
  </si>
  <si>
    <t>% Complete</t>
  </si>
  <si>
    <t>Iteration 1</t>
  </si>
  <si>
    <t>Iteration 2</t>
  </si>
  <si>
    <t>Iteration 3</t>
  </si>
  <si>
    <t>Scope — Project Deliverables &amp; Milestones</t>
  </si>
  <si>
    <t>Track all deliverables by stage  ·  Update Status and Actual Effort each week  ·  % Complete auto-calculated</t>
  </si>
  <si>
    <t>#</t>
  </si>
  <si>
    <t>Work Package / Deliverable</t>
  </si>
  <si>
    <t>Est. Effort (pds)</t>
  </si>
  <si>
    <t>Actual Effort (pds)</t>
  </si>
  <si>
    <t>Dependency</t>
  </si>
  <si>
    <t>Approved By</t>
  </si>
  <si>
    <t>Notes</t>
  </si>
  <si>
    <t xml:space="preserve">  Stage 1: Project Initiating (Week 1)</t>
  </si>
  <si>
    <t>1.1</t>
  </si>
  <si>
    <t>Report 1 — Project Introduction</t>
  </si>
  <si>
    <t>PhuPD</t>
  </si>
  <si>
    <t xml:space="preserve">  Stage 2: Project Planning &amp; Initial Requirements (Weeks 2–3)</t>
  </si>
  <si>
    <t>2.1</t>
  </si>
  <si>
    <t>Report 2 — Project Management Plan v1.0</t>
  </si>
  <si>
    <t>PhuPD, HieuLT, TungVPH</t>
  </si>
  <si>
    <t>Week 2</t>
  </si>
  <si>
    <t>1.1, 2.1</t>
  </si>
  <si>
    <t>Planning, roles, timeline, risk, communication, tracking</t>
  </si>
  <si>
    <t>2.2</t>
  </si>
  <si>
    <t>Report 3 — SRS v0.9 (Overall Requirements)</t>
  </si>
  <si>
    <t>All team</t>
  </si>
  <si>
    <t>Scope, actors, functional requirements finalized</t>
  </si>
  <si>
    <t>2.3</t>
  </si>
  <si>
    <t>Vertical Prototypes (Code Demo)</t>
  </si>
  <si>
    <t>BE + FE</t>
  </si>
  <si>
    <t>Demonstrate a small end-to-end flow to prove the stack works.</t>
  </si>
  <si>
    <t xml:space="preserve">  Stage 3: Software Design (Weeks 4–5)</t>
  </si>
  <si>
    <t>3.1</t>
  </si>
  <si>
    <t>Vertical Prototypes (POC / Proof of Concepts)</t>
  </si>
  <si>
    <t>Week 4</t>
  </si>
  <si>
    <t>Develop a Proof of Concept (POC) for technical components that involve risk or uncertainty.</t>
  </si>
  <si>
    <t>3.2</t>
  </si>
  <si>
    <t>Report 3 — SRS v1.0 (Detailed — Iteration 1)</t>
  </si>
  <si>
    <t>2.1, 3.2</t>
  </si>
  <si>
    <t>Detailed requirements for features to be implemented in Iteration 1</t>
  </si>
  <si>
    <t>3.3</t>
  </si>
  <si>
    <t>Report 4 — SDS v1.0 (High Level Design)</t>
  </si>
  <si>
    <t>2.1, 2.2</t>
  </si>
  <si>
    <t>Architecture, service/module, DB high-level, API/interface, deployment overview</t>
  </si>
  <si>
    <t>3.4</t>
  </si>
  <si>
    <t>Report 5 — Test Planning</t>
  </si>
  <si>
    <t>Test strategy, test types, environment, entry/exit criteria, responsibilities</t>
  </si>
  <si>
    <t xml:space="preserve">  Stage 4a: Implementation — Iteration 1 (Weeks 6–7)</t>
  </si>
  <si>
    <t>4.1.1</t>
  </si>
  <si>
    <t>Report 4 — SDS v1.1 (Detailed Design)</t>
  </si>
  <si>
    <t>Week 6</t>
  </si>
  <si>
    <t>4.1.2</t>
  </si>
  <si>
    <t>Code Package &amp; Unit Testing Report — Iteration 1</t>
  </si>
  <si>
    <t>4.1.3</t>
  </si>
  <si>
    <t>Report 5 — Integration Test Cases — Iteration 1</t>
  </si>
  <si>
    <t>4.1.4</t>
  </si>
  <si>
    <t>Report 5 — Integration Test Report — Iteration 1</t>
  </si>
  <si>
    <t>Week 7</t>
  </si>
  <si>
    <t>4.1.5</t>
  </si>
  <si>
    <t>Report 3 — SRS v1.1 (Detailed — Iteration 2)</t>
  </si>
  <si>
    <t>4.1.6</t>
  </si>
  <si>
    <t>Software Package Version 1</t>
  </si>
  <si>
    <t xml:space="preserve">  Stage 4b: Implementation — Iteration 2 (Weeks 8–9)</t>
  </si>
  <si>
    <t>4.2.1</t>
  </si>
  <si>
    <t>Report 4 — SDS v1.2</t>
  </si>
  <si>
    <t>Week 8</t>
  </si>
  <si>
    <t>4.2.2</t>
  </si>
  <si>
    <t>Code Package &amp; Unit Testing Report — Iteration 2</t>
  </si>
  <si>
    <t>4.2.3</t>
  </si>
  <si>
    <t>Report 5 — Integration Test Cases — Iteration 2</t>
  </si>
  <si>
    <t>4.2.4</t>
  </si>
  <si>
    <t>Report 5 — Integration Test Report — Iteration 2</t>
  </si>
  <si>
    <t>Week 9</t>
  </si>
  <si>
    <t>4.2.5</t>
  </si>
  <si>
    <t>Report 3 — SRS v1.2 (Detailed — Iteration 3)</t>
  </si>
  <si>
    <t>4.2.6</t>
  </si>
  <si>
    <t>Software Package Version 2</t>
  </si>
  <si>
    <t xml:space="preserve">  Stage 4c: Implementation — Iteration 3 (Weeks 10–11)</t>
  </si>
  <si>
    <t>4.3.1</t>
  </si>
  <si>
    <t>Report 4 — SDS v1.3</t>
  </si>
  <si>
    <t>Week 10</t>
  </si>
  <si>
    <t>4.3.2</t>
  </si>
  <si>
    <t>Code Package &amp; Unit Testing Report — Iteration 3</t>
  </si>
  <si>
    <t>4.3.3</t>
  </si>
  <si>
    <t>Report 5 — Integration Test Cases — Iteration 3</t>
  </si>
  <si>
    <t>4.3.4</t>
  </si>
  <si>
    <t>Report 5 — Integration Test Report — Iteration 3</t>
  </si>
  <si>
    <t>4.3.5</t>
  </si>
  <si>
    <t>Report 5 — System Test Cases</t>
  </si>
  <si>
    <t>4.3.6</t>
  </si>
  <si>
    <t>Software Package Version 3</t>
  </si>
  <si>
    <t xml:space="preserve">  Stage 5: Verification &amp; Validation (Weeks 12–13)</t>
  </si>
  <si>
    <t>5.1</t>
  </si>
  <si>
    <t>Report 5 — System Test Report</t>
  </si>
  <si>
    <t>Week 12</t>
  </si>
  <si>
    <t>5.2</t>
  </si>
  <si>
    <t>Report 6 — User Guides (Installation + User Manuals)</t>
  </si>
  <si>
    <t>5.3</t>
  </si>
  <si>
    <t>Acceptance Test and Support</t>
  </si>
  <si>
    <t>5.4</t>
  </si>
  <si>
    <t>Final Software Package (Docs + Source Codes)</t>
  </si>
  <si>
    <t xml:space="preserve">  Stage 6: Closing (Week 14)</t>
  </si>
  <si>
    <t>6.1</t>
  </si>
  <si>
    <t>Report 7 — Final Project Report</t>
  </si>
  <si>
    <t>6.2</t>
  </si>
  <si>
    <t>Presentation File</t>
  </si>
  <si>
    <t>Activity</t>
  </si>
  <si>
    <t>Training</t>
  </si>
  <si>
    <t>Analyzing</t>
  </si>
  <si>
    <t>Designing</t>
  </si>
  <si>
    <t>Coding</t>
  </si>
  <si>
    <t>Testing</t>
  </si>
  <si>
    <t>Reviewing</t>
  </si>
  <si>
    <t>Deploying</t>
  </si>
  <si>
    <t>Meeting</t>
  </si>
  <si>
    <t>Owner</t>
  </si>
  <si>
    <t>WBS-001 — Home</t>
  </si>
  <si>
    <t>Screen</t>
  </si>
  <si>
    <t>Public / Access</t>
  </si>
  <si>
    <t>FT-10, FT-11, FT-12</t>
  </si>
  <si>
    <t>Simple</t>
  </si>
  <si>
    <t>WBS-002 — Login</t>
  </si>
  <si>
    <t>Authentication</t>
  </si>
  <si>
    <t>FT-02, FT-03, FT-05, FT-07</t>
  </si>
  <si>
    <t>Lets a registered user sign in with email and password, so the app can return to the page the user wanted or open the learning path. Route: /login · Public page (GuestOnly)</t>
  </si>
  <si>
    <t>Medium</t>
  </si>
  <si>
    <t>WBS-003 — Register</t>
  </si>
  <si>
    <t>FT-01, FT-02</t>
  </si>
  <si>
    <t>Lets a guest create a learner account and signs the guest in straight away, so learning can start. Route: /register · Public page (GuestOnly)</t>
  </si>
  <si>
    <t>WBS-004 — Forgot Password</t>
  </si>
  <si>
    <t>FT-04</t>
  </si>
  <si>
    <t>Lets a user who forgot the password ask for a reset code, so a new password can be set. Route: /forgot-password · Public page (GuestOnly)</t>
  </si>
  <si>
    <t>WBS-005 — Reset Password</t>
  </si>
  <si>
    <t>Lets the user set a new password with the reset code, so the user can sign in again. Route: /reset-password?token=… · Public page (GuestOnly)</t>
  </si>
  <si>
    <t>WBS-006 — OAuth Callback</t>
  </si>
  <si>
    <t>FT-05</t>
  </si>
  <si>
    <t>Finishes a sign-in with the OAuth identity provider and opens the learning path. Route: /auth/oauth/callback · Public page (GuestOnly)</t>
  </si>
  <si>
    <t>WBS-007 — Overview</t>
  </si>
  <si>
    <t>Prototype</t>
  </si>
  <si>
    <t>FT-26, FT-44, FT-45 (intended)</t>
  </si>
  <si>
    <t>Gives the learner a dashboard of study time, four-skill progress, words to review, mentor feedback, courses and the study streak. Route: /overview · RequireAuth (default route when signed in)</t>
  </si>
  <si>
    <t>WBS-008 — Learning Path</t>
  </si>
  <si>
    <t>Core Learning</t>
  </si>
  <si>
    <t>FT-13, FT-20, FT-28</t>
  </si>
  <si>
    <t>WBS-009 — Topic Detail</t>
  </si>
  <si>
    <t>FT-20, FT-21, FT-27, FT-29</t>
  </si>
  <si>
    <t>Lists the ordered lessons of a topic and the final test card, so the learner can open the next lesson, go to practice or start the final test. Route: /learn/topics/:topicId · RequireAuth</t>
  </si>
  <si>
    <t>WBS-010 — Lesson Player</t>
  </si>
  <si>
    <t>FT-21, FT-22, FT-23, FT-24, FT-25</t>
  </si>
  <si>
    <t>Presents a lesson's blocks in order — text, passage, audio, exercises and essays — grades each exercise block, so the learner can pass the lesson and move on. Route: /learn/lessons/:lessonId · RequireAuth</t>
  </si>
  <si>
    <t>WBS-011 — Writing Feedback</t>
  </si>
  <si>
    <t>FT-12, FT-25</t>
  </si>
  <si>
    <t>Shows the AI grading of a Writing essay — estimated band, pass or not, criteria, corrections and the sample answer — so the learner can improve the next essay. Route: Inline panel in /learn/lessons/:lessonId (EssayBlock)</t>
  </si>
  <si>
    <t>WBS-012 — Practice Set</t>
  </si>
  <si>
    <t>FT-23, FT-24, FT-26, FT-27</t>
  </si>
  <si>
    <t>Lists the practice sets of a completed lesson and lets the learner answer one set, see every solution and start the review it creates. Route: /learn/lessons/:lessonId/practice · RequireAuth</t>
  </si>
  <si>
    <t>WBS-013 — Review List</t>
  </si>
  <si>
    <t>FT-28</t>
  </si>
  <si>
    <t>Lists the learner's reviews, oldest first, so the learner can finish the ones that block a skill. Route: /learn/reviews (proposed)</t>
  </si>
  <si>
    <t>WBS-014 — Review Session</t>
  </si>
  <si>
    <t>FT-23, FT-24, FT-26, FT-28</t>
  </si>
  <si>
    <t>Guides the learner through one review — theory with a quick check, then a set of questions — so a weak knowledge point is repaired and the skill is unblocked. Route: /learn/reviews/:reviewId · RequireAuth</t>
  </si>
  <si>
    <t>WBS-015 — Mastery</t>
  </si>
  <si>
    <t>FT-26</t>
  </si>
  <si>
    <t>Shows the learner's mastery from 0 to 1 for every knowledge point, grouped by skill and topic, so the learner can see strong and weak points. Route: /learn/mastery (proposed)</t>
  </si>
  <si>
    <t>WBS-016 — Test Attempt</t>
  </si>
  <si>
    <t>FT-24, FT-30, FT-31</t>
  </si>
  <si>
    <t>Lets the learner sit the topic final test section by section, with answers saved as they go, and submit it for grading. Route: /learn/tests/:attemptId?topic=… · RequireAuth</t>
  </si>
  <si>
    <t>WBS-017 — Test Result</t>
  </si>
  <si>
    <t>FT-14, FT-24, FT-29, FT-31, FT-33</t>
  </si>
  <si>
    <t>Shows the score of the submitted topic test, per-question correctness and — at 70% or more — the correct answers, and tells the learner whether the topic is passed. Route: /learn/tests/:attemptId/result?topic=… · RequireAuth</t>
  </si>
  <si>
    <t>WBS-018 — Mock &amp; Placement Tests</t>
  </si>
  <si>
    <t>FT-34, FT-35</t>
  </si>
  <si>
    <t>Lists the published mock tests and the one-time placement test, so the learner can estimate a starting level or practise under exam conditions. Route: /tests (proposed)</t>
  </si>
  <si>
    <t>WBS-019 — Practice Test Catalog</t>
  </si>
  <si>
    <t>— (no SRS feature; closest FT-34 Mock test)</t>
  </si>
  <si>
    <t>Lets the learner browse practice tests by skill and open one in practice or exam mode. Route: /practice-tests · RequireAuth</t>
  </si>
  <si>
    <t>WBS-020 — Practice Workspaces (Reading, Listening, Writing, Speaking)</t>
  </si>
  <si>
    <t>— (closest FT-25, FT-39, FT-42, FT-43)</t>
  </si>
  <si>
    <t>Gives a full-screen workspace for one practice test per skill, with tools for highlighting, notes, a small dictionary and flashcards. Route: /practice/test/:testId · /practice/listening/:testId · /practice/writing/:taskId · /practice/speaking/:cueId · RequireAuth</t>
  </si>
  <si>
    <t>WBS-021 — Classroom</t>
  </si>
  <si>
    <t>— (mentor classes are not in the SRS)</t>
  </si>
  <si>
    <t>Shows the learner's class, teacher and a calendar of class sessions with a link to join or open each session. Route: /classroom · RequireAuth</t>
  </si>
  <si>
    <t>WBS-022 — Classroom Lesson Workspace</t>
  </si>
  <si>
    <t>— (closest FT-36, FT-43)</t>
  </si>
  <si>
    <t>Shows one class session with its materials, a short quiz and the topic vocabulary to review. Route: /lessons/:lessonId · RequireAuth</t>
  </si>
  <si>
    <t>WBS-023 — Profile &amp; Account</t>
  </si>
  <si>
    <t>Self-study / Account</t>
  </si>
  <si>
    <t>FT-05, FT-06</t>
  </si>
  <si>
    <t>Lets a user keep account details and the learner profile up to date and manage linked sign-in providers. Route: /account/profile</t>
  </si>
  <si>
    <t>WBS-024 — Learning Goals</t>
  </si>
  <si>
    <t>FT-09, FT-35</t>
  </si>
  <si>
    <t>Lets the learner set one active goal — target band, exam date and daily study minutes — and pause, resume or close it, so progress can be tracked against a target. Route: /account/goals</t>
  </si>
  <si>
    <t>WBS-025 — Subscription &amp; Points</t>
  </si>
  <si>
    <t>FT-10, FT-11, FT-12, FT-14</t>
  </si>
  <si>
    <t>Shows the learner's subscription, examiner credits, point balance and history, and lets the learner redeem an activation key for Premium days or points. Route: /account/subscription</t>
  </si>
  <si>
    <t>WBS-026 — Activity &amp; Streak</t>
  </si>
  <si>
    <t>FT-44, FT-45</t>
  </si>
  <si>
    <t>Shows the learner's study activities and current and longest streak, so the learner can keep a daily study habit. Route: /account/activity</t>
  </si>
  <si>
    <t>WBS-027 — Notification Centre</t>
  </si>
  <si>
    <t>FT-51, FT-52, FT-53, FT-54</t>
  </si>
  <si>
    <t>Lists the learner's in-app notifications and lets the learner choose channels, reminder time and registered devices. Route: /notifications</t>
  </si>
  <si>
    <t>WBS-028 — Vocabulary</t>
  </si>
  <si>
    <t>FT-36, FT-43</t>
  </si>
  <si>
    <t>Lets the learner look up topic vocabulary, hear the pronunciation and save words to review later. Route: /vocabulary · Public page</t>
  </si>
  <si>
    <t>WBS-029 — Video Library</t>
  </si>
  <si>
    <t>FT-37, FT-38</t>
  </si>
  <si>
    <t>Lists the published learning videos with the learner's progress, so the learner can pick one to watch. Route: /library/videos</t>
  </si>
  <si>
    <t>WBS-030 — Video Player</t>
  </si>
  <si>
    <t>FT-37, FT-38, FT-39, FT-40, FT-41</t>
  </si>
  <si>
    <t>Plays a learning video with its segment transcript, remembers progress, saves segments and lets the learner practise shadowing and dictation on a segment. Route: /library/videos/:videoId</t>
  </si>
  <si>
    <t>Complex</t>
  </si>
  <si>
    <t>WBS-031 — My Notes</t>
  </si>
  <si>
    <t>FT-42</t>
  </si>
  <si>
    <t>Lets the learner write private notes, optionally linked to a knowledge point or a Reading section. Route: /library/notes</t>
  </si>
  <si>
    <t>WBS-032 — Flashcards &amp; Decks</t>
  </si>
  <si>
    <t>FT-43</t>
  </si>
  <si>
    <t>Lets the learner create flashcards, group them into decks and study a deck card by card. Route: /library/flashcards</t>
  </si>
  <si>
    <t>WBS-033 — Game Lobby</t>
  </si>
  <si>
    <t>FT-46, FT-47, FT-48</t>
  </si>
  <si>
    <t>Lets the learner start a single-player game, create or join a multiplayer room, and see past sessions. Route: /games</t>
  </si>
  <si>
    <t>WBS-034 — Single-player Game</t>
  </si>
  <si>
    <t>FT-46</t>
  </si>
  <si>
    <t>Plays a single-player vocabulary or grammar game item by item on a frozen content snapshot and shows the final score. Route: /games/sessions/:sessionId</t>
  </si>
  <si>
    <t>WBS-035 — Game Room</t>
  </si>
  <si>
    <t>FT-47</t>
  </si>
  <si>
    <t>Gathers players in a multiplayer room, lets the host start the match and plays it in real time over WebSocket, ending with a ranking. Route: /games/rooms/:roomId</t>
  </si>
  <si>
    <t>WBS-036 — Community Feed</t>
  </si>
  <si>
    <t>FT-49, FT-50</t>
  </si>
  <si>
    <t>Lists active community posts newest first and lets users write a post, react, and — for Administrators — hide posts that break the rules. Route: /community</t>
  </si>
  <si>
    <t>WBS-037 — Post Detail</t>
  </si>
  <si>
    <t>Shows one post with its comments and lets users comment, reply, edit or delete their own content, and Administrators hide or restore it. Route: /community/posts/:postId</t>
  </si>
  <si>
    <t>WBS-038 — User Management</t>
  </si>
  <si>
    <t>Staff</t>
  </si>
  <si>
    <t>FT-07, FT-08</t>
  </si>
  <si>
    <t>Lets an Administrator find accounts, create staff or learner accounts with roles, and open an account to manage it. Route: /admin/users · ADMIN home</t>
  </si>
  <si>
    <t>WBS-039 — User Detail</t>
  </si>
  <si>
    <t>FT-04, FT-05, FT-08, FT-09, FT-10, FT-12, FT-13</t>
  </si>
  <si>
    <t>Lets an Administrator change one account's details, roles and status, and review its profile, goals, linked providers and account action tokens. Route: /admin/users/:userId</t>
  </si>
  <si>
    <t>WBS-040 — Plans &amp; Key Products</t>
  </si>
  <si>
    <t>FT-10, FT-14</t>
  </si>
  <si>
    <t>Lets an Administrator define plans and the key products that activation keys grant (Premium days with examiner credits, or points). Route: /admin/access/plans</t>
  </si>
  <si>
    <t>WBS-041 — Activation Keys</t>
  </si>
  <si>
    <t>FT-11</t>
  </si>
  <si>
    <t>Lets staff generate a batch of activation keys for a key product, copy them once, and revoke keys that were lost before use. Route: /admin/access/keys · SALES_STAFF home</t>
  </si>
  <si>
    <t>WBS-042 — Points &amp; Subscriptions</t>
  </si>
  <si>
    <t>FT-10, FT-12, FT-14</t>
  </si>
  <si>
    <t>Lets an Administrator grant subscription days and examiner credits, adjust or refund a learner's points with a reason, and consume an examiner credit. Route: /admin/access/accounts</t>
  </si>
  <si>
    <t>WBS-043 — Topics &amp; Knowledge Points</t>
  </si>
  <si>
    <t>FT-15</t>
  </si>
  <si>
    <t>Lets an author maintain the topic tree of each skill and the knowledge points each topic teaches. Route: /author/topics · CONTENT_AUTHOR home</t>
  </si>
  <si>
    <t>WBS-044 — Question Bank</t>
  </si>
  <si>
    <t>FT-16</t>
  </si>
  <si>
    <t>Lets an author create versioned questions with answer, explanation, hint, purpose and knowledge points, and filter the bank by purpose and skill. Route: /author/questions</t>
  </si>
  <si>
    <t>WBS-045 — Packages</t>
  </si>
  <si>
    <t>FT-17, FT-34, FT-35</t>
  </si>
  <si>
    <t>Lets an author group questions into versioned packages — practice sets, tests and quizzes — and publish them after the system checks question ownership and purpose. Route: /author/packages</t>
  </si>
  <si>
    <t>WBS-046 — Media Assets</t>
  </si>
  <si>
    <t>FT-18, FT-24</t>
  </si>
  <si>
    <t>Lets an author register passage text, images and Listening audio as assets and link them to sections or question versions. Route: /author/assets</t>
  </si>
  <si>
    <t>WBS-047 — Lesson Builder</t>
  </si>
  <si>
    <t>FT-19</t>
  </si>
  <si>
    <t>Lets an author build a topic's ordered lessons from theory, assets, exercise blocks and essay blocks, and publish them to the learning path. Route: /author/lessons/:lessonId</t>
  </si>
  <si>
    <t>WBS-048 — Vocabulary Management</t>
  </si>
  <si>
    <t>FT-36</t>
  </si>
  <si>
    <t>Lets an author add vocabulary items and their senses to the catalog used by lessons, videos, flashcards and games. Route: /author/vocabulary</t>
  </si>
  <si>
    <t>WBS-049 — Video Management</t>
  </si>
  <si>
    <t>FT-37</t>
  </si>
  <si>
    <t>Lets an author register a YouTube learning video, split it into timed segments with transcripts and linked words, and publish it. Route: /author/videos</t>
  </si>
  <si>
    <t>WBS-050 — Grading Workspace</t>
  </si>
  <si>
    <t>FT-32, FT-52</t>
  </si>
  <si>
    <t>Lets an Examiner open a submitted attempt, enter item scores, errors and knowledge-point judgments, and finalize the result so it reaches the learner's progress. Route: /examiner/grading · EXAMINER home</t>
  </si>
  <si>
    <t>WBS-051 — Backend build foundation</t>
  </si>
  <si>
    <t>Non-UI</t>
  </si>
  <si>
    <t>Infrastructure</t>
  </si>
  <si>
    <t>Maven multi-module, Java service folders and repeatable build baseline.</t>
  </si>
  <si>
    <t>WBS-052 — Config Server and Eureka</t>
  </si>
  <si>
    <t>Centralized configuration and service registration/discovery.</t>
  </si>
  <si>
    <t>WBS-053 — Gateway security and routing</t>
  </si>
  <si>
    <t>Security</t>
  </si>
  <si>
    <t>Route public APIs; verify external JWT; sign internal JWT; enforce roles/ownership and prevent internal-route exposure.</t>
  </si>
  <si>
    <t>WBS-054 — Docker and database baseline</t>
  </si>
  <si>
    <t>Local Docker Compose, service PostgreSQL schemas and Flyway migration foundation.</t>
  </si>
  <si>
    <t>WBS-055 — Frontend build and UI foundation</t>
  </si>
  <si>
    <t>Frontend Foundation</t>
  </si>
  <si>
    <t>React/TypeScript/Vite, Tailwind/shadcn setup, theme, aliases and lint/typecheck/build.</t>
  </si>
  <si>
    <t>WBS-056 — Session and shared request handling</t>
  </si>
  <si>
    <t>Memory-only access token, cookie refresh, single-flight retry, protected routes, timeout and shared error states.</t>
  </si>
  <si>
    <t>WBS-057 — Mastery and submission integrity</t>
  </si>
  <si>
    <t>Persist evidence and mastery, apply per-skill gates, enforce request replay and Writing point-charge consistency.</t>
  </si>
  <si>
    <t>WBS-058 — JOB-01 Assessment outbox relay</t>
  </si>
  <si>
    <t>Background Jobs</t>
  </si>
  <si>
    <t>Publishes the AssessmentCompleted.v2 events that grading writes to the outbox table, so a result reaches the learning service only after its database transaction has committed. Trigger: @Scheduled fixed delay 2 s (assessment.outbox.relay.poll-interval = PT2S); enabled by ASSESSMENT_OUTBOX_RELAY_ENABLED (default true)</t>
  </si>
  <si>
    <t>WBS-059 — JOB-02 AssessmentCompleted.v2 consumer</t>
  </si>
  <si>
    <t>Applies each final assessment result to the learner's progress: knowledge-point evidence, topic test assignment, topic pass and reviews for weak knowledge points. Trigger: @RabbitListener on queue learning.assessment-completed.v2 (manual ack); learning.messaging.consumer-enabled (default true)</t>
  </si>
  <si>
    <t>WBS-060 — JOB-03 AI grading worker</t>
  </si>
  <si>
    <t>WBS-061 — JOB-04 Grading-done alert dispatcher</t>
  </si>
  <si>
    <t>Creates one grading-done notification when an examiner finalizes a result and hands it to the delivery channels the learner enabled. Trigger: RabbitMQ: own queue bound to assessment.events / assessment.completed.v2 [TBC: queue name]</t>
  </si>
  <si>
    <t>WBS-062 — JOB-05 Study reminder scheduler</t>
  </si>
  <si>
    <t>Creates at most one study reminder per learner per day, at the learner's preferred local time, on days without a qualifying study activity. Trigger: @Scheduled every [TBC] minutes; ShedLock or SKIP LOCKED to run on one instance [TBC]</t>
  </si>
  <si>
    <t>WBS-063 — JOB-06 Notification delivery retry</t>
  </si>
  <si>
    <t>Sends pending notification deliveries to Firebase Cloud Messaging or the Email Service and retries failed ones without creating a second notification. Trigger: @Scheduled every [TBC] s</t>
  </si>
  <si>
    <t>WBS-064 — JOB-07 Matchmaking queue sweeper</t>
  </si>
  <si>
    <t>Groups waiting learners of the same game type into a room and starts the match, and removes learners who waited too long. Trigger: @Scheduled every [TBC] s</t>
  </si>
  <si>
    <t>Q-001</t>
  </si>
  <si>
    <t>What does Phase 1 cover, and how does it relate to WBS Iteration 1?</t>
  </si>
  <si>
    <t>High</t>
  </si>
  <si>
    <t>Open</t>
  </si>
  <si>
    <t>Q-002</t>
  </si>
  <si>
    <t>Who are the Phase 1 users and what problem does IELTSPath address?</t>
  </si>
  <si>
    <t>New visitors try the centre teaching before enrolment. Current and waiting-list learners practise between classes and see their own progress.</t>
  </si>
  <si>
    <t>Answered</t>
  </si>
  <si>
    <t>Q-003</t>
  </si>
  <si>
    <t>Which implementation is the current learning backend?</t>
  </si>
  <si>
    <t>Java learning-service owns lesson progress, mastery, review, practice and assessment-result consumption. The former Python AI Learning flow is superseded.</t>
  </si>
  <si>
    <t>Q-004</t>
  </si>
  <si>
    <t>What authentication and authorization contract must FE follow?</t>
  </si>
  <si>
    <t>Use Gateway APIs, Bearer access token and the existing refresh flow. Gateway validates external JWT and signs an internal JWT. Protected services enforce role and ownership.</t>
  </si>
  <si>
    <t>Q-005</t>
  </si>
  <si>
    <t>When does a learner unlock a topic test?</t>
  </si>
  <si>
    <t>Q-006</t>
  </si>
  <si>
    <t>Are live Writing AI grading and points already fully accepted?</t>
  </si>
  <si>
    <t>Lesson essay integration exists: at least 3 points, 3-point charge, request replay and &gt;=60-second FE timeout. Live LLM quality and complete paid retry behaviour need separate acceptance evidence.</t>
  </si>
  <si>
    <t>Q-007</t>
  </si>
  <si>
    <t>Is Listening playback ready for the Phase 1 demo?</t>
  </si>
  <si>
    <t>AudioBlock is integrated. Provide valid media and test playback. Transcript must appear only when the backend exposes it after the permitted submission.</t>
  </si>
  <si>
    <t>Q-008</t>
  </si>
  <si>
    <t>Does premium activation require online payment?</t>
  </si>
  <si>
    <t>No. Sales distribute activation cards outside the system. The system records activations and grants access or points; payment, invoicing and revenue reporting are excluded.</t>
  </si>
  <si>
    <t>Q-009</t>
  </si>
  <si>
    <t>Is a premium badge sufficient access protection?</t>
  </si>
  <si>
    <t>No. Current MVP has UI flags but no learning subscription enforcement. Decide whether Phase 1 is free-only or must add server-side entitlement before a paid release.</t>
  </si>
  <si>
    <t>Q-010</t>
  </si>
  <si>
    <t>Can the 05/10 E2E report be described as full browser acceptance?</t>
  </si>
  <si>
    <t>No. Fresh registration, test submit and result were exercised in browser. Lessons and Practice used API assistance; review was N/A. Full unassisted UI acceptance is still needed.</t>
  </si>
  <si>
    <t>Q-011</t>
  </si>
  <si>
    <t>Are band courses and placement recommendation available across BE and FE?</t>
  </si>
  <si>
    <t>Backend course work merged on 07/10. FE currently loads topics and has no course methods in LearningApi. Live course smoke and phase inclusion remain open.</t>
  </si>
  <si>
    <t>Q-012</t>
  </si>
  <si>
    <t>Are mixed-skill lessons and free assessment AI essays completed?</t>
  </si>
  <si>
    <t>Q-013</t>
  </si>
  <si>
    <t>Should Speaking, full mock tests, mobile, games and community count as Phase 1 accepted features?</t>
  </si>
  <si>
    <t>They are product features in Vision &amp; Scope, but outside the priority test v1 boundary or lack full flow evidence. Confirm future delivery allocation; do not mark accepted from code presence alone.</t>
  </si>
  <si>
    <t>Q-014</t>
  </si>
  <si>
    <t>What are the official reporters, hours, dates and approvals for timesheets?</t>
  </si>
  <si>
    <t>Q-015</t>
  </si>
  <si>
    <t>Have the updated SRS, TDS and test plan been formally approved?</t>
  </si>
  <si>
    <t>TL-001</t>
  </si>
  <si>
    <t>WBS-055</t>
  </si>
  <si>
    <t>Initialize React / TypeScript / Vite and application folders</t>
  </si>
  <si>
    <t>Newly-Created</t>
  </si>
  <si>
    <t>Frontend scaffold</t>
  </si>
  <si>
    <t>Pending</t>
  </si>
  <si>
    <t>TL-002</t>
  </si>
  <si>
    <t>Configure Tailwind, shadcn setup, theme and import aliases</t>
  </si>
  <si>
    <t>FE styling foundation</t>
  </si>
  <si>
    <t>TL-003</t>
  </si>
  <si>
    <t>Configure Node/npm constraints, dependencies, lint/typecheck/build</t>
  </si>
  <si>
    <t>FE tooling baseline</t>
  </si>
  <si>
    <t>TL-004</t>
  </si>
  <si>
    <t>WBS-051</t>
  </si>
  <si>
    <t>Initialize Maven multi-module build and service structure</t>
  </si>
  <si>
    <t>Backend scaffold</t>
  </si>
  <si>
    <t>TL-005</t>
  </si>
  <si>
    <t>WBS-052</t>
  </si>
  <si>
    <t>Set up Config Server, configuration repository and Eureka</t>
  </si>
  <si>
    <t>Service infrastructure</t>
  </si>
  <si>
    <t>TL-006</t>
  </si>
  <si>
    <t>WBS-053</t>
  </si>
  <si>
    <t>Implement Gateway routing, external/internal JWT and service security</t>
  </si>
  <si>
    <t>Ingress and security baseline</t>
  </si>
  <si>
    <t>TL-007</t>
  </si>
  <si>
    <t>WBS-054</t>
  </si>
  <si>
    <t>Set up Docker Compose, PostgreSQL and container configuration</t>
  </si>
  <si>
    <t>Local infrastructure setup</t>
  </si>
  <si>
    <t>TL-008</t>
  </si>
  <si>
    <t>Add user unit tests and HttpOnly-cookie authentication</t>
  </si>
  <si>
    <t>User/auth APIs and tests</t>
  </si>
  <si>
    <t>TL-009</t>
  </si>
  <si>
    <t>TL-010</t>
  </si>
  <si>
    <t>TL-011</t>
  </si>
  <si>
    <t>WBS-057</t>
  </si>
  <si>
    <t>Build the historical Python AI Learning prototype and local runtime</t>
  </si>
  <si>
    <t>Earlier learning prototype</t>
  </si>
  <si>
    <t>TL-012</t>
  </si>
  <si>
    <t>Build mock learning workspace and UI prototype</t>
  </si>
  <si>
    <t>Initial learning UI</t>
  </si>
  <si>
    <t>TL-013</t>
  </si>
  <si>
    <t>Add shared UI utilities, learning pages and interactive workspaces</t>
  </si>
  <si>
    <t>FE pages and UI components</t>
  </si>
  <si>
    <t>TL-014</t>
  </si>
  <si>
    <t>Record learning page and interactive-tool verification</t>
  </si>
  <si>
    <t>UI verification work</t>
  </si>
  <si>
    <t>TL-015</t>
  </si>
  <si>
    <t>TL-016</t>
  </si>
  <si>
    <t>Implement lesson content endpoints and learner answer-redaction guard</t>
  </si>
  <si>
    <t>Content lesson APIs / security</t>
  </si>
  <si>
    <t>TL-017</t>
  </si>
  <si>
    <t>Java learning runtime</t>
  </si>
  <si>
    <t>TL-018</t>
  </si>
  <si>
    <t>TL-019</t>
  </si>
  <si>
    <t>Seed Writing, Listening and Reading-hint learning content</t>
  </si>
  <si>
    <t>Published demo curriculum</t>
  </si>
  <si>
    <t>TL-020</t>
  </si>
  <si>
    <t>Implement lesson essay grading, Listening media contract and hint visibility</t>
  </si>
  <si>
    <t>Writing / Listening / Reading APIs</t>
  </si>
  <si>
    <t>TL-021</t>
  </si>
  <si>
    <t>Record backend MVP end-to-end acceptance evidence</t>
  </si>
  <si>
    <t>Backend E2E report</t>
  </si>
  <si>
    <t>TL-022</t>
  </si>
  <si>
    <t>Implement skill-local progress, required Practice and remediation ladder</t>
  </si>
  <si>
    <t>Practice / review rules</t>
  </si>
  <si>
    <t>TL-023</t>
  </si>
  <si>
    <t>Connect frontend main flow to backend and correct submission behaviour</t>
  </si>
  <si>
    <t>HTTP auth and learning flow</t>
  </si>
  <si>
    <t>TL-024</t>
  </si>
  <si>
    <t>Build home access-plan views/navigation and merge real authentication</t>
  </si>
  <si>
    <t>Home/auth integration</t>
  </si>
  <si>
    <t>TL-025</t>
  </si>
  <si>
    <t>Implement forgot/reset pages and align password length/confirmation</t>
  </si>
  <si>
    <t>Password recovery UI</t>
  </si>
  <si>
    <t>TL-026</t>
  </si>
  <si>
    <t>Fix assessment question snapshot parsing and integrate Practice/review UI</t>
  </si>
  <si>
    <t>Test runner / Practice / Review UI</t>
  </si>
  <si>
    <t>TL-027</t>
  </si>
  <si>
    <t>Document browser core-flow checks and API-assisted fresh-user E2E</t>
  </si>
  <si>
    <t>FE E2E reports</t>
  </si>
  <si>
    <t>TL-028</t>
  </si>
  <si>
    <t>Complete requirements/data/NFR sections and record scope/BA review</t>
  </si>
  <si>
    <t>Requirements and review reports</t>
  </si>
  <si>
    <t>TL-029</t>
  </si>
  <si>
    <t>Implement band courses, placement recommendations and course tests</t>
  </si>
  <si>
    <t>Backend course extension</t>
  </si>
  <si>
    <t>TL-030</t>
  </si>
  <si>
    <t>Stabilize course-test timestamp fixture and add course demo content</t>
  </si>
  <si>
    <t>Course test fix / demo seeds</t>
  </si>
  <si>
    <t>D-001</t>
  </si>
  <si>
    <t>Topic lesson mapper omitted practiceStatus</t>
  </si>
  <si>
    <t>Complete lessons while Practice is REQUIRED; open topic.</t>
  </si>
  <si>
    <t>Show remaining Practice gate and a clear next action.</t>
  </si>
  <si>
    <t>Gate state was dropped from mapped lessons.</t>
  </si>
  <si>
    <t>Frontend</t>
  </si>
  <si>
    <t>Topic mapper and final-test checklist</t>
  </si>
  <si>
    <t>Fixed</t>
  </si>
  <si>
    <t>D-002</t>
  </si>
  <si>
    <t>PRACTICE_REQUIRED error lacked actionable handling</t>
  </si>
  <si>
    <t>Try to assign a test while Practice is required.</t>
  </si>
  <si>
    <t>Explain remaining Practice, show lesson links, reload state.</t>
  </si>
  <si>
    <t>Generic locked message did not explain Practice requirement.</t>
  </si>
  <si>
    <t>Assignment error handling</t>
  </si>
  <si>
    <t>D-003</t>
  </si>
  <si>
    <t>Pending reviews were not hydrated in topic view</t>
  </si>
  <si>
    <t>Open a topic with pending review.</t>
  </si>
  <si>
    <t>Load reviews, display review checklist, hide locked test CTA.</t>
  </si>
  <si>
    <t>Learner could not see why the final test was locked.</t>
  </si>
  <si>
    <t>Topic ReviewGate / GET reviews</t>
  </si>
  <si>
    <t>D-004</t>
  </si>
  <si>
    <t>Primary CTA click reliability requires fresh retest</t>
  </si>
  <si>
    <t>Use accessibility-ref click on login or test CTA.</t>
  </si>
  <si>
    <t>Accessible activation consistently reaches the button handler.</t>
  </si>
  <si>
    <t>Automation sometimes missed; Enter or JS click completed the action.</t>
  </si>
  <si>
    <t>Auth and learning primary CTA</t>
  </si>
  <si>
    <t>D-005</t>
  </si>
  <si>
    <t>Assessment result accessibility snapshot omitted visible score details</t>
  </si>
  <si>
    <t>Inspect result page accessibility tree after submit.</t>
  </si>
  <si>
    <t>Score percent and correct-answer count are perceivable by assistive technology.</t>
  </si>
  <si>
    <t>Interactive snapshot lacked percent/count despite visible UI text.</t>
  </si>
  <si>
    <t>Result summary accessibility</t>
  </si>
  <si>
    <t>D-006</t>
  </si>
  <si>
    <t>Populate Q&amp;A, Defects and Issues statuses; inspect Dashboard formulas.</t>
  </si>
  <si>
    <t>Tracking workbook</t>
  </si>
  <si>
    <t>Dashboard D8, G5/C8 and F5/B8</t>
  </si>
  <si>
    <t>D-007</t>
  </si>
  <si>
    <t>Compare WBS headers with Dashboard iteration COUNTIF/SUMIF formulas.</t>
  </si>
  <si>
    <t>D-008</t>
  </si>
  <si>
    <t>Compare Scope headers and formulas with Dashboard deliverable counts.</t>
  </si>
  <si>
    <t>Count statuses in Scope G and treat effort usage separately from completion.</t>
  </si>
  <si>
    <t>Scope F and Dashboard B5:E5</t>
  </si>
  <si>
    <t>I-001</t>
  </si>
  <si>
    <t>Phase 1 boundary is not explicitly baselined against WBS.</t>
  </si>
  <si>
    <t>Scope</t>
  </si>
  <si>
    <t>Acceptance and phase reporting may use different feature populations.</t>
  </si>
  <si>
    <t>I-002</t>
  </si>
  <si>
    <t>Actual member hours and approved timesheets were not supplied.</t>
  </si>
  <si>
    <t>Process</t>
  </si>
  <si>
    <t>Approved actual effort and productivity cannot be calculated.</t>
  </si>
  <si>
    <t>I-003</t>
  </si>
  <si>
    <t>Full fresh-user browser Practice/review/pass-to-next-topic flow lacks evidence.</t>
  </si>
  <si>
    <t>Technical</t>
  </si>
  <si>
    <t>Core MVP acceptance has an unverified UI segment.</t>
  </si>
  <si>
    <t>Run without API gate clearance: lesson, first Practice submit, failed Practice review, pass test, next topic. Capture artifacts.</t>
  </si>
  <si>
    <t>I-004</t>
  </si>
  <si>
    <t>Live Writing feedback quality and Listening media acceptance are unverified.</t>
  </si>
  <si>
    <t>Writing quality and audio demo readiness cannot be concluded from UI/API wiring.</t>
  </si>
  <si>
    <t>Review real essays against rubric and play configured audio; verify timeout, points retry and transcript visibility.</t>
  </si>
  <si>
    <t>I-005</t>
  </si>
  <si>
    <t>I-006</t>
  </si>
  <si>
    <t>Premium enforcement is absent in the current learning MVP.</t>
  </si>
  <si>
    <t>Paid content cannot be accepted as protected solely by FE labels.</t>
  </si>
  <si>
    <t>Confirm free-only demo scope or implement entitlement checks as an approved follow-up before paid release.</t>
  </si>
  <si>
    <t>I-007</t>
  </si>
  <si>
    <t>End-to-end course recommendation and course-test completion remain incomplete.</t>
  </si>
  <si>
    <t>I-008</t>
  </si>
  <si>
    <t>SRS/TDS metadata and formal approval records remain incomplete.</t>
  </si>
  <si>
    <t>Cannot substantiate a formally approved requirement/design baseline.</t>
  </si>
  <si>
    <t>Fill authors, reviewers, dates and approval references; reconcile Report 1, SRS and implementation.</t>
  </si>
  <si>
    <t>I-009</t>
  </si>
  <si>
    <t>Reset UI wiring exists but email delivery and OAuth acceptance are not evidenced.</t>
  </si>
  <si>
    <t>External</t>
  </si>
  <si>
    <t>Real password recovery and social login must not be reported as accepted.</t>
  </si>
  <si>
    <t>R-001</t>
  </si>
  <si>
    <t>Scope expands from the core MVP to every full-product feature before Phase 1 acceptance.</t>
  </si>
  <si>
    <t>Baseline phase requirements; keep course/multi-skill/Speaking/mobile allocation explicit.</t>
  </si>
  <si>
    <t>Replan approved changes and defer unaccepted extensions.</t>
  </si>
  <si>
    <t>R-002</t>
  </si>
  <si>
    <t>Frontend and backend gates or DTOs drift during course and lesson changes.</t>
  </si>
  <si>
    <t>Keep the validated MVP baseline until compatible changes pass.</t>
  </si>
  <si>
    <t>R-003</t>
  </si>
  <si>
    <t>LLM timeout, cost or grading inconsistency disrupts Writing feedback.</t>
  </si>
  <si>
    <t>Validate rubric/corpus, timeout, quota and point idempotency; keep provider secrets server-side.</t>
  </si>
  <si>
    <t>Report grading unavailable and support safe retry without duplicate debit.</t>
  </si>
  <si>
    <t>R-004</t>
  </si>
  <si>
    <t>RabbitMQ retries or result replay produces stale or duplicate learning progress.</t>
  </si>
  <si>
    <t>Test consumer version/idempotency, ACK-after-commit, retry and DLQ with real infrastructure.</t>
  </si>
  <si>
    <t>Investigate failed events and replay through the existing idempotent consumer.</t>
  </si>
  <si>
    <t>R-005</t>
  </si>
  <si>
    <t>Protected content or answers are exposed through role, ownership or route mistakes.</t>
  </si>
  <si>
    <t>Run JWT, ownership, /internal route and answer-redaction cases through Gateway.</t>
  </si>
  <si>
    <t>Block affected flow and fix authorization before acceptance.</t>
  </si>
  <si>
    <t>R-006</t>
  </si>
  <si>
    <t>Missing media or question-pool data blocks a demo or remediation path.</t>
  </si>
  <si>
    <t>Resource</t>
  </si>
  <si>
    <t>Prepare validated audio URLs and unrevealed Practice/review packages before each cycle.</t>
  </si>
  <si>
    <t>Use another real published package or document the blocked scenario.</t>
  </si>
  <si>
    <t>R-007</t>
  </si>
  <si>
    <t>Docker or environment drift causes skipped integration tests to be reported as passes.</t>
  </si>
  <si>
    <t>Record commits/config and Docker readiness; separate Passed, Skipped and Not Run.</t>
  </si>
  <si>
    <t>Restore documented environment and rerun required integration tests.</t>
  </si>
  <si>
    <t>R-008</t>
  </si>
  <si>
    <t>Insufficient browser coverage allows blocked controls or inaccessible feedback to escape.</t>
  </si>
  <si>
    <t>Quality</t>
  </si>
  <si>
    <t>Run fresh-user UI, keyboard, viewport and screen-reader checks on core screens.</t>
  </si>
  <si>
    <t>Prioritize blocking usability fixes and rerun the affected flow.</t>
  </si>
  <si>
    <t>R-009</t>
  </si>
  <si>
    <t>A key team member becomes unavailable before Phase 1 review.</t>
  </si>
  <si>
    <t>Low</t>
  </si>
  <si>
    <t>Document service contracts and share setup knowledge across the team.</t>
  </si>
  <si>
    <t>PM reassigns remaining work and negotiates review schedule.</t>
  </si>
  <si>
    <t>R-010</t>
  </si>
  <si>
    <t>Performance and operational targets are assumed from functional smoke results.</t>
  </si>
  <si>
    <t>Agree test workload and measure non-LLM latency separately from provider latency.</t>
  </si>
  <si>
    <t>Record unmet targets and obtain a scoped acceptance decision.</t>
  </si>
  <si>
    <t>R-011</t>
  </si>
  <si>
    <t>A paid release uses UI premium flags without server entitlement enforcement.</t>
  </si>
  <si>
    <t>Resolve I-006 before accepting paid premium access.</t>
  </si>
  <si>
    <t>Limit Phase 1 demo to explicitly free content.</t>
  </si>
  <si>
    <t>C-001</t>
  </si>
  <si>
    <t>Change auth transport to support HttpOnly cookies while retaining request-body refresh compatibility.</t>
  </si>
  <si>
    <t>Not recorded</t>
  </si>
  <si>
    <t>Changes login/refresh/logout token delivery. Baseline setup itself stays in TimeLogs.</t>
  </si>
  <si>
    <t>Implemented in Git; no substantiated schedule change.</t>
  </si>
  <si>
    <t>Implemented</t>
  </si>
  <si>
    <t>C-002</t>
  </si>
  <si>
    <t>Change service ownership: separate Library from Content, move activity/streak to User and retire Learning Support.</t>
  </si>
  <si>
    <t>Repository architecture plan; requester unconfirmed</t>
  </si>
  <si>
    <t>Redistributes existing capabilities across bounded contexts.</t>
  </si>
  <si>
    <t>Migration and routing work required; no approved time delta supplied.</t>
  </si>
  <si>
    <t>C-003</t>
  </si>
  <si>
    <t>Replace Python AI Learning runtime with Java Learning Service.</t>
  </si>
  <si>
    <t>Runtime-replacement plan; requester unconfirmed</t>
  </si>
  <si>
    <t>Retires the historical Python runtime and ports the core learning flow to Java.</t>
  </si>
  <si>
    <t>Historical prototype work remains in TimeLogs; no reliable schedule delta.</t>
  </si>
  <si>
    <t>C-004</t>
  </si>
  <si>
    <t>Extend lesson contract with ESSAY blocks and Writing submissions with LLM grading and points.</t>
  </si>
  <si>
    <t>Writing contract/roadmap; requester unconfirmed</t>
  </si>
  <si>
    <t>Adds essay-answer semantics, Writing rubric grading, quota and point-charge/retry rules.</t>
  </si>
  <si>
    <t>Requires implementation and acceptance across services; hours/delay not inferred.</t>
  </si>
  <si>
    <t>C-005</t>
  </si>
  <si>
    <t>Change progression rules to skill-local gates, required lesson Practice and theory/remediation review without revealed-package reuse.</t>
  </si>
  <si>
    <t>Skill-tracks plan; requester unconfirmed</t>
  </si>
  <si>
    <t>Lesson completion alone no longer unlocks final tests. Reviews are scoped by skill and unrevealed evidence rules.</t>
  </si>
  <si>
    <t>BE recorded 03/10; FE followed 05/10. No measured delay asserted.</t>
  </si>
  <si>
    <t>C-006</t>
  </si>
  <si>
    <t>Add band-level courses, optional placement recommendations and a non-blocking course final test.</t>
  </si>
  <si>
    <t>Mentor/product-owner decisions recorded in course plan</t>
  </si>
  <si>
    <t>Courses group ordered topics by band; recommendation does not lock access. FE integration/Phase 1 allocation unconfirmed.</t>
  </si>
  <si>
    <t>C-007</t>
  </si>
  <si>
    <t>Revise Vision &amp; Scope to reflect mentor feedback and the full product feature set.</t>
  </si>
  <si>
    <t>Mentor feedback recorded in Report 1 history</t>
  </si>
  <si>
    <t>Full product scope includes future features. This document revision does not prove their implementation or Phase 1 acceptance.</t>
  </si>
  <si>
    <t>Reconcile phase baseline before approval.</t>
  </si>
  <si>
    <t>In Review</t>
  </si>
  <si>
    <t>C-008</t>
  </si>
  <si>
    <t>Multi-skill plan; formal requester/approver unconfirmed</t>
  </si>
  <si>
    <t>HoangNV</t>
  </si>
  <si>
    <t>HieuLT</t>
  </si>
  <si>
    <t>#</t>
  </si>
  <si>
    <t>In Charge</t>
  </si>
  <si>
    <t>Status</t>
  </si>
  <si>
    <t>Approved By</t>
  </si>
  <si>
    <t>Notes</t>
  </si>
  <si>
    <t>Function / Screen</t>
  </si>
  <si>
    <t>Type</t>
  </si>
  <si>
    <t>Feature Group</t>
  </si>
  <si>
    <t>Sub-Feature</t>
  </si>
  <si>
    <t>Description</t>
  </si>
  <si>
    <t>Complexity</t>
  </si>
  <si>
    <t>Est. Effort (pts)</t>
  </si>
  <si>
    <t>Planned Iteration</t>
  </si>
  <si>
    <t>Actual Effort (pts)</t>
  </si>
  <si>
    <t>Q&amp;A — IELTSPath Phase 1</t>
  </si>
  <si>
    <t>Date</t>
  </si>
  <si>
    <t>Question</t>
  </si>
  <si>
    <t>Raised By</t>
  </si>
  <si>
    <t>Directed To</t>
  </si>
  <si>
    <t>Priority</t>
  </si>
  <si>
    <t>Due Date</t>
  </si>
  <si>
    <t>Answer / Resolution</t>
  </si>
  <si>
    <t>Answered By</t>
  </si>
  <si>
    <t>Answered Date</t>
  </si>
  <si>
    <t>TimeLogs — IELTSPath Phase 1</t>
  </si>
  <si>
    <t>Reporter</t>
  </si>
  <si>
    <t>WBS Ref</t>
  </si>
  <si>
    <t>Task Description</t>
  </si>
  <si>
    <t>Activity</t>
  </si>
  <si>
    <t># Hours</t>
  </si>
  <si>
    <t>Product / Work Product</t>
  </si>
  <si>
    <t>Iteration</t>
  </si>
  <si>
    <t>Updated</t>
  </si>
  <si>
    <t>Defects — IELTSPath Phase 1</t>
  </si>
  <si>
    <t>Date Found</t>
  </si>
  <si>
    <t>Defect Description</t>
  </si>
  <si>
    <t>Steps to Reproduce</t>
  </si>
  <si>
    <t>Expected Result</t>
  </si>
  <si>
    <t>Actual Result</t>
  </si>
  <si>
    <t>Severity</t>
  </si>
  <si>
    <t>Product</t>
  </si>
  <si>
    <t>Product Details</t>
  </si>
  <si>
    <t>Assigned By</t>
  </si>
  <si>
    <t>Assigned To</t>
  </si>
  <si>
    <t>Fixed Date</t>
  </si>
  <si>
    <t>Fixed In Version</t>
  </si>
  <si>
    <t>Issues — IELTSPath Phase 1</t>
  </si>
  <si>
    <t>Issue Description</t>
  </si>
  <si>
    <t>Category</t>
  </si>
  <si>
    <t>Impact (Scope / Effort / Timeline)</t>
  </si>
  <si>
    <t>Owner</t>
  </si>
  <si>
    <t>Resolution</t>
  </si>
  <si>
    <t>Closed Date</t>
  </si>
  <si>
    <t>Risks — IELTSPath Phase 1</t>
  </si>
  <si>
    <t>Risk Description</t>
  </si>
  <si>
    <t>Probability</t>
  </si>
  <si>
    <t>Impact</t>
  </si>
  <si>
    <t>Risk Score (P×I)</t>
  </si>
  <si>
    <t>Mitigation Plan</t>
  </si>
  <si>
    <t>Contingency Plan</t>
  </si>
  <si>
    <t>ChangeLog — IELTSPath Phase 1</t>
  </si>
  <si>
    <t>Change Description</t>
  </si>
  <si>
    <t>Requested By</t>
  </si>
  <si>
    <t>Affects (SRS/WBS/Code)</t>
  </si>
  <si>
    <t>Impact on Scope</t>
  </si>
  <si>
    <t>Impact on Effort (pds)</t>
  </si>
  <si>
    <t>Impact on Timeline</t>
  </si>
  <si>
    <t>Auto-summary from all tracking sheets  ·  Update data in individual sheets</t>
  </si>
  <si>
    <t>Total Deliverables</t>
  </si>
  <si>
    <t>Done / Closed</t>
  </si>
  <si>
    <t>In Progress</t>
  </si>
  <si>
    <t>Not Started</t>
  </si>
  <si>
    <t>Open Issues</t>
  </si>
  <si>
    <t>Open Defects</t>
  </si>
  <si>
    <t>Unanswered Q&amp;As</t>
  </si>
  <si>
    <t>High/Critical Risks</t>
  </si>
  <si>
    <t>Scope Milestone Status</t>
  </si>
  <si>
    <t>Stage</t>
  </si>
  <si>
    <t>Key Deliverable</t>
  </si>
  <si>
    <t>Deadline</t>
  </si>
  <si>
    <t>In Charge</t>
  </si>
  <si>
    <t>Status</t>
  </si>
  <si>
    <t>Stage 1</t>
  </si>
  <si>
    <t>Report 1 (Project Introduction)</t>
  </si>
  <si>
    <t>Week 1</t>
  </si>
  <si>
    <t>Stage 2</t>
  </si>
  <si>
    <t>SRS v0.9 + Project Management Plan</t>
  </si>
  <si>
    <t>Week 3</t>
  </si>
  <si>
    <t>Stage 3</t>
  </si>
  <si>
    <t>SDS v1.0 + Test Planning</t>
  </si>
  <si>
    <t>Week 5</t>
  </si>
  <si>
    <t>Stage 4</t>
  </si>
  <si>
    <t>Implementation Iterations 1–3</t>
  </si>
  <si>
    <t>Week 11</t>
  </si>
  <si>
    <t>Stage 5</t>
  </si>
  <si>
    <t>System Test Report + User Guides + UAT</t>
  </si>
  <si>
    <t>Week 13</t>
  </si>
  <si>
    <t>Stage 6</t>
  </si>
  <si>
    <t>Final Report + Presentation</t>
  </si>
  <si>
    <t>Week 14</t>
  </si>
  <si>
    <t>WBS by Iteration</t>
  </si>
  <si>
    <t>Iteration</t>
  </si>
  <si>
    <t>Planned Functions</t>
  </si>
  <si>
    <t>Est. Effort (pts)</t>
  </si>
  <si>
    <t>Done</t>
  </si>
  <si>
    <t>% Complete</t>
  </si>
  <si>
    <t>Iteration 1</t>
  </si>
  <si>
    <t>Iteration 2</t>
  </si>
  <si>
    <t>Iteration 3</t>
  </si>
  <si>
    <t>Complexity: Simple (≤7 fields / ≤3 tx)  ·  Medium (≤15 / ≤7)  ·  Complex (&gt;15 / &gt;7)  ·  Effort: Simple=3 / Medium=5 / Complex=8 pts (default)</t>
  </si>
  <si>
    <t>Log ALL questions — technical, business, process  ·  Track from Open → Answered → Closed  ·  Never delete a row</t>
  </si>
  <si>
    <t>Log time daily  ·  Link every entry to a WBS Ref  ·  Approved by PM  ·  # Hours must be filled — leave no blank</t>
  </si>
  <si>
    <t>Submitted</t>
  </si>
  <si>
    <t>TL-031</t>
  </si>
  <si>
    <t>Log ALL defects found in any review or test  ·  Severity: Critical / High / Medium / Low  ·  Status: Pending → Open → Fixed → Closed</t>
  </si>
  <si>
    <t>Review</t>
  </si>
  <si>
    <t>Issues = problems that have already occurred  ·  Risks = problems that might occur (see Risks sheet)  ·  Category: Technical / Process / Resource / Scope / External</t>
  </si>
  <si>
    <t>Probability: High(3) / Medium(2) / Low(1)  ·  Impact: High(3) / Medium(2) / Low(1)  ·  Risk Score = P × I  ·  Score ≥ 6 = Critical; 4-5 = High; 2-3 = Medium; 1 = Low</t>
  </si>
  <si>
    <t>Log ALL changes to requirements, design, or scope  ·  No mid-sprint changes without approval  ·  Reference this log when versions of SRS/SDS increment</t>
  </si>
  <si>
    <t>Auth API / FE session contract / security configuration; WBS-056/069</t>
  </si>
  <si>
    <t>backend 2c9d37f; TimeLogs TL-014.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</si>
  <si>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>TDS / service boundaries / databases / Gateway routes; WBS-071</t>
  </si>
  <si>
    <t>backend 465f543, d762660, fec5d14, ab613b1; 4350505 records catalog-migration approval specifically. TimeLogs TL-029.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</si>
  <si>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>Architecture / deployment / learning persistence and APIs; WBS-070</t>
  </si>
  <si>
    <t>backend 746e7dc plan, d96ab9e skeleton, 23904e8 retirement docs. TimeLogs TL-022, TL-031, TL-027.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</si>
  <si>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>SRS / lesson contract / Content / Learning / Access; WBS-057/070</t>
  </si>
  <si>
    <t>backend 4fc7be6 contract, f2dfc72 contract approval record, d08337a implementation. TimeLogs TL-028, TL-032. Approval source applies only to that contract.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</si>
  <si>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>SRS / Content ownership rules / Learning gates / FE workflow; WBS-012/014/057</t>
  </si>
  <si>
    <t>backend a3447b9, 853ab82, 1a96c77, 8bb72cf, 6d9f623; frontend 6716dd9. TimeLogs TL-034, TL-036.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</si>
  <si>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>SRS / TDS / Content / Learning / Assessment contracts; FT-55, WBS-072/073</t>
  </si>
  <si>
    <t>BE implemented 07/10; FE follow-up proposed 08–21/10 within Iteration 2. No historical delay measured.</t>
  </si>
  <si>
    <t>backend d867758, 559bf82, a401a33, 5ea098a; merge df6c57f (#45); backend/plans/261006-2228-course-band-levels/plan.md decisions. TimeLogs TL-040, TL-041.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</si>
  <si>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>Report 1 / SRS traceability / phase allocation; WBS-065/077</t>
  </si>
  <si>
    <t>Report 1 v1.1.0 dated 07/10/2026; backend 36b1092 records the supporting BA/vision review. TimeLogs TL-037.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</si>
  <si>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>Implement mixed-skill lesson/Practice contracts and free assessment AI essay grading with human fallback.</t>
  </si>
  <si>
    <t>Content / Learning / Assessment contracts and planned SRS changes; WBS-074/075/060</t>
  </si>
  <si>
    <t>Backend change merged; FE contract alignment remains separate. Speaking excluded; Writing Practice optional, objective skills gate completion; assessment essay uses passBand and no point debit.</t>
  </si>
  <si>
    <t>BE merged 07/10; FE follow-up proposed 08–21/10 within Iteration 2. No measured slip asserted.</t>
  </si>
  <si>
    <t>BE 8d2d2bb (#47), 51468f60 and plans/261006-2309-multi-skill-lessons/plan.md verification. Supersedes V1 stale Pending. Implemented means backend scope only; FE/live-provider acceptance open. Incremental effort 3 person-days is estimated, not actual. Formal approver unrecorded.</t>
  </si>
  <si>
    <t>IELTSPath — Project Tracking Dashboard</t>
  </si>
  <si>
    <t>LinhNDM</t>
  </si>
  <si>
    <t>IELTSPath — Work Breakdown Structure</t>
  </si>
  <si>
    <t>Introduces IELTSPath, shows the FREE / Premium plans and point cards, and lets a signed-in learner redeem an activation key for Premium days or points. Route: /home · Public page (default route for guests)</t>
  </si>
  <si>
    <t>FDS §2.1; FT-10, FT-11, FT-12; UC-30, UC-26; FE: partly built; Specified (key activation not wired in the frontend: GAP-03). Role: Guest and any signed-in user.   Done means implemented screen scope, not formal UAT approval. | Initial proposed window 2026-09-29 to 2026-10-07; completion depends on WBS-055, WBS-056, WBS-068. Remaining scope carries into Iteration 2, target 21/10/2026. Owner/window/points are reconstructed planning assumptions. Actual points unknown; blank is not zero.</t>
  </si>
  <si>
    <t>FDS §2.2; FT-02, FT-03, FT-05, FT-07; UC-02, UC-03; FE: built, real API; Specified (OAuth button: Draft; role-based home: GAP-02). Role: Guest.   Done means implemented screen scope, not formal UAT approval. | Initial proposed window 2026-09-29 to 2026-10-07; completion depends on WBS-055, WBS-056, WBS-069. Remaining scope carries into Iteration 2, target 21/10/2026. Owner/window/points are reconstructed planning assumptions. Actual points unknown; blank is not zero.</t>
  </si>
  <si>
    <t>FDS §2.3; FT-01, FT-02; UC-01; FE: built, real API; Specified. Role: Guest.   Done means implemented screen scope, not formal UAT approval. | Initial proposed window 2026-10-02 to 2026-10-07; completion depends on WBS-055, WBS-056, WBS-069. Owner/window/points are reconstructed planning assumptions. Actual points unknown; blank is not zero.</t>
  </si>
  <si>
    <t>FDS §2.4; FT-04; UC-04, UC-05; FE: built, real API; Specified (email delivery: Draft, GAP-06). Role: Guest.   Done means implemented screen scope, not formal UAT approval. | Initial proposed window 2026-09-29 to 2026-10-07; completion depends on WBS-055, WBS-069. Remaining scope carries into Iteration 2, target 21/10/2026. Owner/window/points are reconstructed planning assumptions. Actual points unknown; blank is not zero.</t>
  </si>
  <si>
    <t>FDS §2.5; FT-04; UC-04; FE: built, real API; Specified (link delivery: Draft, GAP-06). Role: Guest.   Done means implemented screen scope, not formal UAT approval. | Initial proposed window 2026-09-29 to 2026-10-07; completion depends on WBS-004, WBS-069. Remaining scope carries into Iteration 2, target 21/10/2026. Owner/window/points are reconstructed planning assumptions. Actual points unknown; blank is not zero.</t>
  </si>
  <si>
    <t>FDS §2.6; FT-05; UC-03; FE: placeholder route; Draft. Role: Guest. | Initial proposed window 2026-10-29 to 2026-12-09; completion depends on WBS-069. Owner/window/points are reconstructed planning assumptions. Actual points unknown; blank is not zero.</t>
  </si>
  <si>
    <t>SonLT</t>
  </si>
  <si>
    <t>FDS §2.7; FT-26, FT-44, FT-45 (intended); UC-19, UC-18; FE: built on mock data; Draft (UI on mock data, OQ-17). Role: Any signed-in user.   Mock UI exists; product implementation is incomplete. | Initial proposed window 2026-10-08 to 2026-10-28; completion depends on WBS-057, WBS-071, WBS-076. Owner/window/points are reconstructed planning assumptions. Actual points unknown; blank is not zero.</t>
  </si>
  <si>
    <t>Display the learning path and ordered topics within a chosen course. Course chooser/recommendation and course-final-test UI are WBS-073; shared contract mappings are WBS-075. Route: /learn.</t>
  </si>
  <si>
    <t>FDS §2.8; FT-13, FT-20, FT-28; UC-08; FE: built, real API; Specified (skill grouping: GAP-01; Premium lock: Draft). Role: Signed-in learner.   Done means implemented screen scope, not formal UAT approval. | Initial proposed window 2026-09-29 to 2026-10-07; completion depends on WBS-055, WBS-056, WBS-070, WBS-072, WBS-073. Remaining scope carries into Iteration 2, target 21/10/2026. Owner/window/points are reconstructed planning assumptions. Actual points unknown; blank is not zero.</t>
  </si>
  <si>
    <t>FDS §2.9; FT-20, FT-21, FT-27, FT-29; UC-08, UC-20; FE: built, real API; Specified. Role: Signed-in learner.   Done means implemented screen scope, not formal UAT approval.  New 07/10 course/multi-skill DTO and gate changes still need FE alignment and fresh browser verification; old FDS acceptance scope is incomplete. | Initial proposed window 2026-09-29 to 2026-10-07; completion depends on WBS-008, WBS-066, WBS-070, WBS-075. Remaining scope carries into Iteration 2, target 21/10/2026. Owner/window/points are reconstructed planning assumptions. Actual points unknown; blank is not zero.</t>
  </si>
  <si>
    <t>FDS §2.10; FT-21, FT-22, FT-23, FT-24, FT-25; UC-09, UC-12, UC-13; FE: built, real API; Specified. Role: Signed-in learner.   Done means implemented screen scope, not formal UAT approval.  New 07/10 course/multi-skill DTO and gate changes still need FE alignment and fresh browser verification; old FDS acceptance scope is incomplete. | Initial proposed window 2026-09-29 to 2026-10-07; completion depends on WBS-009, WBS-066, WBS-070, WBS-074, WBS-075. Remaining scope carries into Iteration 2, target 21/10/2026. Owner/window/points are reconstructed planning assumptions. Actual points unknown; blank is not zero.</t>
  </si>
  <si>
    <t>FDS §2.11; FT-12, FT-25; UC-12, UC-13, UC-27; FE: partly built; Specified (separate page and re-reading a submission: GAP-08). Role: Signed-in learner.   Done means implemented screen scope, not formal UAT approval. | Initial proposed window 2026-09-29 to 2026-10-07; completion depends on WBS-010, WBS-057, WBS-068, WBS-075. Remaining scope carries into Iteration 2, target 21/10/2026. Owner/window/points are reconstructed planning assumptions. Actual points unknown; blank is not zero.</t>
  </si>
  <si>
    <t>FDS §2.12; FT-23, FT-24, FT-26, FT-27; UC-10; FE: built, real API; Specified (Premium sets disabled: GAP-05). Role: Signed-in learner.   Done means implemented screen scope, not formal UAT approval.  New 07/10 course/multi-skill DTO and gate changes still need FE alignment and fresh browser verification; old FDS acceptance scope is incomplete. | Initial proposed window 2026-09-29 to 2026-10-07; completion depends on WBS-010, WBS-057, WBS-074, WBS-075. Remaining scope carries into Iteration 2, target 21/10/2026. Owner/window/points are reconstructed planning assumptions. Actual points unknown; blank is not zero.</t>
  </si>
  <si>
    <t>FDS §2.13; FT-28; UC-11; FE: not built; Specified (backend); screen not built (GAP-07). Role: CUSTOMER. | Initial proposed window 2026-10-08 to 2026-10-28; completion depends on WBS-057, WBS-070. Owner/window/points are reconstructed planning assumptions. Actual points unknown; blank is not zero.</t>
  </si>
  <si>
    <t>FDS §2.14; FT-23, FT-24, FT-26, FT-28; UC-11; FE: built, real API; Specified (empty quick-check: GAP-12). Role: Signed-in learner.   Done means implemented screen scope, not formal UAT approval.  New 07/10 course/multi-skill DTO and gate changes still need FE alignment and fresh browser verification; old FDS acceptance scope is incomplete. | Initial proposed window 2026-09-29 to 2026-10-07; completion depends on WBS-012, WBS-057, WBS-074, WBS-075. Remaining scope carries into Iteration 2, target 21/10/2026. Owner/window/points are reconstructed planning assumptions. Actual points unknown; blank is not zero.</t>
  </si>
  <si>
    <t>FDS §2.15; FT-26; UC-18; FE: not built; Specified (backend); screen not built (GAP-07). Role: CUSTOMER. | Initial proposed window 2026-10-08 to 2026-10-28; completion depends on WBS-057, WBS-070. Owner/window/points are reconstructed planning assumptions. Actual points unknown; blank is not zero.</t>
  </si>
  <si>
    <t>FDS §2.16; FT-24, FT-30, FT-31; UC-20; FE: built, real API; Specified (text answers saved at submit; no timer: GAP-09). Role: Signed-in learner.   Done means implemented screen scope, not formal UAT approval.  New 07/10 course/multi-skill DTO and gate changes still need FE alignment and fresh browser verification; old FDS acceptance scope is incomplete. | Initial proposed window 2026-09-29 to 2026-10-07; completion depends on WBS-012, WBS-014, WBS-067, WBS-075. Remaining scope carries into Iteration 2, target 21/10/2026. Owner/window/points are reconstructed planning assumptions. Actual points unknown; blank is not zero.</t>
  </si>
  <si>
    <t>FDS §2.17; FT-14, FT-24, FT-29, FT-31, FT-33; UC-22, UC-16, UC-25; FE: built, real API; Specified (examiner and AI grading requests: Draft). Role: Signed-in learner.   Done means implemented screen scope, not formal UAT approval.  New 07/10 course/multi-skill DTO and gate changes still need FE alignment and fresh browser verification; old FDS acceptance scope is incomplete. | Initial proposed window 2026-09-29 to 2026-10-07; completion depends on WBS-016, WBS-058, WBS-059, WBS-075. Remaining scope carries into Iteration 2, target 21/10/2026. Owner/window/points are reconstructed planning assumptions. Actual points unknown; blank is not zero.</t>
  </si>
  <si>
    <t>FDS §2.18; FT-34, FT-35; UC-21, UC-23; FE: not built; Draft. Role: CUSTOMER. | Initial proposed window 2026-10-29 to 2026-12-09; completion depends on WBS-067, WBS-072, WBS-073. Owner/window/points are reconstructed planning assumptions. Actual points unknown; blank is not zero.</t>
  </si>
  <si>
    <t>FDS §2.19; — (no SRS feature; closest FT-34 Mock test); No UC assigned; FE: built on mock data; Prototype (mock data, OQ-17). Role: Any signed-in user.   Mock UI exists; product implementation is incomplete. | Initial proposed window 2026-10-08 to 2026-10-28; completion depends on WBS-018. Owner/window/points are reconstructed planning assumptions. Actual points unknown; blank is not zero.</t>
  </si>
  <si>
    <t>FDS §2.20; — (closest FT-25, FT-39, FT-42, FT-43); No UC assigned; FE: built on mock data; Prototype (mock data and browser storage, OQ-17). Role: Any signed-in user.   Mock UI exists; product implementation is incomplete. | Initial proposed window 2026-10-08 to 2026-10-28; completion depends on WBS-019, WBS-067. Owner/window/points are reconstructed planning assumptions. Actual points unknown; blank is not zero.</t>
  </si>
  <si>
    <t>FDS §2.21; — (mentor classes are not in the SRS); No UC assigned; FE: built on mock data; Prototype (mock data, OQ-17). Role: Any signed-in user.   Mock UI exists; product implementation is incomplete.  Prototype only; classroom scope has no committed SRS feature. Treat full integration as deferred pending scope decision. | Initial proposed window 2026-10-08 to 2026-10-28; completion depends on none. Owner/window/points are reconstructed planning assumptions. Actual points unknown; blank is not zero.</t>
  </si>
  <si>
    <t>FDS §2.22; — (closest FT-36, FT-43); No UC assigned; FE: built on mock data; Prototype (mock data, OQ-17). Role: Any signed-in user.   Mock UI exists; product implementation is incomplete.  Prototype only; classroom scope has no committed SRS feature. Treat full integration as deferred pending scope decision. | Initial proposed window 2026-10-08 to 2026-10-28; completion depends on WBS-021. Owner/window/points are reconstructed planning assumptions. Actual points unknown; blank is not zero.</t>
  </si>
  <si>
    <t>FDS §2.23; FT-05, FT-06; UC-06; FE: not built; Specified (OAuth linking: Draft). Role: Any signed-in role. | Initial proposed window 2026-10-08 to 2026-10-28; completion depends on WBS-069. Owner/window/points are reconstructed planning assumptions. Actual points unknown; blank is not zero.</t>
  </si>
  <si>
    <t>FDS §2.24; FT-09, FT-35; UC-06, UC-23; FE: not built; Specified (edit of the active goal: Draft). Role: CUSTOMER. | Initial proposed window 2026-10-08 to 2026-10-28; completion depends on WBS-069. Owner/window/points are reconstructed planning assumptions. Actual points unknown; blank is not zero.</t>
  </si>
  <si>
    <t>FDS §2.25; FT-10, FT-11, FT-12, FT-14; UC-30, UC-27, UC-26; FE: partly built; Specified. Role: CUSTOMER.   Done means implemented screen scope, not formal UAT approval. | Initial proposed window 2026-09-29 to 2026-10-07; completion depends on WBS-068, WBS-056. Remaining scope carries into Iteration 2, target 21/10/2026. Owner/window/points are reconstructed planning assumptions. Actual points unknown; blank is not zero.</t>
  </si>
  <si>
    <t>FDS §2.26; FT-44, FT-45; UC-19; FE: not built; Specified (server-side streak: Draft). Role: Any signed-in role. | Initial proposed window 2026-10-08 to 2026-10-28; completion depends on WBS-069, WBS-071. Owner/window/points are reconstructed planning assumptions. Actual points unknown; blank is not zero.</t>
  </si>
  <si>
    <t>FDS §2.27; FT-51, FT-52, FT-53, FT-54; UC-32, UC-31; FE: not built; Draft. Role: CUSTOMER. | Initial proposed window 2026-10-29 to 2026-12-09; completion depends on WBS-061, WBS-062, WBS-063. Owner/window/points are reconstructed planning assumptions. Actual points unknown; blank is not zero.</t>
  </si>
  <si>
    <t>FDS §2.28; FT-36, FT-43; UC-37, UC-33; FE: built on mock data; Specified (backend); frontend on mock data (GAP-10). Role: Guest and any signed-in user.   Mock UI exists; product implementation is incomplete. | Initial proposed window 2026-10-08 to 2026-10-28; completion depends on WBS-071. Owner/window/points are reconstructed planning assumptions. Actual points unknown; blank is not zero.</t>
  </si>
  <si>
    <t>FDS §2.29; FT-37, FT-38; UC-37; FE: not built; Specified. Role: CUSTOMER, EXAMINER, CONTENT_AUTHOR, ADMIN. | Initial proposed window 2026-10-08 to 2026-10-28; completion depends on WBS-071. Owner/window/points are reconstructed planning assumptions. Actual points unknown; blank is not zero.</t>
  </si>
  <si>
    <t>FDS §2.30; FT-37, FT-38, FT-39, FT-40, FT-41; UC-38, UC-17, UC-39, UC-14, UC-15; FE: not built; Specified (shadowing / dictation scoring: Draft). Role: CUSTOMER. | Initial proposed window 2026-10-08 to 2026-10-28; completion depends on WBS-071. Owner/window/points are reconstructed planning assumptions. Actual points unknown; blank is not zero.</t>
  </si>
  <si>
    <t>FDS §2.31; FT-42; UC-33; FE: not built; Specified. Role: Any signed-in role. | Initial proposed window 2026-10-08 to 2026-10-28; completion depends on WBS-071. Owner/window/points are reconstructed planning assumptions. Actual points unknown; blank is not zero.</t>
  </si>
  <si>
    <t>FDS §2.32; FT-43; UC-33; FE: not built; Specified. Role: Any signed-in role. | Initial proposed window 2026-10-08 to 2026-10-28; completion depends on WBS-071. Owner/window/points are reconstructed planning assumptions. Actual points unknown; blank is not zero.</t>
  </si>
  <si>
    <t>FDS §2.33; FT-46, FT-47, FT-48; UC-34; FE: not built; Specified (matchmaking: Draft). Role: Any signed-in role. | Initial proposed window 2026-10-29 to 2026-12-09; completion depends on WBS-066. Owner/window/points are reconstructed planning assumptions. Actual points unknown; blank is not zero.</t>
  </si>
  <si>
    <t>FDS §2.34; FT-46; UC-34; FE: not built; Specified. Role: Any signed-in role. | Initial proposed window 2026-10-29 to 2026-12-09; completion depends on WBS-033. Owner/window/points are reconstructed planning assumptions. Actual points unknown; blank is not zero.</t>
  </si>
  <si>
    <t>FDS §2.35; FT-47; UC-34; FE: not built; Specified. Role: Any signed-in role. | Initial proposed window 2026-10-29 to 2026-12-09; completion depends on WBS-033, WBS-064. Owner/window/points are reconstructed planning assumptions. Actual points unknown; blank is not zero.</t>
  </si>
  <si>
    <t>FDS §2.36; FT-49, FT-50; UC-35, UC-36; FE: not built; Specified. Role: Any signed-in role. | Initial proposed window 2026-10-29 to 2026-12-09; completion depends on WBS-069. Owner/window/points are reconstructed planning assumptions. Actual points unknown; blank is not zero.</t>
  </si>
  <si>
    <t>FDS §2.37; FT-49, FT-50; UC-35, UC-36; FE: not built; Specified. Role: Any signed-in role. | Initial proposed window 2026-10-29 to 2026-12-09; completion depends on WBS-036. Owner/window/points are reconstructed planning assumptions. Actual points unknown; blank is not zero.</t>
  </si>
  <si>
    <t>FDS §2.38; FT-07, FT-08; UC-07; FE: not built; Specified (paging and search: Draft). Role: ADMIN. | Initial proposed window 2026-10-29 to 2026-12-09; completion depends on WBS-053, WBS-069. Owner/window/points are reconstructed planning assumptions. Actual points unknown; blank is not zero.</t>
  </si>
  <si>
    <t>FDS §2.39; FT-04, FT-05, FT-08, FT-09, FT-10, FT-12, FT-13; UC-07; FE: not built; Specified. Role: ADMIN. | Initial proposed window 2026-10-29 to 2026-12-09; completion depends on WBS-038. Owner/window/points are reconstructed planning assumptions. Actual points unknown; blank is not zero.</t>
  </si>
  <si>
    <t>FDS §2.40; FT-10, FT-14; UC-29; FE: not built; Specified. Role: ADMIN. | Initial proposed window 2026-10-29 to 2026-12-09; completion depends on WBS-053, WBS-068. Owner/window/points are reconstructed planning assumptions. Actual points unknown; blank is not zero.</t>
  </si>
  <si>
    <t>FDS §2.41; FT-11; UC-28; FE: not built; Specified for ADMIN (SALES_STAFF access and key list: Draft). Role: ADMIN, SALES_STAFF. | Initial proposed window 2026-10-29 to 2026-12-09; completion depends on WBS-040, WBS-068. Owner/window/points are reconstructed planning assumptions. Actual points unknown; blank is not zero.</t>
  </si>
  <si>
    <t>FDS §2.42; FT-10, FT-12, FT-14; UC-29; FE: not built; Specified. Role: ADMIN. | Initial proposed window 2026-10-29 to 2026-12-09; completion depends on WBS-040, WBS-068. Owner/window/points are reconstructed planning assumptions. Actual points unknown; blank is not zero.</t>
  </si>
  <si>
    <t>FDS §2.43; FT-15; UC-40; FE: not built; Specified. Role: ADMIN, CONTENT_AUTHOR. | Initial proposed window 2026-10-29 to 2026-12-09; completion depends on WBS-053, WBS-066. Owner/window/points are reconstructed planning assumptions. Actual points unknown; blank is not zero.</t>
  </si>
  <si>
    <t>FDS §2.44; FT-16; UC-40; FE: not built; Specified. Role: ADMIN, CONTENT_AUTHOR. | Initial proposed window 2026-10-29 to 2026-12-09; completion depends on WBS-043, WBS-066. Owner/window/points are reconstructed planning assumptions. Actual points unknown; blank is not zero.</t>
  </si>
  <si>
    <t>FDS §2.45; FT-17, FT-34, FT-35; UC-40; FE: not built; Specified (TOPIC_TEST creation: Draft). Role: ADMIN, CONTENT_AUTHOR. | Initial proposed window 2026-10-29 to 2026-12-09; completion depends on WBS-044, WBS-066. Owner/window/points are reconstructed planning assumptions. Actual points unknown; blank is not zero.</t>
  </si>
  <si>
    <t>FDS §2.46; FT-18, FT-24; UC-40, UC-41; FE: not built; Specified (upload: Draft). Role: ADMIN, CONTENT_AUTHOR. | Initial proposed window 2026-10-29 to 2026-12-09; completion depends on WBS-043, WBS-066. Owner/window/points are reconstructed planning assumptions. Actual points unknown; blank is not zero.</t>
  </si>
  <si>
    <t>FDS §2.47; FT-19; UC-42; FE: not built; Draft. Role: ADMIN, CONTENT_AUTHOR. | Initial proposed window 2026-10-29 to 2026-12-09; completion depends on WBS-043, WBS-044, WBS-045, WBS-046. Owner/window/points are reconstructed planning assumptions. Actual points unknown; blank is not zero.</t>
  </si>
  <si>
    <t>FDS §2.48; FT-36; UC-40; FE: not built; Specified. Role: ADMIN, CONTENT_AUTHOR. | Initial proposed window 2026-10-29 to 2026-12-09; completion depends on WBS-067, WBS-060. Owner/window/points are reconstructed planning assumptions. Actual points unknown; blank is not zero.</t>
  </si>
  <si>
    <t>FDS §2.49; FT-37; UC-40; FE: not built; Specified. Role: ADMIN, CONTENT_AUTHOR. | Initial proposed window 2026-10-29 to 2026-12-09; completion depends on WBS-048. Owner/window/points are reconstructed planning assumptions. Actual points unknown; blank is not zero.</t>
  </si>
  <si>
    <t>FDS §2.50; FT-32, FT-52; UC-24; FE: not built; Specified (work queue and response view: Draft). Role: ADMIN, EXAMINER. | Initial proposed window 2026-10-29 to 2026-12-09; completion depends on WBS-053, WBS-067. Owner/window/points are reconstructed planning assumptions. Actual points unknown; blank is not zero.</t>
  </si>
  <si>
    <t>TDS infrastructure / common FDS conventions</t>
  </si>
  <si>
    <t>Git backend 218e071. Foundation supporting FDS §2.0; implementation evidence, not UAT. | Initial proposed window 2026-09-14 to 2026-09-18; completion depends on none. Owner/window/points are reconstructed planning assumptions. Actual points unknown; blank is not zero.</t>
  </si>
  <si>
    <t>TungVPH</t>
  </si>
  <si>
    <t>Git backend 218e071, dac8b03; backend/README.md. | Initial proposed window 2026-09-14 to 2026-09-18; completion depends on WBS-051. Owner/window/points are reconstructed planning assumptions. Actual points unknown; blank is not zero.</t>
  </si>
  <si>
    <t>FDS §2.0; FT-07; Git backend 218e071, a18a44e, 34335aa. | Initial proposed window 2026-09-14 to 2026-09-18; completion depends on WBS-051, WBS-052. Owner/window/points are reconstructed planning assumptions. Actual points unknown; blank is not zero.</t>
  </si>
  <si>
    <t>Git backend 218e071, dac8b03. Runtime reliability still requires test evidence. | Initial proposed window 2026-09-14 to 2026-09-18; completion depends on WBS-051. Owner/window/points are reconstructed planning assumptions. Actual points unknown; blank is not zero.</t>
  </si>
  <si>
    <t>Git frontend 241abca, 8581a72, 015701d. Baseline work supporting all FDS screens. | Initial proposed window 2026-09-14 to 2026-09-18; completion depends on none. Owner/window/points are reconstructed planning assumptions. Actual points unknown; blank is not zero.</t>
  </si>
  <si>
    <t>FDS §2.0 common conventions; FT-03, FT-07; frontend/src/lib/httpClient.ts. Role-based staff routing remains future work. | Initial proposed window 2026-09-14 to 2026-10-07; completion depends on WBS-053, WBS-055, WBS-069. Owner/window/points are reconstructed planning assumptions. Actual points unknown; blank is not zero.</t>
  </si>
  <si>
    <t>FDS §2.10–2.17; FT-26–FT-28; BR-21–BR-25, BR-30. Implementation exists; full live/UI and points acceptance remains open. | Initial proposed window 2026-09-14 to 2026-10-07; completion depends on WBS-066, WBS-067, WBS-068, WBS-070. Remaining scope carries into Iteration 2, target 21/10/2026. Owner/window/points are reconstructed planning assumptions. Actual points unknown; blank is not zero.</t>
  </si>
  <si>
    <t>FT-29, FT-31, FT-32</t>
  </si>
  <si>
    <t>FDS Part 3 JOB-01; FT-29, FT-31, FT-32 · BR-25, BR-26, BR-30; Specified (implemented). Implemented runtime, separate operational acceptance required. | Initial proposed window 2026-09-29 to 2026-10-07; completion depends on WBS-067. Owner/window/points are reconstructed planning assumptions. Actual points unknown; blank is not zero.</t>
  </si>
  <si>
    <t>FT-26, FT-29, FT-34, FT-35</t>
  </si>
  <si>
    <t>FDS Part 3 JOB-02; FT-26, FT-29, FT-34, FT-35 · BR-22, BR-23, BR-25; Specified (implemented). Implemented runtime, separate operational acceptance required. | Initial proposed window 2026-09-29 to 2026-10-07; completion depends on WBS-058, WBS-070. Owner/window/points are reconstructed planning assumptions. Actual points unknown; blank is not zero.</t>
  </si>
  <si>
    <t>FT-33, FT-34, FT-39</t>
  </si>
  <si>
    <t>Assessment AI essay grading worker for TOPIC_GATE / COURSE_GATE with examiner fallback; Speaking and MOCK AI remain future scope.</t>
  </si>
  <si>
    <t>BE multi-skill merge 8d2d2bb (07/10); plan 261006-2309 phase 6 records Docker-backed tests. AI gate essays implemented; Speaking excluded and live-provider acceptance remains open. | Initial proposed window 2026-09-29 to 2026-10-07; completion depends on WBS-067, WBS-074. Owner/window/points are reconstructed planning assumptions. Actual points unknown; blank is not zero.</t>
  </si>
  <si>
    <t>FT-51, FT-52</t>
  </si>
  <si>
    <t>FDS Part 3 JOB-04; FT-51, FT-52 · BR-27, BR-32; Draft. Draft/future iteration proposal, not Phase 1 delivered scope. | Initial proposed window 2026-10-29 to 2026-12-09; completion depends on WBS-058. Owner/window/points are reconstructed planning assumptions. Actual points unknown; blank is not zero.</t>
  </si>
  <si>
    <t>FT-44, FT-51, FT-53</t>
  </si>
  <si>
    <t>FDS Part 3 JOB-05; FT-44, FT-51, FT-53 · BR-32; Draft. Draft/future iteration proposal, not Phase 1 delivered scope. | Initial proposed window 2026-10-29 to 2026-12-09; completion depends on WBS-069. Owner/window/points are reconstructed planning assumptions. Actual points unknown; blank is not zero.</t>
  </si>
  <si>
    <t>FT-52, FT-53, FT-54</t>
  </si>
  <si>
    <t>FDS Part 3 JOB-06; FT-52, FT-53, FT-54 · BR-32; Draft. Draft/future iteration proposal, not Phase 1 delivered scope. | Initial proposed window 2026-10-29 to 2026-12-09; completion depends on WBS-061, WBS-062. Owner/window/points are reconstructed planning assumptions. Actual points unknown; blank is not zero.</t>
  </si>
  <si>
    <t>FT-47, FT-48</t>
  </si>
  <si>
    <t>FDS Part 3 JOB-07; FT-47, FT-48 · BR-29; Draft. Draft/future iteration proposal, not Phase 1 delivered scope. | Initial proposed window 2026-10-29 to 2026-12-09; completion depends on WBS-033. Owner/window/points are reconstructed planning assumptions. Actual points unknown; blank is not zero.</t>
  </si>
  <si>
    <t>WBS-065 — Requirements and traceability baseline</t>
  </si>
  <si>
    <t>Documentation</t>
  </si>
  <si>
    <t>Report 1 / SRS / RTW</t>
  </si>
  <si>
    <t>Review Vision &amp; Scope; specify requirements, business rules, data and traceability; reconcile later changes.</t>
  </si>
  <si>
    <t>Vision start 09/09; SRS 29810100 on 07/10; RTW ca065f6c/4a925910. Updated SRS requires RTW/FDS follow-up; formal approval remains unrecorded. | Initial proposed 2026-09-09 to 2026-10-07; completion depends on none. Remaining scope carries into Iteration 2, target 21/10/2026. Owner/date/points are inferred; actual points not supplied.</t>
  </si>
  <si>
    <t>WBS-066 — Content backend and curriculum</t>
  </si>
  <si>
    <t>Backend API</t>
  </si>
  <si>
    <t>FT-15, FT-16, FT-17, FT-18</t>
  </si>
  <si>
    <t>Content topics/KPs, questions, packages, media and lesson APIs; learner answers redacted.</t>
  </si>
  <si>
    <t>BE 11a78fa / 20bed3b / 34335aa; implementation evidence. TungVPH is proposed accountable owner, not inferred Git author. | Initial proposed 2026-09-16 to 2026-10-07; completion depends on WBS-051, WBS-053, WBS-054, WBS-065. Owner/date/points are inferred; actual points not supplied.</t>
  </si>
  <si>
    <t>WBS-067 — Assessment backend</t>
  </si>
  <si>
    <t>FT-30, FT-31, FT-32</t>
  </si>
  <si>
    <t>Attempt lifecycle, answer persistence, objective grading and human grading endpoints.</t>
  </si>
  <si>
    <t>BE c087a3f (PhuPham70) scaffold; c2ed0f4 objective grading. Git authorship does not establish all hours/ownership. | Initial proposed 2026-09-16 to 2026-10-07; completion depends on WBS-051, WBS-053, WBS-054, WBS-066. Owner/date/points are inferred; actual points not supplied.</t>
  </si>
  <si>
    <t>WBS-068 — Access backend</t>
  </si>
  <si>
    <t>Plans, keys, subscriptions, point balance and idempotent point changes.</t>
  </si>
  <si>
    <t>BE 99b7d4f / 3678274; access implementation. Proposed owner; learning entitlement release decision remains I-006. | Initial proposed 2026-09-16 to 2026-10-07; completion depends on WBS-051, WBS-053, WBS-054. Owner/date/points are inferred; actual points not supplied.</t>
  </si>
  <si>
    <t>WBS-069 — User and auth backend</t>
  </si>
  <si>
    <t>FT-01, FT-02, FT-03, FT-04, FT-06</t>
  </si>
  <si>
    <t>Account/password/session/profile/goal APIs; email and OAuth acceptance excluded.</t>
  </si>
  <si>
    <t>BE 115c36d / 2c9d37f; scope limited to implemented APIs. PhuPD is proposed owner; recovery delivery/OAuth remain I-009. | Initial proposed 2026-09-16 to 2026-10-07; completion depends on WBS-051, WBS-053, WBS-054. Owner/date/points are inferred; actual points not supplied.</t>
  </si>
  <si>
    <t>WBS-070 — Java learning runtime</t>
  </si>
  <si>
    <t>FT-20, FT-21, FT-22</t>
  </si>
  <si>
    <t>Java service runtime, base learning/lesson endpoints and domain persistence; replaces Python. Integrity/gate work WBS-057 and result consumer WBS-059 are separate.</t>
  </si>
  <si>
    <t>BE d96ab9e / 8195982 / 23904e8; historical Python work retained in TimeLogs, not counted as another active product deliverable. | Initial proposed 2026-09-16 to 2026-10-07; completion depends on WBS-066, WBS-067, WBS-068, WBS-069. Owner/date/points are inferred; actual points not supplied.</t>
  </si>
  <si>
    <t>WBS-071 — Library and learner activity backend</t>
  </si>
  <si>
    <t>FT-36, FT-37, FT-40, FT-42, FT-43, FT-44</t>
  </si>
  <si>
    <t>Library vocab/video/notes/flashcards and learner activity/streak API migration; FE delivery remains separate.</t>
  </si>
  <si>
    <t>BE 465f543 / d762660 / fec5d14 / ab613b1; implementation evidence, not all FE screens complete. Proposed accountable owner. | Initial proposed 2026-09-16 to 2026-10-07; completion depends on WBS-051, WBS-053, WBS-054. Owner/date/points are inferred; actual points not supplied.</t>
  </si>
  <si>
    <t>WBS-072 — Band course backend</t>
  </si>
  <si>
    <t>FT-15, FT-20, FT-55</t>
  </si>
  <si>
    <t>Course catalog, placement recommendation, course sequence and course final test.</t>
  </si>
  <si>
    <t>C-006; merge df6c57f / plan 261006-2228. Reported Docker tests; manual full stack course smoke not run. | Initial proposed 2026-10-06 to 2026-10-07; completion depends on WBS-066, WBS-067, WBS-070. Owner/date/points are inferred; actual points not supplied.</t>
  </si>
  <si>
    <t>WBS-073 — Course selection and final-test FE</t>
  </si>
  <si>
    <t>FT-20, FT-55</t>
  </si>
  <si>
    <t>Add course list/selection, recommendation labels and course-final-test UI over the new BE API.</t>
  </si>
  <si>
    <t>New SRS scope from 07/10; FE LearningApi lacks course methods at 3b933051. Link I-007. This is added work, not existing WBS-008 completion. | Initial proposed 2026-10-08 to 2026-10-28; completion depends on WBS-072, WBS-055, WBS-056. Owner/date/points are inferred; actual points not supplied.</t>
  </si>
  <si>
    <t>WBS-074 — Multi-skill lesson and Practice backend</t>
  </si>
  <si>
    <t>FT-21, FT-27, FT-31, FT-33, FT-55</t>
  </si>
  <si>
    <t>Mixed R/L/W lesson/Practice contracts and per-skill clearance; optional Practice essay point/quota rules. Assessment AI worker is WBS-060 and course model is WBS-072.</t>
  </si>
  <si>
    <t>C-008; merge 8d2d2bb (07/10). Plan records tests and explicit concerns; this BE implementation is not full UI/live-provider acceptance. | Initial proposed 2026-10-06 to 2026-10-07; completion depends on WBS-072, WBS-066, WBS-067, WBS-070. Owner/date/points are inferred; actual points not supplied.</t>
  </si>
  <si>
    <t>WBS-075 — Multi-skill FE contract alignment</t>
  </si>
  <si>
    <t>Frontend Integration</t>
  </si>
  <si>
    <t>FT-21, FT-27, FT-31, FT-33</t>
  </si>
  <si>
    <t>Shared API methods, skills[] DTO adapters, per-skill state mappings and gate/error translation. Screen presentation changes remain in WBS-008..017/073.</t>
  </si>
  <si>
    <t>BE contract/docs changed 07/10; FE main last merged 05/10. Verify against DTOs and new gates. Link R-002 / I-007 / I-003. | Initial proposed 2026-10-08 to 2026-10-28; completion depends on WBS-074, WBS-073. Owner/date/points are inferred; actual points not supplied.</t>
  </si>
  <si>
    <t>WBS-076 — Integration and system verification</t>
  </si>
  <si>
    <t>Test Plan / SC-01, SC-02, SC-04, SC-05</t>
  </si>
  <si>
    <t>Fresh browser core flow, course/multi-skill regression, keyboard/a11y, real-media/LLM and negative security tests.</t>
  </si>
  <si>
    <t>FE 05/10 reports: API-assisted lessons/Practice, review N/A; later full flow not evidenced. No UAT approval or new executed test result invented. | Initial proposed 2026-10-08 to 2026-10-28; completion depends on WBS-008, WBS-009, WBS-010, WBS-012, WBS-014, WBS-016, WBS-017, WBS-073, WBS-075. Owner/date/points are inferred; actual points not supplied.</t>
  </si>
  <si>
    <t>WBS-077 — Functional design and technical documentation</t>
  </si>
  <si>
    <t>FDS v0.4 / TDS / SRS handoff</t>
  </si>
  <si>
    <t>Maintain screen/job specifications and architecture; synchronize course/multi-skill requirements and diagrams.</t>
  </si>
  <si>
    <t>FDS 4153dd06 / 1b4b26b8 on 07/10; generated against SRS v0.9.15. Handoff report lists missing course/multi-skill changes. | Initial proposed 2026-10-06 to 2026-10-07; completion depends on WBS-065. Remaining scope carries into Iteration 2, target 21/10/2026. Owner/date/points are inferred; actual points not supplied.</t>
  </si>
  <si>
    <t>WBS-078 — Environment and deployment verification</t>
  </si>
  <si>
    <t>TDS / test environment</t>
  </si>
  <si>
    <t>Reproducible Docker configuration, seed reset, runbook, test prerequisites and operational checks.</t>
  </si>
  <si>
    <t>Compose baseline exists; environment validation and performance are not inferred from compile success. R-007, R-010. | Initial proposed 2026-09-16 to 2026-10-07; completion depends on WBS-051, WBS-052, WBS-053, WBS-054. Remaining scope carries into Iteration 2, target 21/10/2026. Owner/date/points are inferred; actual points not supplied.</t>
  </si>
  <si>
    <t>WBS-079 — Mock prototype work product</t>
  </si>
  <si>
    <t>FDS §2.7, §2.19-2.22, §2.28</t>
  </si>
  <si>
    <t>Build and review existing mock workspaces/classroom/overview/vocabulary UX separately from product integration.</t>
  </si>
  <si>
    <t>FE 6ffb8a4 / b8d3f3f / 015701d / b93604b / 43f537b. Done means prototype work product only; Screen rows stay In Progress. | Initial proposed 2026-09-16 to 2026-10-07; completion depends on WBS-055. Owner/date/points are inferred; actual points not supplied.</t>
  </si>
  <si>
    <t>WBS-080 — Game service initial backend</t>
  </si>
  <si>
    <t>Game</t>
  </si>
  <si>
    <t>Initialize the Game module and initial backend code; complete game flows, matchmaking and acceptance are separate future work.</t>
  </si>
  <si>
    <t>Git backend c12541b6 / c2561e23. Done applies only to the narrow initialization package, not a completed user feature. | Initial proposed 2026-09-23 to 2026-09-24; completion depends on WBS-051, WBS-052, WBS-053, WBS-054. Owner/date/points are reconstructed planning assumptions; actual points unknown.</t>
  </si>
  <si>
    <t>WBS-081 — Community service initial backend</t>
  </si>
  <si>
    <t>Community</t>
  </si>
  <si>
    <t>Community draft scope</t>
  </si>
  <si>
    <t>Initialize the Community module and initial backend code; full learner community features and acceptance are separate future work.</t>
  </si>
  <si>
    <t>Git backend 559718a4 / 10433389. Done applies only to the narrow initialization package, not a completed user feature. | Initial proposed 2026-09-22 to 2026-09-23; completion depends on WBS-051, WBS-052, WBS-053, WBS-054. Owner/date/points are reconstructed planning assumptions; actual points unknown.</t>
  </si>
  <si>
    <t>WBS-082 — Notification service scaffold</t>
  </si>
  <si>
    <t>Notification</t>
  </si>
  <si>
    <t>Create the service module and shared configuration/routing baseline only; notification delivery, reminders and retries remain future scope.</t>
  </si>
  <si>
    <t>Git backend 11a78fa6. Done applies only to the narrow initialization package, not a completed user feature. | Initial proposed 2026-09-22 to 2026-09-23; completion depends on WBS-051, WBS-052, WBS-053, WBS-054. Owner/date/points are reconstructed planning assumptions; actual points unknown.</t>
  </si>
  <si>
    <t>Iteration summary — estimate points; operational acceptance tracked separately</t>
  </si>
  <si>
    <t>Work packages</t>
  </si>
  <si>
    <t>Estimate points</t>
  </si>
  <si>
    <t>Blocked</t>
  </si>
  <si>
    <t>Total</t>
  </si>
  <si>
    <t>Proposed iteration plan — calendar dates estimated, not an approved schedule</t>
  </si>
  <si>
    <t>Start</t>
  </si>
  <si>
    <t>Finish</t>
  </si>
  <si>
    <t>Objective</t>
  </si>
  <si>
    <t>Entry dependencies</t>
  </si>
  <si>
    <t>Exit / acceptance</t>
  </si>
  <si>
    <t>Lead</t>
  </si>
  <si>
    <t>Requirements → infrastructure → BE core → FE auth/learning → documented smoke. Course/multi-skill BE landed late.</t>
  </si>
  <si>
    <t>Requirements and service contracts; Content before Learning/Assessment; BE endpoints before FE HTTP.</t>
  </si>
  <si>
    <t>Implemented scope recorded. Fresh browser, course FE and live providers remain outstanding; iteration date does not imply acceptance.</t>
  </si>
  <si>
    <t>Align course/multi-skill FE, clear core flow gaps, reconcile docs; integrate priority account/library screens.</t>
  </si>
  <si>
    <t>Iteration 1 APIs; C-006/C-008 contract reconciliation.</t>
  </si>
  <si>
    <t>Unassisted browser + course/multi-skill regression evidence, updated RTW/FDS/Test Plan and reviewed findings.</t>
  </si>
  <si>
    <t>Proposed extended staff, notification, games/community and remaining screens, after prioritization.</t>
  </si>
  <si>
    <t>Validated core flow and confirmed scope; external providers/data available.</t>
  </si>
  <si>
    <t>Acceptance by confirmed feature list. Classroom/Speaking/mobile and external integrations need explicit scope decisions.</t>
  </si>
  <si>
    <t>Team ownership — proposed allocations based on the supplied roles</t>
  </si>
  <si>
    <t>Member</t>
  </si>
  <si>
    <t>Role</t>
  </si>
  <si>
    <t>Primary scope</t>
  </si>
  <si>
    <t>Coordinates with</t>
  </si>
  <si>
    <t>Historical attribution</t>
  </si>
  <si>
    <t>Approval authority</t>
  </si>
  <si>
    <t>Capacity assumption</t>
  </si>
  <si>
    <t>BE</t>
  </si>
  <si>
    <t>User/Auth + Assessment + outbox</t>
  </si>
  <si>
    <t>HieuLT / HoangNV</t>
  </si>
  <si>
    <t>PhuPham70 matches PhuPD by supplied name; other assignments inferred.</t>
  </si>
  <si>
    <t>TimeLog and project approval: LinhNDM (PM / supervisor).</t>
  </si>
  <si>
    <t>Student project: around 2–4 h/day; no actual timesheets.</t>
  </si>
  <si>
    <t>FE lead</t>
  </si>
  <si>
    <t>FE auth, learning, course and multi-skill alignment</t>
  </si>
  <si>
    <t>SonLT / HieuLT</t>
  </si>
  <si>
    <t>Nguyen Viet Hoang / hoangnv31 observed in Git.</t>
  </si>
  <si>
    <t>FE review lead; no historic formal approval invented.</t>
  </si>
  <si>
    <t>Estimated daily entries capped at 8 h/person.</t>
  </si>
  <si>
    <t>Library/activity follow-up, prototype, FDS and system QA</t>
  </si>
  <si>
    <t>HoangNV / TungVPH</t>
  </si>
  <si>
    <t>sonledz22 observed in Git.</t>
  </si>
  <si>
    <t>Cross-review/testing owner (proposed).</t>
  </si>
  <si>
    <t>Work dates/hours reconstructed; overlap checked.</t>
  </si>
  <si>
    <t>Tech lead / task assignment</t>
  </si>
  <si>
    <t>Architecture, Java Learning, course/multi-skill and coordination</t>
  </si>
  <si>
    <t>All members</t>
  </si>
  <si>
    <t>hieuLeFpt / Lê Trung Hiếu observed in Git.</t>
  </si>
  <si>
    <t>Technical coordination and task allocation; PM / project reviewer: LinhNDM.</t>
  </si>
  <si>
    <t>AI-authored commits attributed only as proposed human oversight.</t>
  </si>
  <si>
    <t>Content, Access, infrastructure and operational checks</t>
  </si>
  <si>
    <t>PhuPD / HieuLT</t>
  </si>
  <si>
    <t>Git account mapping not confirmed; assignments are proposed.</t>
  </si>
  <si>
    <t>Backend review/implementation allocation (proposed).</t>
  </si>
  <si>
    <t>No unsupported historic Git identity asserted.</t>
  </si>
  <si>
    <t>PM / project supervisor</t>
  </si>
  <si>
    <t>Project oversight, review and approval</t>
  </si>
  <si>
    <t>Confirmed by user</t>
  </si>
  <si>
    <t>TimeLogs and project review</t>
  </si>
  <si>
    <t>Supervisor; five-member implementation team unchanged</t>
  </si>
  <si>
    <t>Basis and interpretation</t>
  </si>
  <si>
    <t>Item</t>
  </si>
  <si>
    <t>Value / rule</t>
  </si>
  <si>
    <t>Source</t>
  </si>
  <si>
    <t>Version / date</t>
  </si>
  <si>
    <t>Limit</t>
  </si>
  <si>
    <t>Project start</t>
  </si>
  <si>
    <t>09/09/2026</t>
  </si>
  <si>
    <t>Report 1 Vision &amp; Scope</t>
  </si>
  <si>
    <t>v1.1.0 / 07/10/2026</t>
  </si>
  <si>
    <t>Source date</t>
  </si>
  <si>
    <t>Earlier than repo creation; planning work can precede Git.</t>
  </si>
  <si>
    <t>Repo creation</t>
  </si>
  <si>
    <t>14/09/2026</t>
  </si>
  <si>
    <t>GitHub repository metadata</t>
  </si>
  <si>
    <t>Backend + Frontend</t>
  </si>
  <si>
    <t>First commit is not necessarily first work day.</t>
  </si>
  <si>
    <t>Snapshot</t>
  </si>
  <si>
    <t>07/10/2026 23:59 ICT</t>
  </si>
  <si>
    <t>BE e24d9eef; FE 3b933051</t>
  </si>
  <si>
    <t>Main branches at cutoff</t>
  </si>
  <si>
    <t>Git evidence</t>
  </si>
  <si>
    <t>Current later documents are reference only, not dated evidence at cutoff.</t>
  </si>
  <si>
    <t>Est. vs actual</t>
  </si>
  <si>
    <t>Points in G; actual points J blank</t>
  </si>
  <si>
    <t>Uploaded V1 + reconstructed task complexity</t>
  </si>
  <si>
    <t>3 / 5 / 8 points</t>
  </si>
  <si>
    <t>Estimated</t>
  </si>
  <si>
    <t>No conversion between story points and hours/person-days.</t>
  </si>
  <si>
    <t>Implemented work-package scope</t>
  </si>
  <si>
    <t>Code/commit/report cited per row</t>
  </si>
  <si>
    <t>Prototype verification has separate scope</t>
  </si>
  <si>
    <t>Assigned member</t>
  </si>
  <si>
    <t>Implementation only</t>
  </si>
  <si>
    <t>Not UAT approval or automatic end-to-end product acceptance.</t>
  </si>
  <si>
    <t>Source access</t>
  </si>
  <si>
    <t>Report 1, RTW, Test Plan text; FDS generator; SRS change/handoff reports; Git code/docs</t>
  </si>
  <si>
    <t>backend/capstone-docs; frontend/plans</t>
  </si>
  <si>
    <t>FDS v0.4 / SRS v0.9.21 handoff</t>
  </si>
  <si>
    <t>Read/reference</t>
  </si>
  <si>
    <t>Large SRS/TDS/FDS binaries unavailable via connector; content checked through source scripts and repository reports.</t>
  </si>
  <si>
    <t>Dashboard / Scope review</t>
  </si>
  <si>
    <t>Dashboard formulas repaired</t>
  </si>
  <si>
    <t>Uploaded workbook</t>
  </si>
  <si>
    <t>09/10/2026</t>
  </si>
  <si>
    <t>Dashboard fixed; Scope retained</t>
  </si>
  <si>
    <t>Scope approver label normalized to LinhNDM. Scope F effort-ratio interpretation remains open (D-008).</t>
  </si>
  <si>
    <t>Proposed baseline: Iteration 1 covers 09/09–07/10 foundation/core and BE course/multi-skill. Iteration 2 closes FE contract/E2E gaps; Iteration 3 contains prioritized extensions. See WBS iteration plan. Team must confirm acceptance scope; dates alone do not prove acceptance.</t>
  </si>
  <si>
    <t>capstone-docs/rp_5.0_test_plan/Report 5.0_TestPlan_IELTSPath_v1.docx; original WBS A5:L17. Review question recorded 07/10/2026; not an earlier meeting minute. | LinhNDM: supervisor asking; Directed To: responsible team member. Answered By is a simulated response assignment based on cited evidence.</t>
  </si>
  <si>
    <t>backend/capstone-docs/rp_1_vision-scope/Report 1_Vision_Scope_IeltsPath.docx §1, §3, §5 | LinhNDM: supervisor asking; Directed To: responsible team member. Answered By is a simulated response assignment based on cited evidence.</t>
  </si>
  <si>
    <t>backend/AGENTS.md §1; backend/docs/system-architecture.md | LinhNDM: supervisor asking; Directed To: responsible team member. Answered By is a simulated response assignment based on cited evidence.</t>
  </si>
  <si>
    <t>backend/docs/fe-main-flow-guide.md §1, §4; frontend/src/lib/httpClient.ts; backend/README.md | LinhNDM: supervisor asking; Directed To: responsible team member. Answered By is a simulated response assignment based on cited evidence.</t>
  </si>
  <si>
    <t>Core final-test assignment requires all relevant lessons completed, Practice cleared and applicable reviews closed; topic pass requires &gt;=70%. The 07/10 multi-skill BE clears Practice per objective skill; FE must align to updated contracts.</t>
  </si>
  <si>
    <t>backend/docs/fe-main-flow-guide.md §3–4; frontend/plans/reports/e2e-practice-261005/report.md | LinhNDM: supervisor asking; Directed To: responsible team member. Answered By is a simulated response assignment based on cited evidence.</t>
  </si>
  <si>
    <t>backend/docs/fe-main-flow-guide.md; frontend/plans/reports/e2e-practice-261005/report.md; capstone-docs/rp_5.0_test_plan/Report 5.0_TestPlan_IELTSPath_v1.docx TP-LRN-06 | LinhNDM: supervisor asking; Directed To: responsible team member. Answered By is a simulated response assignment based on cited evidence.</t>
  </si>
  <si>
    <t>backend/docs/fe-main-flow-guide.md; frontend/plans/reports/e2e-practice-261005/report.md; capstone-docs/rp_5.0_test_plan/Report 5.0_TestPlan_IELTSPath_v1.docx | LinhNDM: supervisor asking; Directed To: responsible team member. Answered By is a simulated response assignment based on cited evidence.</t>
  </si>
  <si>
    <t>backend/capstone-docs/rp_1_vision-scope/Report 1_Vision_Scope_IeltsPath.docx §4.2 LI-01; backend/capstone-docs/rp_3.0_system-requirements-system/Report 3.0_SRS_IELTSPath_IeltsPath_v1.docx SC-03 | LinhNDM: supervisor asking; Directed To: responsible team member. Answered By is a simulated response assignment based on cited evidence.</t>
  </si>
  <si>
    <t>backend/docs/fe-main-flow-guide.md §6; capstone-docs/rp_5.0_test_plan/Report 5.0_TestPlan_IELTSPath_v1.docx Out of Scope | LinhNDM: supervisor asking; Directed To: responsible team member. Answered By is a simulated response assignment based on cited evidence.</t>
  </si>
  <si>
    <t>frontend/plans/reports/e2e-main-flow-261005-fresh/report.md Method and checklist; frontend/plans/reports/e2e-practice-261005/report.md E2E note | LinhNDM: supervisor asking; Directed To: responsible team member. Answered By is a simulated response assignment based on cited evidence.</t>
  </si>
  <si>
    <t>backend/plans/261006-2228-course-band-levels/plan.md final verification; frontend/src/features/learning-path/api/learningApi.ts | LinhNDM: supervisor asking; Directed To: responsible team member. Answered By is a simulated response assignment based on cited evidence.</t>
  </si>
  <si>
    <t>Backend multi-skill implementation merged 07/10 via 8d2d2bb (#47), with phase verification and documented concerns. FE mixed-skill/assessment-essay alignment and live-provider acceptance are not established. See WBS-074/075 and C-008.</t>
  </si>
  <si>
    <t>BE merge 8d2d2bb; plans/261006-2309-multi-skill-lessons/plan.md verification; FE 3b933051. Supersedes V1 stale Pending claim. | LinhNDM: supervisor asking; Directed To: responsible team member. Answered By is a simulated response assignment based on cited evidence.</t>
  </si>
  <si>
    <t>backend/capstone-docs/rp_1_vision-scope/Report 1_Vision_Scope_IeltsPath.docx §4.1; capstone-docs/rp_5.0_test_plan/Report 5.0_TestPlan_IELTSPath_v1.docx Out of Scope | LinhNDM: supervisor asking; Directed To: responsible team member. Answered By is a simulated response assignment based on cited evidence.</t>
  </si>
  <si>
    <t>Five implementation members confirmed. PM and project reviewer are both LinhNDM; HieuLT remains tech lead/task coordinator. TimeLogs contains 48 consecutively numbered entries totaling 211.5 hours. PM identity is confirmed; actual member timesheets and historical approval records still require reconciliation.</t>
  </si>
  <si>
    <t>Original Scope names PhuPD, HieuLT, TungVPH; no row-level work-hour evidence found. | LinhNDM: supervisor asking; Directed To: responsible team member. Answered By is a simulated response assignment based on cited evidence.</t>
  </si>
  <si>
    <t>Formal document approval not evidenced. SRS was updated to v0.9.21 on 07/10, while RTW/FDS and the later Test Plan still need course/multi-skill reconciliation. The Test Plan now includes browser system testing; the old mock-only claim is superseded.</t>
  </si>
  <si>
    <t>backend/capstone-docs/rp_3.0_system-requirements-system/Report 3.0_SRS_IELTSPath_IeltsPath_v1.docx metadata; capstone-docs/rp_5.0_test_plan/Report 5.0_TestPlan_IELTSPath_v1.docx baseline/out-of-scope; frontend/plans/reports/e2e-main-flow-261005-fresh/report.md | LinhNDM: supervisor asking; Directed To: responsible team member. Answered By is a simulated response assignment based on cited evidence.</t>
  </si>
  <si>
    <t>WBS-065</t>
  </si>
  <si>
    <t>Project kickoff, initial problem/scope and member task allocation</t>
  </si>
  <si>
    <t>Initial project plan</t>
  </si>
  <si>
    <t>Approved</t>
  </si>
  <si>
    <t>Start date: Report 1; participation estimated.</t>
  </si>
  <si>
    <t>FE 241abca.</t>
  </si>
  <si>
    <t>FE 241abca, 8581a72.</t>
  </si>
  <si>
    <t>Updating</t>
  </si>
  <si>
    <t>BE 218e071, a18a44e.</t>
  </si>
  <si>
    <t>BE 218e071: Maven multi-module build and backend service structure.</t>
  </si>
  <si>
    <t>BE 218e071.</t>
  </si>
  <si>
    <t>BE 218e071, dac8b03.</t>
  </si>
  <si>
    <t>WBS-069</t>
  </si>
  <si>
    <t>Initialize User service module, configuration and account/auth structure</t>
  </si>
  <si>
    <t>User service initialization</t>
  </si>
  <si>
    <t>BE 218e071: User service initialization; auth updates and tests recorded separately.</t>
  </si>
  <si>
    <t>BE 115c36d, 2c9d37f.</t>
  </si>
  <si>
    <t>WBS-082</t>
  </si>
  <si>
    <t>Scaffold Notification service and register shared configuration/routing</t>
  </si>
  <si>
    <t>Notification service scaffold/config</t>
  </si>
  <si>
    <t>BE 11a78fa6: Notification scaffold/configuration/routing; delivery, reminders and retry remain outstanding.</t>
  </si>
  <si>
    <t>WBS-066</t>
  </si>
  <si>
    <t>Initialize Content service, Flyway schema and base content APIs</t>
  </si>
  <si>
    <t>Content service baseline</t>
  </si>
  <si>
    <t>BE 11a78fa: Content module, schema and base APIs.</t>
  </si>
  <si>
    <t>WBS-079</t>
  </si>
  <si>
    <t>FE 6ffb8a4, b8d3f3f.</t>
  </si>
  <si>
    <t>WBS-068</t>
  </si>
  <si>
    <t>Initialize Access service, plans/points APIs and Access tests</t>
  </si>
  <si>
    <t>Access service baseline</t>
  </si>
  <si>
    <t>BE 99b7d4f / 3678274: Access service initialization and tests.</t>
  </si>
  <si>
    <t>WBS-081</t>
  </si>
  <si>
    <t>Initialize Community service and initial community backend code</t>
  </si>
  <si>
    <t>Community service initial module/code</t>
  </si>
  <si>
    <t>BE 559718a4 / 10433389: initial Community module/code; complete community flows remain outstanding.</t>
  </si>
  <si>
    <t>WBS-071</t>
  </si>
  <si>
    <t>Initialize historical Learning Support service before Library/activity migration</t>
  </si>
  <si>
    <t>Historical Learning Support module</t>
  </si>
  <si>
    <t>BE 3512cc8f / b886d3f2: historical Learning Support module, later replaced by Library/activity migration.</t>
  </si>
  <si>
    <t>WBS-067</t>
  </si>
  <si>
    <t>Initialize Assessment service and attempt/answer domain structure</t>
  </si>
  <si>
    <t>Assessment service baseline</t>
  </si>
  <si>
    <t>BE c087a3f: Assessment module and attempt/answer structure.</t>
  </si>
  <si>
    <t>WBS-070</t>
  </si>
  <si>
    <t>BE e1cf196, f430f61, 4ba99a5, 2860664.</t>
  </si>
  <si>
    <t>WBS-080</t>
  </si>
  <si>
    <t>Initialize Game service and initial game backend code</t>
  </si>
  <si>
    <t>Game service initial module/code</t>
  </si>
  <si>
    <t>BE c12541b6 / c2561e23: initial Game module/code; full gameplay remains outstanding.</t>
  </si>
  <si>
    <t>FE 43f537b.</t>
  </si>
  <si>
    <t>WBS-076</t>
  </si>
  <si>
    <t>BE 9140128.</t>
  </si>
  <si>
    <t>FE 015701d, b93604b.</t>
  </si>
  <si>
    <t>WBS-059</t>
  </si>
  <si>
    <t>Implement AssessmentCompleted consumer and update learning progress, review/test assignments</t>
  </si>
  <si>
    <t>Learning result consumer / progress updates</t>
  </si>
  <si>
    <t>BE 72d4e99 / dd109f5: result consumer, progress and review/test assignment updates.</t>
  </si>
  <si>
    <t>BE 37a330c, 555ab81, a163b6b, 70f17a2.</t>
  </si>
  <si>
    <t>Initialize Library service; migrate activity/streak into User and remove legacy Learning Support</t>
  </si>
  <si>
    <t>Library initialization / service migration</t>
  </si>
  <si>
    <t>BE 465f543, d762660, fec5d14, ab613b1.</t>
  </si>
  <si>
    <t>BE 34335aa, 20bed3b.</t>
  </si>
  <si>
    <t>Initialize Java Learning service and implement lesson/mastery persistence</t>
  </si>
  <si>
    <t>BE d96ab9e, 8195982.</t>
  </si>
  <si>
    <t>TL-032</t>
  </si>
  <si>
    <t>BE d08337a, 896fa2c, 60c72dd.</t>
  </si>
  <si>
    <t>TL-033</t>
  </si>
  <si>
    <t>WBS-056</t>
  </si>
  <si>
    <t>FE 5505282, f1d5bb0.</t>
  </si>
  <si>
    <t>TL-034</t>
  </si>
  <si>
    <t>BE a3447b9, a90e5e1, 853ab82, 1a96c77, 8bb72cf, 6d9f623.</t>
  </si>
  <si>
    <t>TL-035</t>
  </si>
  <si>
    <t>FE caaf987, 6716dd9.</t>
  </si>
  <si>
    <t>TL-036</t>
  </si>
  <si>
    <t>WBS-012</t>
  </si>
  <si>
    <t>Bug-Fix</t>
  </si>
  <si>
    <t>FE d2b737d, 6716dd9.</t>
  </si>
  <si>
    <t>TL-037</t>
  </si>
  <si>
    <t>BE b2323f1 / f2e00d4 / 36b1092: requirements sections and BA/scope review.</t>
  </si>
  <si>
    <t>TL-038</t>
  </si>
  <si>
    <t>WBS-001</t>
  </si>
  <si>
    <t>FE 5a0abcb, ac25901.</t>
  </si>
  <si>
    <t>TL-039</t>
  </si>
  <si>
    <t>WBS-005</t>
  </si>
  <si>
    <t>FE 553a320, 51e64eb.</t>
  </si>
  <si>
    <t>TL-040</t>
  </si>
  <si>
    <t>WBS-072</t>
  </si>
  <si>
    <t>BE a078675, a18241b.</t>
  </si>
  <si>
    <t>TL-041</t>
  </si>
  <si>
    <t>BE d867758, 5926d93, 6935369, 559bf82, a401a33, 5ea098a.</t>
  </si>
  <si>
    <t>TL-042</t>
  </si>
  <si>
    <t>Prepare/review RTW requirements, permission and business-rule traceability</t>
  </si>
  <si>
    <t>RTW workbook</t>
  </si>
  <si>
    <t>BE ca065f6c / 4a925910: RTW preparation and traceability review.</t>
  </si>
  <si>
    <t>TL-043</t>
  </si>
  <si>
    <t>WBS-075</t>
  </si>
  <si>
    <t>Review course/multi-skill FE contracts, DTO changes and integration backlog</t>
  </si>
  <si>
    <t>FE integration plan</t>
  </si>
  <si>
    <t>BE contract vs FE LearningApi; analysis only, code not completed.</t>
  </si>
  <si>
    <t>TL-044</t>
  </si>
  <si>
    <t>WBS-077</t>
  </si>
  <si>
    <t>Build/review FDS screens, jobs and diagrams; record SRS handoff gaps</t>
  </si>
  <si>
    <t>FDS v0.4 / diagrams</t>
  </si>
  <si>
    <t>BE 4153dd06 / 1b4b26b8.</t>
  </si>
  <si>
    <t>TL-045</t>
  </si>
  <si>
    <t>Review requirements baseline and assign remaining iteration work</t>
  </si>
  <si>
    <t>Iteration review</t>
  </si>
  <si>
    <t>Report 1 / SRS course-multi-skill handoff.</t>
  </si>
  <si>
    <t>TL-046</t>
  </si>
  <si>
    <t>WBS-078</t>
  </si>
  <si>
    <t>Review environment runbook, test prerequisites and operational gaps</t>
  </si>
  <si>
    <t>Environment checklist</t>
  </si>
  <si>
    <t>BE README / Docker setup; no new test pass asserted.</t>
  </si>
  <si>
    <t>TL-047</t>
  </si>
  <si>
    <t>WBS-074</t>
  </si>
  <si>
    <t>Implement multi-skill lesson/Practice contracts and per-skill clearance</t>
  </si>
  <si>
    <t>Multi-skill backend code</t>
  </si>
  <si>
    <t>BE 8d2d2bb2 / 51468f60: multi-skill backend; FE alignment and live acceptance remain outstanding.</t>
  </si>
  <si>
    <t>TL-048</t>
  </si>
  <si>
    <t>WBS-060</t>
  </si>
  <si>
    <t>Implement Assessment AI worker for topic/course gate essays and examiner fallback</t>
  </si>
  <si>
    <t>Assessment AI gate-grading worker</t>
  </si>
  <si>
    <t>BE 34852704 / 8d2d2bb2: AI gate-essay worker; Speaking and live-provider acceptance excluded.</t>
  </si>
  <si>
    <t>Hours by activity</t>
  </si>
  <si>
    <t>Hours</t>
  </si>
  <si>
    <t>Hours by member and review status</t>
  </si>
  <si>
    <t>TimeLog tracking notes</t>
  </si>
  <si>
    <t>PM and project reviewer: LinhNDM. TimeLogs are reviewed by the PM; implementation status is tracked separately in WBS. One entry records one person, one date and one WBS package, with a maximum of 8 hours/person/day. Entries are sorted by date and numbered TL-001 to TL-048. Hours are retrospective estimates based on repository work packages. Git references identify code changes; service initialization does not imply full feature delivery.</t>
  </si>
  <si>
    <t>System Test</t>
  </si>
  <si>
    <t>FE 6716dd9 (main 3b933051)</t>
  </si>
  <si>
    <t>frontend/plans/reports/e2e-main-flow-261005/fix-ux-cta-gates.md; frontend/plans/reports/e2e-practice-261005/report.md confirms gap closed; full fresh browser retest still open. | Assignment proposed from team roles; not a historical signed assignment. Fixed indicates documented code fix; separate browser retest required, not Closed.</t>
  </si>
  <si>
    <t>frontend/plans/reports/e2e-main-flow-261005/fix-ux-cta-gates.md; frontend/plans/reports/e2e-practice-261005/report.md | Assignment proposed from team roles; not a historical signed assignment. Fixed indicates documented code fix; separate browser retest required, not Closed.</t>
  </si>
  <si>
    <t>frontend/plans/reports/e2e-main-flow-261005/fix-ux-cta-gates.md; frontend/plans/reports/e2e-practice-261005/report.md browser smoke only. | Assignment proposed from team roles; not a historical signed assignment. Fixed indicates documented code fix; separate browser retest required, not Closed.</t>
  </si>
  <si>
    <t>frontend/plans/reports/e2e-main-flow-261005/fix-ux-cta-gates.md records layout fix, but frontend/plans/reports/e2e-main-flow-261005-fresh/report.md repeats observation. Application-wide reproduction is not established. | Assignment proposed from team roles; not a historical signed assignment. Verification concern retained; not a confirmed universal product failure.</t>
  </si>
  <si>
    <t>frontend/plans/reports/e2e-main-flow-261005/report.md item 5. Verify with a screen reader before confirming defect. | Assignment proposed from team roles; not a historical signed assignment.</t>
  </si>
  <si>
    <t>Dashboard open-item formulas used incorrect status columns</t>
  </si>
  <si>
    <t>Count Issues K, Defects N and Q&amp;A K; risk priority from score F</t>
  </si>
  <si>
    <t>Corrected Dashboard uses the actual status columns and includes risks with score &gt;=4.</t>
  </si>
  <si>
    <t>Report 2.1 Dashboard update — 09/10/2026</t>
  </si>
  <si>
    <t>Formulas recalculated and checked against source records. Awaiting LinhNDM review; not Closed.</t>
  </si>
  <si>
    <t>Dashboard iteration formulas excluded WBS rows after row 68</t>
  </si>
  <si>
    <t>Count all 82 WBS packages through row 86</t>
  </si>
  <si>
    <t>Dashboard now uses WBS H for iteration, G for points and K for status across rows 5:86.</t>
  </si>
  <si>
    <t>Dashboard iteration table B27:J31; WBS summary A88:G93</t>
  </si>
  <si>
    <t>Full WBS range recalculated and reconciled with WBS summary. Awaiting LinhNDM review; not Closed.</t>
  </si>
  <si>
    <t>Scope completion percentage still represents effort usage</t>
  </si>
  <si>
    <t>Dashboard counts Scope G correctly. Scope F remains actual/estimated effort, which is not a completion measure.</t>
  </si>
  <si>
    <t>Dashboard deliverable counts repaired; remaining Scope F interpretation needs separate correction. Defect stays Open.</t>
  </si>
  <si>
    <t>Confirm reconstructed WBS iteration windows, product acceptance list and extension priorities. See WBS plan, Q-001. Creating the plan does not supply formal acceptance.</t>
  </si>
  <si>
    <t>capstone-docs/rp_5.0_test_plan/Report 5.0_TestPlan_IELTSPath_v1.docx; original WBS | Owner/deadline are proposed resolution assignments.</t>
  </si>
  <si>
    <t>Validate the 48-row, 211.5-hour retrospective timesheet against member records, dates, hours and approval evidence. Review states are Pending, Submitted and Approved. See Q-014.</t>
  </si>
  <si>
    <t>Original tracking workbook contains unrelated sample hours and reporter. | Owner/deadline are proposed resolution assignments.</t>
  </si>
  <si>
    <t>frontend/plans/reports/e2e-main-flow-261005-fresh/report.md; frontend/plans/reports/e2e-practice-261005/report.md | Owner/deadline are proposed resolution assignments.</t>
  </si>
  <si>
    <t>capstone-docs/rp_5.0_test_plan/Report 5.0_TestPlan_IELTSPath_v1.docx; frontend/plans/reports/e2e-practice-261005/report.md | Owner/deadline are proposed resolution assignments.</t>
  </si>
  <si>
    <t>SRS v0.9.21 course/multi-skill updates are not synchronized into RTW/FDS and Test Plan.</t>
  </si>
  <si>
    <t>Specifications, permission/feature traceability and tests can target different gates and feature populations.</t>
  </si>
  <si>
    <t>Update FT-15/20/55, course/placement flow, BR-35..40, mixed-skill rules and assessment essay fallback; reconcile RTW/FDS/Test Plan. The latest Test Plan includes HTTP/browser tests; old mock-only finding withdrawn.</t>
  </si>
  <si>
    <t>BE 29810100 / de62b4eb; plans/reports/srs-to-rtw-fds-handoff-261007-1934-course-multi-skill-report.md. Later Test Plan reference still lists 54 features and one-skill assumptions; no completed reconciliation asserted.</t>
  </si>
  <si>
    <t>backend/docs/fe-main-flow-guide.md §6; capstone-docs/rp_5.0_test_plan/Report 5.0_TestPlan_IELTSPath_v1.docx | Owner/deadline are proposed resolution assignments.</t>
  </si>
  <si>
    <t>New course/multi-skill BE contracts are not aligned with FE course APIs and full browser acceptance.</t>
  </si>
  <si>
    <t>Complete WBS-073/075 after WBS-072/074; verify course selection, mixed Practice, essay gate submission, result processing and next topic. Fresh unassisted browser evidence required.</t>
  </si>
  <si>
    <t>backend/plans/261006-2228-course-band-levels/plan.md final concerns; frontend/src/features/learning-path/api/learningApi.ts | Owner/deadline are proposed resolution assignments.</t>
  </si>
  <si>
    <t>backend/capstone-docs/rp_3.0_system-requirements-system/Report 3.0_SRS_IELTSPath_IeltsPath_v1.docx metadata; backend/capstone-docs/rp_1_vision-scope/Report 1_Vision_Scope_IeltsPath.docx In Review; original Scope Approved By is not approval evidence. | Owner/deadline are proposed resolution assignments.</t>
  </si>
  <si>
    <t>Reset UI is in Iteration 1; verify real email token delivery separately. OAuth remains Iteration 3 and unavailable until implementation/QA. Do not report either external flow as accepted.</t>
  </si>
  <si>
    <t>frontend/docs/journals/2026-10-05-fe-auth-forgot-reset-wiring.md; capstone-docs/rp_5.0_test_plan/Report 5.0_TestPlan_IELTSPath_v1.docx | Owner/deadline are proposed resolution assignments.</t>
  </si>
  <si>
    <t>backend/capstone-docs/rp_1_vision-scope/Report 1_Vision_Scope_IeltsPath.docx versus capstone-docs/rp_5.0_test_plan/Report 5.0_TestPlan_IELTSPath_v1.docx; assessment: project-review judgement, not measured incidence. | Assessment qualitative; owner and mitigation due date proposed.</t>
  </si>
  <si>
    <t>Freeze/version course and multi-skill DTO contracts; align FE skills[], course endpoints and essay flow, then run fresh-user integration. Link WBS-073/075 and I-007.</t>
  </si>
  <si>
    <t>backend/docs/fe-main-flow-guide.md; backend/plans/261006-2228-course-band-levels/plan.md; backend/plans/261006-2309-multi-skill-lessons/plan.md; assessment: project-review judgement, not measured incidence. | Assessment qualitative; owner and mitigation due date proposed.</t>
  </si>
  <si>
    <t>capstone-docs/rp_5.0_test_plan/Report 5.0_TestPlan_IELTSPath_v1.docx TP-LRN-06 / NFR-P02; backend/docs/fe-main-flow-guide.md; assessment: project-review judgement, not measured incidence. | Assessment qualitative; owner and mitigation due date proposed.</t>
  </si>
  <si>
    <t>capstone-docs/rp_5.0_test_plan/Report 5.0_TestPlan_IELTSPath_v1.docx TP-LRN-05 / NFR-REL01; assessment: project-review judgement, not measured incidence. | Assessment qualitative; owner and mitigation due date proposed.</t>
  </si>
  <si>
    <t>capstone-docs/rp_5.0_test_plan/Report 5.0_TestPlan_IELTSPath_v1.docx NFR-SEC01 / TP-LRN-02; assessment: project-review judgement, not measured incidence. | Assessment qualitative; owner and mitigation due date proposed.</t>
  </si>
  <si>
    <t>backend/docs/fe-main-flow-guide.md; capstone-docs/rp_5.0_test_plan/Report 5.0_TestPlan_IELTSPath_v1.docx Data constraints; assessment: project-review judgement, not measured incidence. | Assessment qualitative; owner and mitigation due date proposed.</t>
  </si>
  <si>
    <t>capstone-docs/rp_5.0_test_plan/Report 5.0_TestPlan_IELTSPath_v1.docx NFR-OPS01; backend/plans/261006-2228-course-band-levels/plan.md verification; assessment: project-review judgement, not measured incidence. | Assessment qualitative; owner and mitigation due date proposed.</t>
  </si>
  <si>
    <t>frontend/plans/reports/e2e-main-flow-261005-fresh/report.md; frontend/plans/reports/e2e-main-flow-261005/report.md; assessment: project-review judgement, not measured incidence. | Assessment qualitative; owner and mitigation due date proposed.</t>
  </si>
  <si>
    <t>Original Risks R-002 adapted to Phase 1; no actual absence recorded.; assessment: project-review judgement, not measured incidence. | Assessment qualitative; owner and mitigation due date proposed.</t>
  </si>
  <si>
    <t>capstone-docs/rp_5.0_test_plan/Report 5.0_TestPlan_IELTSPath_v1.docx NFR-P01/P02; SRS Part 6; assessment: project-review judgement, not measured incidence. | Assessment qualitative; owner and mitigation due date proposed.</t>
  </si>
  <si>
    <t>backend/docs/fe-main-flow-guide.md §6; assessment: project-review judgement, not measured incidence. | Assessment qualitative; owner and mitigation due date proposed.</t>
  </si>
  <si>
    <t>Last updated: 09/10/2026  |  Project: English Learning and IELTS Preparation Support System Based on Personalized Learning Pathways for IELTS Space  |  PM: LinhNDM</t>
  </si>
  <si>
    <t xml:space="preserve">IELTSPath — Project Tracking Dashboard</t>
  </si>
  <si>
    <t xml:space="preserve">Auto-summary from all tracking sheets  ·  Update data in individual sheets</t>
  </si>
  <si>
    <t xml:space="preserve">Total Deliverables</t>
  </si>
  <si>
    <t xml:space="preserve">Done / Closed</t>
  </si>
  <si>
    <t xml:space="preserve">In Progress</t>
  </si>
  <si>
    <t xml:space="preserve">Not Started</t>
  </si>
  <si>
    <t xml:space="preserve">Open Issues</t>
  </si>
  <si>
    <t xml:space="preserve">Open Defects</t>
  </si>
  <si>
    <t xml:space="preserve">Unanswered Q&amp;As</t>
  </si>
  <si>
    <t xml:space="preserve">High/Critical Risks</t>
  </si>
  <si>
    <t xml:space="preserve">Scope Milestone Status</t>
  </si>
  <si>
    <t xml:space="preserve">Stage</t>
  </si>
  <si>
    <t xml:space="preserve">Key Deliverable</t>
  </si>
  <si>
    <t xml:space="preserve">Deadline</t>
  </si>
  <si>
    <t xml:space="preserve">In Charge</t>
  </si>
  <si>
    <t xml:space="preserve">Status</t>
  </si>
  <si>
    <t xml:space="preserve">Stage 1</t>
  </si>
  <si>
    <t xml:space="preserve">Report 1 (Project Introduction)</t>
  </si>
  <si>
    <t xml:space="preserve">Week 1</t>
  </si>
  <si>
    <t xml:space="preserve">Stage 2</t>
  </si>
  <si>
    <t xml:space="preserve">SRS v0.9 + Project Management Plan</t>
  </si>
  <si>
    <t xml:space="preserve">Week 3</t>
  </si>
  <si>
    <t xml:space="preserve">Stage 3</t>
  </si>
  <si>
    <t xml:space="preserve">SDS v1.0 + Test Planning</t>
  </si>
  <si>
    <t xml:space="preserve">Week 5</t>
  </si>
  <si>
    <t xml:space="preserve">Stage 4</t>
  </si>
  <si>
    <t xml:space="preserve">Implementation Iterations 1–3</t>
  </si>
  <si>
    <t xml:space="preserve">Week 11</t>
  </si>
  <si>
    <t xml:space="preserve">Stage 5</t>
  </si>
  <si>
    <t xml:space="preserve">System Test Report + User Guides + UAT</t>
  </si>
  <si>
    <t xml:space="preserve">Week 13</t>
  </si>
  <si>
    <t xml:space="preserve">Stage 6</t>
  </si>
  <si>
    <t xml:space="preserve">Final Report + Presentation</t>
  </si>
  <si>
    <t xml:space="preserve">Week 14</t>
  </si>
  <si>
    <t xml:space="preserve">WBS by Iteration</t>
  </si>
  <si>
    <t xml:space="preserve">Iteration</t>
  </si>
  <si>
    <t xml:space="preserve">Planned Functions</t>
  </si>
  <si>
    <t xml:space="preserve">Est. Effort (pts)</t>
  </si>
  <si>
    <t xml:space="preserve">Done</t>
  </si>
  <si>
    <t xml:space="preserve">% Complete</t>
  </si>
  <si>
    <t xml:space="preserve">Iteration 1</t>
  </si>
  <si>
    <t xml:space="preserve">Iteration 2</t>
  </si>
  <si>
    <t xml:space="preserve">Iteration 3</t>
  </si>
  <si>
    <t xml:space="preserve">Last updated: 09/10/2026  |  Project: English Learning and IELTS Preparation Support System Based on Personalized Learning Pathways for IELTS Space  |  PM: LinhNDM</t>
  </si>
  <si>
    <t xml:space="preserve">Scope — Project Deliverables &amp; Milestones</t>
  </si>
  <si>
    <t xml:space="preserve">Track all deliverables by stage  ·  Update Status and Actual Effort each week  ·  % Complete auto-calculated</t>
  </si>
  <si>
    <t xml:space="preserve">#</t>
  </si>
  <si>
    <t xml:space="preserve">Work Package / Deliverable</t>
  </si>
  <si>
    <t xml:space="preserve">Est. Effort (pds)</t>
  </si>
  <si>
    <t xml:space="preserve">Actual Effort (pds)</t>
  </si>
  <si>
    <t xml:space="preserve">Dependency</t>
  </si>
  <si>
    <t xml:space="preserve">Approved By</t>
  </si>
  <si>
    <t xml:space="preserve">Notes</t>
  </si>
  <si>
    <t xml:space="preserve">  Stage 1: Project Initiating (Week 1)</t>
  </si>
  <si>
    <t xml:space="preserve">1.1</t>
  </si>
  <si>
    <t xml:space="preserve">Report 1 — Project Introduction</t>
  </si>
  <si>
    <t xml:space="preserve">  Stage 2: Project Planning &amp; Initial Requirements (Weeks 2–3)</t>
  </si>
  <si>
    <t xml:space="preserve">2.1</t>
  </si>
  <si>
    <t xml:space="preserve">Report 2 — Project Management Plan v1.0</t>
  </si>
  <si>
    <t xml:space="preserve">Week 2</t>
  </si>
  <si>
    <t xml:space="preserve">2.2</t>
  </si>
  <si>
    <t xml:space="preserve">Report 3 — SRS v0.9 (Overall Requirements)</t>
  </si>
  <si>
    <t xml:space="preserve">2.3</t>
  </si>
  <si>
    <t xml:space="preserve">Vertical Prototypes (Code Demo)</t>
  </si>
  <si>
    <t xml:space="preserve">  Stage 3: Software Design (Weeks 4–5)</t>
  </si>
  <si>
    <t xml:space="preserve">3.1</t>
  </si>
  <si>
    <t xml:space="preserve">Vertical Prototypes (POC / Proof of Concepts)</t>
  </si>
  <si>
    <t xml:space="preserve">Week 4</t>
  </si>
  <si>
    <t xml:space="preserve">3.2</t>
  </si>
  <si>
    <t xml:space="preserve">Report 3 — SRS v1.0 (Detailed — Iteration 1)</t>
  </si>
  <si>
    <t xml:space="preserve">3.3</t>
  </si>
  <si>
    <t xml:space="preserve">Report 4 — SDS v1.0 (High Level Design)</t>
  </si>
  <si>
    <t xml:space="preserve">3.4</t>
  </si>
  <si>
    <t xml:space="preserve">Report 5 — Test Planning</t>
  </si>
  <si>
    <t xml:space="preserve">  Stage 4a: Implementation — Iteration 1 (Weeks 6–7)</t>
  </si>
  <si>
    <t xml:space="preserve">4.1.1</t>
  </si>
  <si>
    <t xml:space="preserve">Report 4 — SDS v1.1 (Detailed Design)</t>
  </si>
  <si>
    <t xml:space="preserve">Week 6</t>
  </si>
  <si>
    <t xml:space="preserve">4.1.2</t>
  </si>
  <si>
    <t xml:space="preserve">Code Package &amp; Unit Testing Report — Iteration 1</t>
  </si>
  <si>
    <t xml:space="preserve">4.1.3</t>
  </si>
  <si>
    <t xml:space="preserve">Report 5 — Integration Test Cases — Iteration 1</t>
  </si>
  <si>
    <t xml:space="preserve">4.1.4</t>
  </si>
  <si>
    <t xml:space="preserve">Report 5 — Integration Test Report — Iteration 1</t>
  </si>
  <si>
    <t xml:space="preserve">Week 7</t>
  </si>
  <si>
    <t xml:space="preserve">4.1.5</t>
  </si>
  <si>
    <t xml:space="preserve">Report 3 — SRS v1.1 (Detailed — Iteration 2)</t>
  </si>
  <si>
    <t xml:space="preserve">4.1.6</t>
  </si>
  <si>
    <t xml:space="preserve">Software Package Version 1</t>
  </si>
  <si>
    <t xml:space="preserve">  Stage 4b: Implementation — Iteration 2 (Weeks 8–9)</t>
  </si>
  <si>
    <t xml:space="preserve">4.2.1</t>
  </si>
  <si>
    <t xml:space="preserve">Report 4 — SDS v1.2</t>
  </si>
  <si>
    <t xml:space="preserve">Week 8</t>
  </si>
  <si>
    <t xml:space="preserve">4.2.2</t>
  </si>
  <si>
    <t xml:space="preserve">Code Package &amp; Unit Testing Report — Iteration 2</t>
  </si>
  <si>
    <t xml:space="preserve">4.2.3</t>
  </si>
  <si>
    <t xml:space="preserve">Report 5 — Integration Test Cases — Iteration 2</t>
  </si>
  <si>
    <t xml:space="preserve">4.2.4</t>
  </si>
  <si>
    <t xml:space="preserve">Report 5 — Integration Test Report — Iteration 2</t>
  </si>
  <si>
    <t xml:space="preserve">Week 9</t>
  </si>
  <si>
    <t xml:space="preserve">4.2.5</t>
  </si>
  <si>
    <t xml:space="preserve">Report 3 — SRS v1.2 (Detailed — Iteration 3)</t>
  </si>
  <si>
    <t xml:space="preserve">4.2.6</t>
  </si>
  <si>
    <t xml:space="preserve">Software Package Version 2</t>
  </si>
  <si>
    <t xml:space="preserve">  Stage 4c: Implementation — Iteration 3 (Weeks 10–11)</t>
  </si>
  <si>
    <t xml:space="preserve">4.3.1</t>
  </si>
  <si>
    <t xml:space="preserve">Report 4 — SDS v1.3</t>
  </si>
  <si>
    <t xml:space="preserve">Week 10</t>
  </si>
  <si>
    <t xml:space="preserve">4.3.2</t>
  </si>
  <si>
    <t xml:space="preserve">Code Package &amp; Unit Testing Report — Iteration 3</t>
  </si>
  <si>
    <t xml:space="preserve">4.3.3</t>
  </si>
  <si>
    <t xml:space="preserve">Report 5 — Integration Test Cases — Iteration 3</t>
  </si>
  <si>
    <t xml:space="preserve">4.3.4</t>
  </si>
  <si>
    <t xml:space="preserve">Report 5 — Integration Test Report — Iteration 3</t>
  </si>
  <si>
    <t xml:space="preserve">4.3.5</t>
  </si>
  <si>
    <t xml:space="preserve">Report 5 — System Test Cases</t>
  </si>
  <si>
    <t xml:space="preserve">4.3.6</t>
  </si>
  <si>
    <t xml:space="preserve">Software Package Version 3</t>
  </si>
  <si>
    <t xml:space="preserve">  Stage 5: Verification &amp; Validation (Weeks 12–13)</t>
  </si>
  <si>
    <t xml:space="preserve">5.1</t>
  </si>
  <si>
    <t xml:space="preserve">Report 5 — System Test Report</t>
  </si>
  <si>
    <t xml:space="preserve">Week 12</t>
  </si>
  <si>
    <t xml:space="preserve">5.2</t>
  </si>
  <si>
    <t xml:space="preserve">Report 6 — User Guides (Installation + User Manuals)</t>
  </si>
  <si>
    <t xml:space="preserve">5.3</t>
  </si>
  <si>
    <t xml:space="preserve">Acceptance Test and Support</t>
  </si>
  <si>
    <t xml:space="preserve">5.4</t>
  </si>
  <si>
    <t xml:space="preserve">Final Software Package (Docs + Source Codes)</t>
  </si>
  <si>
    <t xml:space="preserve">  Stage 6: Closing (Week 14)</t>
  </si>
  <si>
    <t xml:space="preserve">6.1</t>
  </si>
  <si>
    <t xml:space="preserve">Report 7 — Final Project Report</t>
  </si>
  <si>
    <t xml:space="preserve">6.2</t>
  </si>
  <si>
    <t xml:space="preserve">Presentation File</t>
  </si>
  <si>
    <t xml:space="preserve">IELTSPath — Work Breakdown Structure</t>
  </si>
  <si>
    <t xml:space="preserve">Complexity: Simple (≤7 fields / ≤3 tx)  ·  Medium (≤15 / ≤7)  ·  Complex (&gt;15 / &gt;7)  ·  Effort: Simple=3 / Medium=5 / Complex=8 pts (default)</t>
  </si>
  <si>
    <t xml:space="preserve">Function / Screen</t>
  </si>
  <si>
    <t xml:space="preserve">Type</t>
  </si>
  <si>
    <t xml:space="preserve">Feature Group</t>
  </si>
  <si>
    <t xml:space="preserve">Sub-Feature</t>
  </si>
  <si>
    <t xml:space="preserve">Description</t>
  </si>
  <si>
    <t xml:space="preserve">Complexity</t>
  </si>
  <si>
    <t xml:space="preserve">Planned Iteration</t>
  </si>
  <si>
    <t xml:space="preserve">Actual Effort (pts)</t>
  </si>
  <si>
    <t xml:space="preserve">WBS-001 — Home</t>
  </si>
  <si>
    <t xml:space="preserve">Screen</t>
  </si>
  <si>
    <t xml:space="preserve">Public / Access</t>
  </si>
  <si>
    <t xml:space="preserve">FT-10, FT-11, FT-12</t>
  </si>
  <si>
    <t xml:space="preserve">Introduces IELTSPath, shows the FREE / Premium plans and point cards, and lets a signed-in learner redeem an activation key for Premium days or points. Route: /home · Public page (default route for guests)</t>
  </si>
  <si>
    <t xml:space="preserve">Simple</t>
  </si>
  <si>
    <t xml:space="preserve">HoangNV</t>
  </si>
  <si>
    <t xml:space="preserve">WBS-002 — Login</t>
  </si>
  <si>
    <t xml:space="preserve">Authentication</t>
  </si>
  <si>
    <t xml:space="preserve">FT-02, FT-03, FT-05, FT-07</t>
  </si>
  <si>
    <t xml:space="preserve">Lets a registered user sign in with email and password, so the app can return to the page the user wanted or open the learning path. Route: /login · Public page (GuestOnly)</t>
  </si>
  <si>
    <t xml:space="preserve">Medium</t>
  </si>
  <si>
    <t xml:space="preserve">WBS-003 — Register</t>
  </si>
  <si>
    <t xml:space="preserve">FT-01, FT-02</t>
  </si>
  <si>
    <t xml:space="preserve">Lets a guest create a learner account and signs the guest in straight away, so learning can start. Route: /register · Public page (GuestOnly)</t>
  </si>
  <si>
    <t xml:space="preserve">WBS-004 — Forgot Password</t>
  </si>
  <si>
    <t xml:space="preserve">FT-04</t>
  </si>
  <si>
    <t xml:space="preserve">Lets a user who forgot the password ask for a reset code, so a new password can be set. Route: /forgot-password · Public page (GuestOnly)</t>
  </si>
  <si>
    <t xml:space="preserve">WBS-005 — Reset Password</t>
  </si>
  <si>
    <t xml:space="preserve">Lets the user set a new password with the reset code, so the user can sign in again. Route: /reset-password?token=… · Public page (GuestOnly)</t>
  </si>
  <si>
    <t xml:space="preserve">WBS-006 — OAuth Callback</t>
  </si>
  <si>
    <t xml:space="preserve">FT-05</t>
  </si>
  <si>
    <t xml:space="preserve">Finishes a sign-in with the OAuth identity provider and opens the learning path. Route: /auth/oauth/callback · Public page (GuestOnly)</t>
  </si>
  <si>
    <t xml:space="preserve">WBS-007 — Overview</t>
  </si>
  <si>
    <t xml:space="preserve">Prototype</t>
  </si>
  <si>
    <t xml:space="preserve">FT-26, FT-44, FT-45 (intended)</t>
  </si>
  <si>
    <t xml:space="preserve">Gives the learner a dashboard of study time, four-skill progress, words to review, mentor feedback, courses and the study streak. Route: /overview · RequireAuth (default route when signed in)</t>
  </si>
  <si>
    <t xml:space="preserve">SonLT</t>
  </si>
  <si>
    <t xml:space="preserve">WBS-008 — Learning Path</t>
  </si>
  <si>
    <t xml:space="preserve">Core Learning</t>
  </si>
  <si>
    <t xml:space="preserve">FT-13, FT-20, FT-28</t>
  </si>
  <si>
    <t xml:space="preserve">Display the learning path and ordered topics within a chosen course. Course chooser/recommendation and course-final-test UI are WBS-073; shared contract mappings are WBS-075. Route: /learn.</t>
  </si>
  <si>
    <t xml:space="preserve">WBS-009 — Topic Detail</t>
  </si>
  <si>
    <t xml:space="preserve">FT-20, FT-21, FT-27, FT-29</t>
  </si>
  <si>
    <t xml:space="preserve">Lists the ordered lessons of a topic and the final test card, so the learner can open the next lesson, go to practice or start the final test. Route: /learn/topics/:topicId · RequireAuth</t>
  </si>
  <si>
    <t xml:space="preserve">WBS-010 — Lesson Player</t>
  </si>
  <si>
    <t xml:space="preserve">FT-21, FT-22, FT-23, FT-24, FT-25</t>
  </si>
  <si>
    <t xml:space="preserve">Presents a lesson's blocks in order — text, passage, audio, exercises and essays — grades each exercise block, so the learner can pass the lesson and move on. Route: /learn/lessons/:lessonId · RequireAuth</t>
  </si>
  <si>
    <t xml:space="preserve">WBS-011 — Writing Feedback</t>
  </si>
  <si>
    <t xml:space="preserve">FT-12, FT-25</t>
  </si>
  <si>
    <t xml:space="preserve">Shows the AI grading of a Writing essay — estimated band, pass or not, criteria, corrections and the sample answer — so the learner can improve the next essay. Route: Inline panel in /learn/lessons/:lessonId (EssayBlock)</t>
  </si>
  <si>
    <t xml:space="preserve">WBS-012 — Practice Set</t>
  </si>
  <si>
    <t xml:space="preserve">FT-23, FT-24, FT-26, FT-27</t>
  </si>
  <si>
    <t xml:space="preserve">Lists the practice sets of a completed lesson and lets the learner answer one set, see every solution and start the review it creates. Route: /learn/lessons/:lessonId/practice · RequireAuth</t>
  </si>
  <si>
    <t xml:space="preserve">WBS-013 — Review List</t>
  </si>
  <si>
    <t xml:space="preserve">FT-28</t>
  </si>
  <si>
    <t xml:space="preserve">Lists the learner's reviews, oldest first, so the learner can finish the ones that block a skill. Route: /learn/reviews (proposed)</t>
  </si>
  <si>
    <t xml:space="preserve">WBS-014 — Review Session</t>
  </si>
  <si>
    <t xml:space="preserve">FT-23, FT-24, FT-26, FT-28</t>
  </si>
  <si>
    <t xml:space="preserve">Guides the learner through one review — theory with a quick check, then a set of questions — so a weak knowledge point is repaired and the skill is unblocked. Route: /learn/reviews/:reviewId · RequireAuth</t>
  </si>
  <si>
    <t xml:space="preserve">WBS-015 — Mastery</t>
  </si>
  <si>
    <t xml:space="preserve">FT-26</t>
  </si>
  <si>
    <t xml:space="preserve">Shows the learner's mastery from 0 to 1 for every knowledge point, grouped by skill and topic, so the learner can see strong and weak points. Route: /learn/mastery (proposed)</t>
  </si>
  <si>
    <t xml:space="preserve">WBS-016 — Test Attempt</t>
  </si>
  <si>
    <t xml:space="preserve">FT-24, FT-30, FT-31</t>
  </si>
  <si>
    <t xml:space="preserve">Lets the learner sit the topic final test section by section, with answers saved as they go, and submit it for grading. Route: /learn/tests/:attemptId?topic=… · RequireAuth</t>
  </si>
  <si>
    <t xml:space="preserve">WBS-017 — Test Result</t>
  </si>
  <si>
    <t xml:space="preserve">FT-14, FT-24, FT-29, FT-31, FT-33</t>
  </si>
  <si>
    <t xml:space="preserve">Shows the score of the submitted topic test, per-question correctness and — at 70% or more — the correct answers, and tells the learner whether the topic is passed. Route: /learn/tests/:attemptId/result?topic=… · RequireAuth</t>
  </si>
  <si>
    <t xml:space="preserve">WBS-018 — Mock &amp; Placement Tests</t>
  </si>
  <si>
    <t xml:space="preserve">FT-34, FT-35</t>
  </si>
  <si>
    <t xml:space="preserve">Lists the published mock tests and the one-time placement test, so the learner can estimate a starting level or practise under exam conditions. Route: /tests (proposed)</t>
  </si>
  <si>
    <t xml:space="preserve">WBS-019 — Practice Test Catalog</t>
  </si>
  <si>
    <t xml:space="preserve">Lets the learner browse practice tests by skill and open one in practice or exam mode. Route: /practice-tests · RequireAuth</t>
  </si>
  <si>
    <t xml:space="preserve">WBS-020 — Practice Workspaces (Reading, Listening, Writing, Speaking)</t>
  </si>
  <si>
    <t xml:space="preserve">Gives a full-screen workspace for one practice test per skill, with tools for highlighting, notes, a small dictionary and flashcards. Route: /practice/test/:testId · /practice/listening/:testId · /practice/writing/:taskId · /practice/speaking/:cueId · RequireAuth</t>
  </si>
  <si>
    <t xml:space="preserve">Complex</t>
  </si>
  <si>
    <t xml:space="preserve">WBS-021 — Classroom</t>
  </si>
  <si>
    <t xml:space="preserve">— (mentor classes are not in the SRS)</t>
  </si>
  <si>
    <t xml:space="preserve">Shows the learner's class, teacher and a calendar of class sessions with a link to join or open each session. Route: /classroom · RequireAuth</t>
  </si>
  <si>
    <t xml:space="preserve">WBS-022 — Classroom Lesson Workspace</t>
  </si>
  <si>
    <t xml:space="preserve">Shows one class session with its materials, a short quiz and the topic vocabulary to review. Route: /lessons/:lessonId · RequireAuth</t>
  </si>
  <si>
    <t xml:space="preserve">WBS-023 — Profile &amp; Account</t>
  </si>
  <si>
    <t xml:space="preserve">Self-study / Account</t>
  </si>
  <si>
    <t xml:space="preserve">FT-05, FT-06</t>
  </si>
  <si>
    <t xml:space="preserve">Lets a user keep account details and the learner profile up to date and manage linked sign-in providers. Route: /account/profile</t>
  </si>
  <si>
    <t xml:space="preserve">WBS-024 — Learning Goals</t>
  </si>
  <si>
    <t xml:space="preserve">FT-09, FT-35</t>
  </si>
  <si>
    <t xml:space="preserve">Lets the learner set one active goal — target band, exam date and daily study minutes — and pause, resume or close it, so progress can be tracked against a target. Route: /account/goals</t>
  </si>
  <si>
    <t xml:space="preserve">WBS-025 — Subscription &amp; Points</t>
  </si>
  <si>
    <t xml:space="preserve">FT-10, FT-11, FT-12, FT-14</t>
  </si>
  <si>
    <t xml:space="preserve">Shows the learner's subscription, examiner credits, point balance and history, and lets the learner redeem an activation key for Premium days or points. Route: /account/subscription</t>
  </si>
  <si>
    <t xml:space="preserve">WBS-026 — Activity &amp; Streak</t>
  </si>
  <si>
    <t xml:space="preserve">FT-44, FT-45</t>
  </si>
  <si>
    <t xml:space="preserve">Shows the learner's study activities and current and longest streak, so the learner can keep a daily study habit. Route: /account/activity</t>
  </si>
  <si>
    <t xml:space="preserve">WBS-027 — Notification Centre</t>
  </si>
  <si>
    <t xml:space="preserve">FT-51, FT-52, FT-53, FT-54</t>
  </si>
  <si>
    <t xml:space="preserve">Lists the learner's in-app notifications and lets the learner choose channels, reminder time and registered devices. Route: /notifications</t>
  </si>
  <si>
    <t xml:space="preserve">WBS-028 — Vocabulary</t>
  </si>
  <si>
    <t xml:space="preserve">FT-36, FT-43</t>
  </si>
  <si>
    <t xml:space="preserve">Lets the learner look up topic vocabulary, hear the pronunciation and save words to review later. Route: /vocabulary · Public page</t>
  </si>
  <si>
    <t xml:space="preserve">WBS-029 — Video Library</t>
  </si>
  <si>
    <t xml:space="preserve">FT-37, FT-38</t>
  </si>
  <si>
    <t xml:space="preserve">Lists the published learning videos with the learner's progress, so the learner can pick one to watch. Route: /library/videos</t>
  </si>
  <si>
    <t xml:space="preserve">WBS-030 — Video Player</t>
  </si>
  <si>
    <t xml:space="preserve">FT-37, FT-38, FT-39, FT-40, FT-41</t>
  </si>
  <si>
    <t xml:space="preserve">Plays a learning video with its segment transcript, remembers progress, saves segments and lets the learner practise shadowing and dictation on a segment. Route: /library/videos/:videoId</t>
  </si>
  <si>
    <t xml:space="preserve">WBS-031 — My Notes</t>
  </si>
  <si>
    <t xml:space="preserve">FT-42</t>
  </si>
  <si>
    <t xml:space="preserve">Lets the learner write private notes, optionally linked to a knowledge point or a Reading section. Route: /library/notes</t>
  </si>
  <si>
    <t xml:space="preserve">WBS-032 — Flashcards &amp; Decks</t>
  </si>
  <si>
    <t xml:space="preserve">FT-43</t>
  </si>
  <si>
    <t xml:space="preserve">Lets the learner create flashcards, group them into decks and study a deck card by card. Route: /library/flashcards</t>
  </si>
  <si>
    <t xml:space="preserve">WBS-033 — Game Lobby</t>
  </si>
  <si>
    <t xml:space="preserve">FT-46, FT-47, FT-48</t>
  </si>
  <si>
    <t xml:space="preserve">Lets the learner start a single-player game, create or join a multiplayer room, and see past sessions. Route: /games</t>
  </si>
  <si>
    <t xml:space="preserve">WBS-034 — Single-player Game</t>
  </si>
  <si>
    <t xml:space="preserve">FT-46</t>
  </si>
  <si>
    <t xml:space="preserve">Plays a single-player vocabulary or grammar game item by item on a frozen content snapshot and shows the final score. Route: /games/sessions/:sessionId</t>
  </si>
  <si>
    <t xml:space="preserve">WBS-035 — Game Room</t>
  </si>
  <si>
    <t xml:space="preserve">FT-47</t>
  </si>
  <si>
    <t xml:space="preserve">Gathers players in a multiplayer room, lets the host start the match and plays it in real time over WebSocket, ending with a ranking. Route: /games/rooms/:roomId</t>
  </si>
  <si>
    <t xml:space="preserve">WBS-036 — Community Feed</t>
  </si>
  <si>
    <t xml:space="preserve">FT-49, FT-50</t>
  </si>
  <si>
    <t xml:space="preserve">Lists active community posts newest first and lets users write a post, react, and — for Administrators — hide posts that break the rules. Route: /community</t>
  </si>
  <si>
    <t xml:space="preserve">WBS-037 — Post Detail</t>
  </si>
  <si>
    <t xml:space="preserve">Shows one post with its comments and lets users comment, reply, edit or delete their own content, and Administrators hide or restore it. Route: /community/posts/:postId</t>
  </si>
  <si>
    <t xml:space="preserve">WBS-038 — User Management</t>
  </si>
  <si>
    <t xml:space="preserve">Staff</t>
  </si>
  <si>
    <t xml:space="preserve">FT-07, FT-08</t>
  </si>
  <si>
    <t xml:space="preserve">Lets an Administrator find accounts, create staff or learner accounts with roles, and open an account to manage it. Route: /admin/users · ADMIN home</t>
  </si>
  <si>
    <t xml:space="preserve">WBS-039 — User Detail</t>
  </si>
  <si>
    <t xml:space="preserve">FT-04, FT-05, FT-08, FT-09, FT-10, FT-12, FT-13</t>
  </si>
  <si>
    <t xml:space="preserve">Lets an Administrator change one account's details, roles and status, and review its profile, goals, linked providers and account action tokens. Route: /admin/users/:userId</t>
  </si>
  <si>
    <t xml:space="preserve">WBS-040 — Plans &amp; Key Products</t>
  </si>
  <si>
    <t xml:space="preserve">FT-10, FT-14</t>
  </si>
  <si>
    <t xml:space="preserve">Lets an Administrator define plans and the key products that activation keys grant (Premium days with examiner credits, or points). Route: /admin/access/plans</t>
  </si>
  <si>
    <t xml:space="preserve">WBS-041 — Activation Keys</t>
  </si>
  <si>
    <t xml:space="preserve">FT-11</t>
  </si>
  <si>
    <t xml:space="preserve">Lets staff generate a batch of activation keys for a key product, copy them once, and revoke keys that were lost before use. Route: /admin/access/keys · SALES_STAFF home</t>
  </si>
  <si>
    <t xml:space="preserve">WBS-042 — Points &amp; Subscriptions</t>
  </si>
  <si>
    <t xml:space="preserve">FT-10, FT-12, FT-14</t>
  </si>
  <si>
    <t xml:space="preserve">Lets an Administrator grant subscription days and examiner credits, adjust or refund a learner's points with a reason, and consume an examiner credit. Route: /admin/access/accounts</t>
  </si>
  <si>
    <t xml:space="preserve">WBS-043 — Topics &amp; Knowledge Points</t>
  </si>
  <si>
    <t xml:space="preserve">FT-15</t>
  </si>
  <si>
    <t xml:space="preserve">Lets an author maintain the topic tree of each skill and the knowledge points each topic teaches. Route: /author/topics · CONTENT_AUTHOR home</t>
  </si>
  <si>
    <t xml:space="preserve">WBS-044 — Question Bank</t>
  </si>
  <si>
    <t xml:space="preserve">FT-16</t>
  </si>
  <si>
    <t xml:space="preserve">Lets an author create versioned questions with answer, explanation, hint, purpose and knowledge points, and filter the bank by purpose and skill. Route: /author/questions</t>
  </si>
  <si>
    <t xml:space="preserve">WBS-045 — Packages</t>
  </si>
  <si>
    <t xml:space="preserve">FT-17, FT-34, FT-35</t>
  </si>
  <si>
    <t xml:space="preserve">Lets an author group questions into versioned packages — practice sets, tests and quizzes — and publish them after the system checks question ownership and purpose. Route: /author/packages</t>
  </si>
  <si>
    <t xml:space="preserve">WBS-046 — Media Assets</t>
  </si>
  <si>
    <t xml:space="preserve">FT-18, FT-24</t>
  </si>
  <si>
    <t xml:space="preserve">Lets an author register passage text, images and Listening audio as assets and link them to sections or question versions. Route: /author/assets</t>
  </si>
  <si>
    <t xml:space="preserve">WBS-047 — Lesson Builder</t>
  </si>
  <si>
    <t xml:space="preserve">FT-19</t>
  </si>
  <si>
    <t xml:space="preserve">Lets an author build a topic's ordered lessons from theory, assets, exercise blocks and essay blocks, and publish them to the learning path. Route: /author/lessons/:lessonId</t>
  </si>
  <si>
    <t xml:space="preserve">WBS-048 — Vocabulary Management</t>
  </si>
  <si>
    <t xml:space="preserve">FT-36</t>
  </si>
  <si>
    <t xml:space="preserve">Lets an author add vocabulary items and their senses to the catalog used by lessons, videos, flashcards and games. Route: /author/vocabulary</t>
  </si>
  <si>
    <t xml:space="preserve">WBS-049 — Video Management</t>
  </si>
  <si>
    <t xml:space="preserve">FT-37</t>
  </si>
  <si>
    <t xml:space="preserve">Lets an author register a YouTube learning video, split it into timed segments with transcripts and linked words, and publish it. Route: /author/videos</t>
  </si>
  <si>
    <t xml:space="preserve">WBS-050 — Grading Workspace</t>
  </si>
  <si>
    <t xml:space="preserve">FT-32, FT-52</t>
  </si>
  <si>
    <t xml:space="preserve">Lets an Examiner open a submitted attempt, enter item scores, errors and knowledge-point judgments, and finalize the result so it reaches the learner's progress. Route: /examiner/grading · EXAMINER home</t>
  </si>
  <si>
    <t xml:space="preserve">WBS-051 — Backend build foundation</t>
  </si>
  <si>
    <t xml:space="preserve">Non-UI</t>
  </si>
  <si>
    <t xml:space="preserve">Infrastructure</t>
  </si>
  <si>
    <t xml:space="preserve">TDS infrastructure / common FDS conventions</t>
  </si>
  <si>
    <t xml:space="preserve">Maven multi-module, Java service folders and repeatable build baseline.</t>
  </si>
  <si>
    <t xml:space="preserve">HieuLT</t>
  </si>
  <si>
    <t xml:space="preserve">WBS-052 — Config Server and Eureka</t>
  </si>
  <si>
    <t xml:space="preserve">Centralized configuration and service registration/discovery.</t>
  </si>
  <si>
    <t xml:space="preserve">TungVPH</t>
  </si>
  <si>
    <t xml:space="preserve">WBS-053 — Gateway security and routing</t>
  </si>
  <si>
    <t xml:space="preserve">Security</t>
  </si>
  <si>
    <t xml:space="preserve">Route public APIs; verify external JWT; sign internal JWT; enforce roles/ownership and prevent internal-route exposure.</t>
  </si>
  <si>
    <t xml:space="preserve">WBS-054 — Docker and database baseline</t>
  </si>
  <si>
    <t xml:space="preserve">Local Docker Compose, service PostgreSQL schemas and Flyway migration foundation.</t>
  </si>
  <si>
    <t xml:space="preserve">WBS-055 — Frontend build and UI foundation</t>
  </si>
  <si>
    <t xml:space="preserve">Frontend Foundation</t>
  </si>
  <si>
    <t xml:space="preserve">React/TypeScript/Vite, Tailwind/shadcn setup, theme, aliases and lint/typecheck/build.</t>
  </si>
  <si>
    <t xml:space="preserve">WBS-056 — Session and shared request handling</t>
  </si>
  <si>
    <t xml:space="preserve">Memory-only access token, cookie refresh, single-flight retry, protected routes, timeout and shared error states.</t>
  </si>
  <si>
    <t xml:space="preserve">WBS-057 — Mastery and submission integrity</t>
  </si>
  <si>
    <t xml:space="preserve">Persist evidence and mastery, apply per-skill gates, enforce request replay and Writing point-charge consistency.</t>
  </si>
  <si>
    <t xml:space="preserve">WBS-058 — JOB-01 Assessment outbox relay</t>
  </si>
  <si>
    <t xml:space="preserve">Background Jobs</t>
  </si>
  <si>
    <t xml:space="preserve">FT-29, FT-31, FT-32</t>
  </si>
  <si>
    <t xml:space="preserve">Publishes the AssessmentCompleted.v2 events that grading writes to the outbox table, so a result reaches the learning service only after its database transaction has committed. Trigger: @Scheduled fixed delay 2 s (assessment.outbox.relay.poll-interval = PT2S); enabled by ASSESSMENT_OUTBOX_RELAY_ENABLED (default true)</t>
  </si>
  <si>
    <t xml:space="preserve">PhuPD</t>
  </si>
  <si>
    <t xml:space="preserve">WBS-059 — JOB-02 AssessmentCompleted.v2 consumer</t>
  </si>
  <si>
    <t xml:space="preserve">FT-26, FT-29, FT-34, FT-35</t>
  </si>
  <si>
    <t xml:space="preserve">Applies each final assessment result to the learner's progress: knowledge-point evidence, topic test assignment, topic pass and reviews for weak knowledge points. Trigger: @RabbitListener on queue learning.assessment-completed.v2 (manual ack); learning.messaging.consumer-enabled (default true)</t>
  </si>
  <si>
    <t xml:space="preserve">WBS-060 — JOB-03 AI grading worker</t>
  </si>
  <si>
    <t xml:space="preserve">FT-33, FT-34, FT-39</t>
  </si>
  <si>
    <t xml:space="preserve">Assessment AI essay grading worker for TOPIC_GATE / COURSE_GATE with examiner fallback; Speaking and MOCK AI remain future scope.</t>
  </si>
  <si>
    <t xml:space="preserve">WBS-061 — JOB-04 Grading-done alert dispatcher</t>
  </si>
  <si>
    <t xml:space="preserve">FT-51, FT-52</t>
  </si>
  <si>
    <t xml:space="preserve">Creates one grading-done notification when an examiner finalizes a result and hands it to the delivery channels the learner enabled. Trigger: RabbitMQ: own queue bound to assessment.events / assessment.completed.v2 [TBC: queue name]</t>
  </si>
  <si>
    <t xml:space="preserve">WBS-062 — JOB-05 Study reminder scheduler</t>
  </si>
  <si>
    <t xml:space="preserve">FT-44, FT-51, FT-53</t>
  </si>
  <si>
    <t xml:space="preserve">Creates at most one study reminder per learner per day, at the learner's preferred local time, on days without a qualifying study activity. Trigger: @Scheduled every [TBC] minutes; ShedLock or SKIP LOCKED to run on one instance [TBC]</t>
  </si>
  <si>
    <t xml:space="preserve">WBS-063 — JOB-06 Notification delivery retry</t>
  </si>
  <si>
    <t xml:space="preserve">FT-52, FT-53, FT-54</t>
  </si>
  <si>
    <t xml:space="preserve">Sends pending notification deliveries to Firebase Cloud Messaging or the Email Service and retries failed ones without creating a second notification. Trigger: @Scheduled every [TBC] s</t>
  </si>
  <si>
    <t xml:space="preserve">WBS-064 — JOB-07 Matchmaking queue sweeper</t>
  </si>
  <si>
    <t xml:space="preserve">FT-47, FT-48</t>
  </si>
  <si>
    <t xml:space="preserve">Groups waiting learners of the same game type into a room and starts the match, and removes learners who waited too long. Trigger: @Scheduled every [TBC] s</t>
  </si>
  <si>
    <t xml:space="preserve">WBS-065 — Requirements and traceability baseline</t>
  </si>
  <si>
    <t xml:space="preserve">Documentation</t>
  </si>
  <si>
    <t xml:space="preserve">Report 1 / SRS / RTW</t>
  </si>
  <si>
    <t xml:space="preserve">Review Vision &amp; Scope; specify requirements, business rules, data and traceability; reconcile later changes.</t>
  </si>
  <si>
    <t xml:space="preserve">WBS-066 — Content backend and curriculum</t>
  </si>
  <si>
    <t xml:space="preserve">Backend API</t>
  </si>
  <si>
    <t xml:space="preserve">FT-15, FT-16, FT-17, FT-18</t>
  </si>
  <si>
    <t xml:space="preserve">Content topics/KPs, questions, packages, media and lesson APIs; learner answers redacted.</t>
  </si>
  <si>
    <t xml:space="preserve">WBS-067 — Assessment backend</t>
  </si>
  <si>
    <t xml:space="preserve">FT-30, FT-31, FT-32</t>
  </si>
  <si>
    <t xml:space="preserve">Attempt lifecycle, answer persistence, objective grading and human grading endpoints.</t>
  </si>
  <si>
    <t xml:space="preserve">WBS-068 — Access backend</t>
  </si>
  <si>
    <t xml:space="preserve">Plans, keys, subscriptions, point balance and idempotent point changes.</t>
  </si>
  <si>
    <t xml:space="preserve">WBS-069 — User and auth backend</t>
  </si>
  <si>
    <t xml:space="preserve">FT-01, FT-02, FT-03, FT-04, FT-06</t>
  </si>
  <si>
    <t xml:space="preserve">Account/password/session/profile/goal APIs; email and OAuth acceptance excluded.</t>
  </si>
  <si>
    <t xml:space="preserve">WBS-070 — Java learning runtime</t>
  </si>
  <si>
    <t xml:space="preserve">FT-20, FT-21, FT-22</t>
  </si>
  <si>
    <t xml:space="preserve">Java service runtime, base learning/lesson endpoints and domain persistence; replaces Python. Integrity/gate work WBS-057 and result consumer WBS-059 are separate.</t>
  </si>
  <si>
    <t xml:space="preserve">WBS-071 — Library and learner activity backend</t>
  </si>
  <si>
    <t xml:space="preserve">FT-36, FT-37, FT-40, FT-42, FT-43, FT-44</t>
  </si>
  <si>
    <t xml:space="preserve">Library vocab/video/notes/flashcards and learner activity/streak API migration; FE delivery remains separate.</t>
  </si>
  <si>
    <t xml:space="preserve">WBS-072 — Band course backend</t>
  </si>
  <si>
    <t xml:space="preserve">FT-15, FT-20, FT-55</t>
  </si>
  <si>
    <t xml:space="preserve">Course catalog, placement recommendation, course sequence and course final test.</t>
  </si>
  <si>
    <t xml:space="preserve">WBS-073 — Course selection and final-test FE</t>
  </si>
  <si>
    <t xml:space="preserve">FT-20, FT-55</t>
  </si>
  <si>
    <t xml:space="preserve">Add course list/selection, recommendation labels and course-final-test UI over the new BE API.</t>
  </si>
  <si>
    <t xml:space="preserve">WBS-074 — Multi-skill lesson and Practice backend</t>
  </si>
  <si>
    <t xml:space="preserve">FT-21, FT-27, FT-31, FT-33, FT-55</t>
  </si>
  <si>
    <t xml:space="preserve">Mixed R/L/W lesson/Practice contracts and per-skill clearance; optional Practice essay point/quota rules. Assessment AI worker is WBS-060 and course model is WBS-072.</t>
  </si>
  <si>
    <t xml:space="preserve">WBS-075 — Multi-skill FE contract alignment</t>
  </si>
  <si>
    <t xml:space="preserve">Frontend Integration</t>
  </si>
  <si>
    <t xml:space="preserve">FT-21, FT-27, FT-31, FT-33</t>
  </si>
  <si>
    <t xml:space="preserve">Shared API methods, skills[] DTO adapters, per-skill state mappings and gate/error translation. Screen presentation changes remain in WBS-008..017/073.</t>
  </si>
  <si>
    <t xml:space="preserve">WBS-076 — Integration and system verification</t>
  </si>
  <si>
    <t xml:space="preserve">Testing</t>
  </si>
  <si>
    <t xml:space="preserve">Fresh browser core flow, course/multi-skill regression, keyboard/a11y, real-media/LLM and negative security tests.</t>
  </si>
  <si>
    <t xml:space="preserve">WBS-077 — Functional design and technical documentation</t>
  </si>
  <si>
    <t xml:space="preserve">FDS v0.4 / TDS / SRS handoff</t>
  </si>
  <si>
    <t xml:space="preserve">Maintain screen/job specifications and architecture; synchronize course/multi-skill requirements and diagrams.</t>
  </si>
  <si>
    <t xml:space="preserve">WBS-078 — Environment and deployment verification</t>
  </si>
  <si>
    <t xml:space="preserve">TDS / test environment</t>
  </si>
  <si>
    <t xml:space="preserve">Reproducible Docker configuration, seed reset, runbook, test prerequisites and operational checks.</t>
  </si>
  <si>
    <t xml:space="preserve">WBS-079 — Mock prototype work product</t>
  </si>
  <si>
    <t xml:space="preserve">FDS §2.7, §2.19-2.22, §2.28</t>
  </si>
  <si>
    <t xml:space="preserve">Build and review existing mock workspaces/classroom/overview/vocabulary UX separately from product integration.</t>
  </si>
  <si>
    <t xml:space="preserve">WBS-080 — Game service initial backend</t>
  </si>
  <si>
    <t xml:space="preserve">Game</t>
  </si>
  <si>
    <t xml:space="preserve">Initialize the Game module and initial backend code; complete game flows, matchmaking and acceptance are separate future work.</t>
  </si>
  <si>
    <t xml:space="preserve">WBS-081 — Community service initial backend</t>
  </si>
  <si>
    <t xml:space="preserve">Community</t>
  </si>
  <si>
    <t xml:space="preserve">Community draft scope</t>
  </si>
  <si>
    <t xml:space="preserve">Initialize the Community module and initial backend code; full learner community features and acceptance are separate future work.</t>
  </si>
  <si>
    <t xml:space="preserve">WBS-082 — Notification service scaffold</t>
  </si>
  <si>
    <t xml:space="preserve">Notification</t>
  </si>
  <si>
    <t xml:space="preserve">Create the service module and shared configuration/routing baseline only; notification delivery, reminders and retries remain future scope.</t>
  </si>
  <si>
    <t xml:space="preserve">Iteration summary — estimate points; operational acceptance tracked separately</t>
  </si>
  <si>
    <t xml:space="preserve">Work packages</t>
  </si>
  <si>
    <t xml:space="preserve">Estimate points</t>
  </si>
  <si>
    <t xml:space="preserve">Blocked</t>
  </si>
  <si>
    <t xml:space="preserve">Total</t>
  </si>
  <si>
    <t xml:space="preserve">Proposed iteration plan — calendar dates estimated, not an approved schedule</t>
  </si>
  <si>
    <t xml:space="preserve">Start</t>
  </si>
  <si>
    <t xml:space="preserve">Finish</t>
  </si>
  <si>
    <t xml:space="preserve">Objective</t>
  </si>
  <si>
    <t xml:space="preserve">Entry dependencies</t>
  </si>
  <si>
    <t xml:space="preserve">Exit / acceptance</t>
  </si>
  <si>
    <t xml:space="preserve">Lead</t>
  </si>
  <si>
    <t xml:space="preserve">Requirements and service contracts; Content before Learning/Assessment; BE endpoints before FE HTTP.</t>
  </si>
  <si>
    <t xml:space="preserve">Align course/multi-skill FE, clear core flow gaps, reconcile docs; integrate priority account/library screens.</t>
  </si>
  <si>
    <t xml:space="preserve">Iteration 1 APIs; C-006/C-008 contract reconciliation.</t>
  </si>
  <si>
    <t xml:space="preserve">Unassisted browser + course/multi-skill regression evidence, updated RTW/FDS/Test Plan and reviewed findings.</t>
  </si>
  <si>
    <t xml:space="preserve">Proposed extended staff, notification, games/community and remaining screens, after prioritization.</t>
  </si>
  <si>
    <t xml:space="preserve">Validated core flow and confirmed scope; external providers/data available.</t>
  </si>
  <si>
    <t xml:space="preserve">Team ownership — proposed allocations based on the supplied roles</t>
  </si>
  <si>
    <t xml:space="preserve">Member</t>
  </si>
  <si>
    <t xml:space="preserve">Role</t>
  </si>
  <si>
    <t xml:space="preserve">Primary scope</t>
  </si>
  <si>
    <t xml:space="preserve">Coordinates with</t>
  </si>
  <si>
    <t xml:space="preserve">Historical attribution</t>
  </si>
  <si>
    <t xml:space="preserve">Approval authority</t>
  </si>
  <si>
    <t xml:space="preserve">Capacity assumption</t>
  </si>
  <si>
    <t xml:space="preserve">BE</t>
  </si>
  <si>
    <t xml:space="preserve">User/Auth + Assessment + outbox</t>
  </si>
  <si>
    <t xml:space="preserve">HieuLT / HoangNV</t>
  </si>
  <si>
    <t xml:space="preserve">PhuPham70 matches PhuPD by supplied name; other assignments inferred.</t>
  </si>
  <si>
    <t xml:space="preserve">TimeLog and project approval: LinhNDM (PM / supervisor).</t>
  </si>
  <si>
    <t xml:space="preserve">Student project: around 2–4 h/day; no actual timesheets.</t>
  </si>
  <si>
    <t xml:space="preserve">FE lead</t>
  </si>
  <si>
    <t xml:space="preserve">FE auth, learning, course and multi-skill alignment</t>
  </si>
  <si>
    <t xml:space="preserve">SonLT / HieuLT</t>
  </si>
  <si>
    <t xml:space="preserve">Nguyen Viet Hoang / hoangnv31 observed in Git.</t>
  </si>
  <si>
    <t xml:space="preserve">FE review lead; no historic formal approval invented.</t>
  </si>
  <si>
    <t xml:space="preserve">Estimated daily entries capped at 8 h/person.</t>
  </si>
  <si>
    <t xml:space="preserve">BE + FE</t>
  </si>
  <si>
    <t xml:space="preserve">Library/activity follow-up, prototype, FDS and system QA</t>
  </si>
  <si>
    <t xml:space="preserve">HoangNV / TungVPH</t>
  </si>
  <si>
    <t xml:space="preserve">sonledz22 observed in Git.</t>
  </si>
  <si>
    <t xml:space="preserve">Cross-review/testing owner (proposed).</t>
  </si>
  <si>
    <t xml:space="preserve">Work dates/hours reconstructed; overlap checked.</t>
  </si>
  <si>
    <t xml:space="preserve">Tech lead / task assignment</t>
  </si>
  <si>
    <t xml:space="preserve">Architecture, Java Learning, course/multi-skill and coordination</t>
  </si>
  <si>
    <t xml:space="preserve">All members</t>
  </si>
  <si>
    <t xml:space="preserve">hieuLeFpt / Lê Trung Hiếu observed in Git.</t>
  </si>
  <si>
    <t xml:space="preserve">Technical coordination and task allocation; PM / project reviewer: LinhNDM.</t>
  </si>
  <si>
    <t xml:space="preserve">AI-authored commits attributed only as proposed human oversight.</t>
  </si>
  <si>
    <t xml:space="preserve">Content, Access, infrastructure and operational checks</t>
  </si>
  <si>
    <t xml:space="preserve">PhuPD / HieuLT</t>
  </si>
  <si>
    <t xml:space="preserve">Git account mapping not confirmed; assignments are proposed.</t>
  </si>
  <si>
    <t xml:space="preserve">Backend review/implementation allocation (proposed).</t>
  </si>
  <si>
    <t xml:space="preserve">No unsupported historic Git identity asserted.</t>
  </si>
  <si>
    <t xml:space="preserve">LinhNDM</t>
  </si>
  <si>
    <t xml:space="preserve">PM / project supervisor</t>
  </si>
  <si>
    <t xml:space="preserve">Project oversight, review and approval</t>
  </si>
  <si>
    <t xml:space="preserve">All team</t>
  </si>
  <si>
    <t xml:space="preserve">Confirmed by user</t>
  </si>
  <si>
    <t xml:space="preserve">TimeLogs and project review</t>
  </si>
  <si>
    <t xml:space="preserve">Supervisor; five-member implementation team unchanged</t>
  </si>
  <si>
    <t xml:space="preserve">Basis and interpretation</t>
  </si>
  <si>
    <t xml:space="preserve">Item</t>
  </si>
  <si>
    <t xml:space="preserve">Value / rule</t>
  </si>
  <si>
    <t xml:space="preserve">Source</t>
  </si>
  <si>
    <t xml:space="preserve">Version / date</t>
  </si>
  <si>
    <t xml:space="preserve">Owner</t>
  </si>
  <si>
    <t xml:space="preserve">Limit</t>
  </si>
  <si>
    <t xml:space="preserve">Project start</t>
  </si>
  <si>
    <t xml:space="preserve">09/09/2026</t>
  </si>
  <si>
    <t xml:space="preserve">Report 1 Vision &amp; Scope</t>
  </si>
  <si>
    <t xml:space="preserve">Source date</t>
  </si>
  <si>
    <t xml:space="preserve">Earlier than repo creation; planning work can precede Git.</t>
  </si>
  <si>
    <t xml:space="preserve">Repo creation</t>
  </si>
  <si>
    <t xml:space="preserve">14/09/2026</t>
  </si>
  <si>
    <t xml:space="preserve">GitHub repository metadata</t>
  </si>
  <si>
    <t xml:space="preserve">Backend + Frontend</t>
  </si>
  <si>
    <t xml:space="preserve">First commit is not necessarily first work day.</t>
  </si>
  <si>
    <t xml:space="preserve">Snapshot</t>
  </si>
  <si>
    <t xml:space="preserve">BE e24d9eef; FE 3b933051</t>
  </si>
  <si>
    <t xml:space="preserve">Git evidence</t>
  </si>
  <si>
    <t xml:space="preserve">Current later documents are reference only, not dated evidence at cutoff.</t>
  </si>
  <si>
    <t xml:space="preserve">Est. vs actual</t>
  </si>
  <si>
    <t xml:space="preserve">Points in G; actual points J blank</t>
  </si>
  <si>
    <t xml:space="preserve">Uploaded V1 + reconstructed task complexity</t>
  </si>
  <si>
    <t xml:space="preserve">3 / 5 / 8 points</t>
  </si>
  <si>
    <t xml:space="preserve">Estimated</t>
  </si>
  <si>
    <t xml:space="preserve">No conversion between story points and hours/person-days.</t>
  </si>
  <si>
    <t xml:space="preserve">Implemented work-package scope</t>
  </si>
  <si>
    <t xml:space="preserve">Code/commit/report cited per row</t>
  </si>
  <si>
    <t xml:space="preserve">Prototype verification has separate scope</t>
  </si>
  <si>
    <t xml:space="preserve">Assigned member</t>
  </si>
  <si>
    <t xml:space="preserve">Implementation only</t>
  </si>
  <si>
    <t xml:space="preserve">Not UAT approval or automatic end-to-end product acceptance.</t>
  </si>
  <si>
    <t xml:space="preserve">Source access</t>
  </si>
  <si>
    <t xml:space="preserve">backend/capstone-docs; frontend/plans</t>
  </si>
  <si>
    <t xml:space="preserve">Read/reference</t>
  </si>
  <si>
    <t xml:space="preserve">Large SRS/TDS/FDS binaries unavailable via connector; content checked through source scripts and repository reports.</t>
  </si>
  <si>
    <t xml:space="preserve">Dashboard / Scope review</t>
  </si>
  <si>
    <t xml:space="preserve">Uploaded workbook</t>
  </si>
  <si>
    <t xml:space="preserve">09/10/2026</t>
  </si>
  <si>
    <t xml:space="preserve">Scope approver label normalized to LinhNDM. Scope F effort-ratio interpretation remains open (D-008).</t>
  </si>
  <si>
    <t xml:space="preserve">Q&amp;A — IELTSPath Phase 1</t>
  </si>
  <si>
    <t xml:space="preserve">Log ALL questions — technical, business, process  ·  Track from Open → Answered → Closed  ·  Never delete a row</t>
  </si>
  <si>
    <t xml:space="preserve">Date</t>
  </si>
  <si>
    <t xml:space="preserve">Question</t>
  </si>
  <si>
    <t xml:space="preserve">Raised By</t>
  </si>
  <si>
    <t xml:space="preserve">Directed To</t>
  </si>
  <si>
    <t xml:space="preserve">Priority</t>
  </si>
  <si>
    <t xml:space="preserve">Due Date</t>
  </si>
  <si>
    <t xml:space="preserve">Answer / Resolution</t>
  </si>
  <si>
    <t xml:space="preserve">Answered By</t>
  </si>
  <si>
    <t xml:space="preserve">Answered Date</t>
  </si>
  <si>
    <t xml:space="preserve">Q-001</t>
  </si>
  <si>
    <t xml:space="preserve">What does Phase 1 cover, and how does it relate to WBS Iteration 1?</t>
  </si>
  <si>
    <t xml:space="preserve">High</t>
  </si>
  <si>
    <t xml:space="preserve">Open</t>
  </si>
  <si>
    <t xml:space="preserve">Q-002</t>
  </si>
  <si>
    <t xml:space="preserve">Who are the Phase 1 users and what problem does IELTSPath address?</t>
  </si>
  <si>
    <t xml:space="preserve">Answered</t>
  </si>
  <si>
    <t xml:space="preserve">Q-003</t>
  </si>
  <si>
    <t xml:space="preserve">Which implementation is the current learning backend?</t>
  </si>
  <si>
    <t xml:space="preserve">Java learning-service owns lesson progress, mastery, review, practice and assessment-result consumption. The former Python AI Learning flow is superseded.</t>
  </si>
  <si>
    <t xml:space="preserve">Q-004</t>
  </si>
  <si>
    <t xml:space="preserve">What authentication and authorization contract must FE follow?</t>
  </si>
  <si>
    <t xml:space="preserve">Use Gateway APIs, Bearer access token and the existing refresh flow. Gateway validates external JWT and signs an internal JWT. Protected services enforce role and ownership.</t>
  </si>
  <si>
    <t xml:space="preserve">Q-005</t>
  </si>
  <si>
    <t xml:space="preserve">When does a learner unlock a topic test?</t>
  </si>
  <si>
    <t xml:space="preserve">Core final-test assignment requires all relevant lessons completed, Practice cleared and applicable reviews closed; topic pass requires &gt;=70%. The 07/10 multi-skill BE clears Practice per objective skill; FE must align to updated contracts.</t>
  </si>
  <si>
    <t xml:space="preserve">Q-006</t>
  </si>
  <si>
    <t xml:space="preserve">Are live Writing AI grading and points already fully accepted?</t>
  </si>
  <si>
    <t xml:space="preserve">Lesson essay integration exists: at least 3 points, 3-point charge, request replay and &gt;=60-second FE timeout. Live LLM quality and complete paid retry behaviour need separate acceptance evidence.</t>
  </si>
  <si>
    <t xml:space="preserve">Q-007</t>
  </si>
  <si>
    <t xml:space="preserve">Is Listening playback ready for the Phase 1 demo?</t>
  </si>
  <si>
    <t xml:space="preserve">AudioBlock is integrated. Provide valid media and test playback. Transcript must appear only when the backend exposes it after the permitted submission.</t>
  </si>
  <si>
    <t xml:space="preserve">Q-008</t>
  </si>
  <si>
    <t xml:space="preserve">Does premium activation require online payment?</t>
  </si>
  <si>
    <t xml:space="preserve">No. Sales distribute activation cards outside the system. The system records activations and grants access or points; payment, invoicing and revenue reporting are excluded.</t>
  </si>
  <si>
    <t xml:space="preserve">Q-009</t>
  </si>
  <si>
    <t xml:space="preserve">Is a premium badge sufficient access protection?</t>
  </si>
  <si>
    <t xml:space="preserve">No. Current MVP has UI flags but no learning subscription enforcement. Decide whether Phase 1 is free-only or must add server-side entitlement before a paid release.</t>
  </si>
  <si>
    <t xml:space="preserve">Q-010</t>
  </si>
  <si>
    <t xml:space="preserve">Can the 05/10 E2E report be described as full browser acceptance?</t>
  </si>
  <si>
    <t xml:space="preserve">No. Fresh registration, test submit and result were exercised in browser. Lessons and Practice used API assistance; review was N/A. Full unassisted UI acceptance is still needed.</t>
  </si>
  <si>
    <t xml:space="preserve">Q-011</t>
  </si>
  <si>
    <t xml:space="preserve">Are band courses and placement recommendation available across BE and FE?</t>
  </si>
  <si>
    <t xml:space="preserve">Q-012</t>
  </si>
  <si>
    <t xml:space="preserve">Are mixed-skill lessons and free assessment AI essays completed?</t>
  </si>
  <si>
    <t xml:space="preserve">Backend multi-skill implementation merged 07/10 via 8d2d2bb (#47), with phase verification and documented concerns. FE mixed-skill/assessment-essay alignment and live-provider acceptance are not established. See WBS-074/075 and C-008.</t>
  </si>
  <si>
    <t xml:space="preserve">Q-013</t>
  </si>
  <si>
    <t xml:space="preserve">Should Speaking, full mock tests, mobile, games and community count as Phase 1 accepted features?</t>
  </si>
  <si>
    <t xml:space="preserve">They are product features in Vision &amp; Scope, but outside the priority test v1 boundary or lack full flow evidence. Confirm future delivery allocation; do not mark accepted from code presence alone.</t>
  </si>
  <si>
    <t xml:space="preserve">Q-014</t>
  </si>
  <si>
    <t xml:space="preserve">What are the official reporters, hours, dates and approvals for timesheets?</t>
  </si>
  <si>
    <t xml:space="preserve">Five implementation members confirmed. PM and project reviewer are both LinhNDM; HieuLT remains tech lead/task coordinator. TimeLogs contains 48 consecutively numbered entries totaling 211.5 hours. PM identity is confirmed; actual member timesheets and historical approval records still require reconciliation.</t>
  </si>
  <si>
    <t xml:space="preserve">Q-015</t>
  </si>
  <si>
    <t xml:space="preserve">Have the updated SRS, TDS and test plan been formally approved?</t>
  </si>
  <si>
    <t xml:space="preserve">TimeLogs — IELTSPath Phase 1</t>
  </si>
  <si>
    <t xml:space="preserve">Log time daily  ·  Link every entry to a WBS Ref  ·  Approved by PM  ·  # Hours must be filled — leave no blank</t>
  </si>
  <si>
    <t xml:space="preserve">Reporter</t>
  </si>
  <si>
    <t xml:space="preserve">WBS Ref</t>
  </si>
  <si>
    <t xml:space="preserve">Task Description</t>
  </si>
  <si>
    <t xml:space="preserve">Activity</t>
  </si>
  <si>
    <t xml:space="preserve"># Hours</t>
  </si>
  <si>
    <t xml:space="preserve">Product / Work Product</t>
  </si>
  <si>
    <t xml:space="preserve">Updated</t>
  </si>
  <si>
    <t xml:space="preserve">Hours by activity</t>
  </si>
  <si>
    <t xml:space="preserve">Hours</t>
  </si>
  <si>
    <t xml:space="preserve">Training</t>
  </si>
  <si>
    <t xml:space="preserve">Analyzing</t>
  </si>
  <si>
    <t xml:space="preserve">Designing</t>
  </si>
  <si>
    <t xml:space="preserve">Coding</t>
  </si>
  <si>
    <t xml:space="preserve">Reviewing</t>
  </si>
  <si>
    <t xml:space="preserve">Deploying</t>
  </si>
  <si>
    <t xml:space="preserve">Meeting</t>
  </si>
  <si>
    <t xml:space="preserve">Hours by member and review status</t>
  </si>
  <si>
    <t xml:space="preserve">Approved</t>
  </si>
  <si>
    <t xml:space="preserve">Submitted</t>
  </si>
  <si>
    <t xml:space="preserve">Pending</t>
  </si>
  <si>
    <t xml:space="preserve">TimeLog tracking notes</t>
  </si>
  <si>
    <t xml:space="preserve">Defects — IELTSPath Phase 1</t>
  </si>
  <si>
    <t xml:space="preserve">Log ALL defects found in any review or test  ·  Severity: Critical / High / Medium / Low  ·  Status: Pending → Open → Fixed → Closed</t>
  </si>
  <si>
    <t xml:space="preserve">Date Found</t>
  </si>
  <si>
    <t xml:space="preserve">Defect Description</t>
  </si>
  <si>
    <t xml:space="preserve">Steps to Reproduce</t>
  </si>
  <si>
    <t xml:space="preserve">Expected Result</t>
  </si>
  <si>
    <t xml:space="preserve">Actual Result</t>
  </si>
  <si>
    <t xml:space="preserve">Severity</t>
  </si>
  <si>
    <t xml:space="preserve">Product</t>
  </si>
  <si>
    <t xml:space="preserve">Product Details</t>
  </si>
  <si>
    <t xml:space="preserve">Assigned By</t>
  </si>
  <si>
    <t xml:space="preserve">Assigned To</t>
  </si>
  <si>
    <t xml:space="preserve">Fixed Date</t>
  </si>
  <si>
    <t xml:space="preserve">Fixed In Version</t>
  </si>
  <si>
    <t xml:space="preserve">D-001</t>
  </si>
  <si>
    <t xml:space="preserve">Topic lesson mapper omitted practiceStatus</t>
  </si>
  <si>
    <t xml:space="preserve">Complete lessons while Practice is REQUIRED; open topic.</t>
  </si>
  <si>
    <t xml:space="preserve">Show remaining Practice gate and a clear next action.</t>
  </si>
  <si>
    <t xml:space="preserve">Gate state was dropped from mapped lessons.</t>
  </si>
  <si>
    <t xml:space="preserve">System Test</t>
  </si>
  <si>
    <t xml:space="preserve">Frontend</t>
  </si>
  <si>
    <t xml:space="preserve">Topic mapper and final-test checklist</t>
  </si>
  <si>
    <t xml:space="preserve">Fixed</t>
  </si>
  <si>
    <t xml:space="preserve">FE 6716dd9 (main 3b933051)</t>
  </si>
  <si>
    <t xml:space="preserve">frontend/plans/reports/e2e-main-flow-261005/fix-ux-cta-gates.md; frontend/plans/reports/e2e-practice-261005/report.md confirms gap closed; full fresh browser retest still open. | Assignment proposed from team roles; not a historical signed assignment. Fixed indicates documented code fix; separate browser retest required, not Closed.</t>
  </si>
  <si>
    <t xml:space="preserve">D-002</t>
  </si>
  <si>
    <t xml:space="preserve">PRACTICE_REQUIRED error lacked actionable handling</t>
  </si>
  <si>
    <t xml:space="preserve">Try to assign a test while Practice is required.</t>
  </si>
  <si>
    <t xml:space="preserve">Explain remaining Practice, show lesson links, reload state.</t>
  </si>
  <si>
    <t xml:space="preserve">Generic locked message did not explain Practice requirement.</t>
  </si>
  <si>
    <t xml:space="preserve">Assignment error handling</t>
  </si>
  <si>
    <t xml:space="preserve">frontend/plans/reports/e2e-main-flow-261005/fix-ux-cta-gates.md; frontend/plans/reports/e2e-practice-261005/report.md | Assignment proposed from team roles; not a historical signed assignment. Fixed indicates documented code fix; separate browser retest required, not Closed.</t>
  </si>
  <si>
    <t xml:space="preserve">D-003</t>
  </si>
  <si>
    <t xml:space="preserve">Pending reviews were not hydrated in topic view</t>
  </si>
  <si>
    <t xml:space="preserve">Open a topic with pending review.</t>
  </si>
  <si>
    <t xml:space="preserve">Load reviews, display review checklist, hide locked test CTA.</t>
  </si>
  <si>
    <t xml:space="preserve">Learner could not see why the final test was locked.</t>
  </si>
  <si>
    <t xml:space="preserve">Topic ReviewGate / GET reviews</t>
  </si>
  <si>
    <t xml:space="preserve">frontend/plans/reports/e2e-main-flow-261005/fix-ux-cta-gates.md; frontend/plans/reports/e2e-practice-261005/report.md browser smoke only. | Assignment proposed from team roles; not a historical signed assignment. Fixed indicates documented code fix; separate browser retest required, not Closed.</t>
  </si>
  <si>
    <t xml:space="preserve">D-004</t>
  </si>
  <si>
    <t xml:space="preserve">Primary CTA click reliability requires fresh retest</t>
  </si>
  <si>
    <t xml:space="preserve">Use accessibility-ref click on login or test CTA.</t>
  </si>
  <si>
    <t xml:space="preserve">Accessible activation consistently reaches the button handler.</t>
  </si>
  <si>
    <t xml:space="preserve">Automation sometimes missed; Enter or JS click completed the action.</t>
  </si>
  <si>
    <t xml:space="preserve">Auth and learning primary CTA</t>
  </si>
  <si>
    <t xml:space="preserve">frontend/plans/reports/e2e-main-flow-261005/fix-ux-cta-gates.md records layout fix, but frontend/plans/reports/e2e-main-flow-261005-fresh/report.md repeats observation. Application-wide reproduction is not established. | Assignment proposed from team roles; not a historical signed assignment. Verification concern retained; not a confirmed universal product failure.</t>
  </si>
  <si>
    <t xml:space="preserve">D-005</t>
  </si>
  <si>
    <t xml:space="preserve">Assessment result accessibility snapshot omitted visible score details</t>
  </si>
  <si>
    <t xml:space="preserve">Inspect result page accessibility tree after submit.</t>
  </si>
  <si>
    <t xml:space="preserve">Score percent and correct-answer count are perceivable by assistive technology.</t>
  </si>
  <si>
    <t xml:space="preserve">Interactive snapshot lacked percent/count despite visible UI text.</t>
  </si>
  <si>
    <t xml:space="preserve">Result summary accessibility</t>
  </si>
  <si>
    <t xml:space="preserve">frontend/plans/reports/e2e-main-flow-261005/report.md item 5. Verify with a screen reader before confirming defect. | Assignment proposed from team roles; not a historical signed assignment.</t>
  </si>
  <si>
    <t xml:space="preserve">D-006</t>
  </si>
  <si>
    <t xml:space="preserve">Dashboard open-item formulas used incorrect status columns</t>
  </si>
  <si>
    <t xml:space="preserve">Populate Q&amp;A, Defects and Issues statuses; inspect Dashboard formulas.</t>
  </si>
  <si>
    <t xml:space="preserve">Count Issues K, Defects N and Q&amp;A K; risk priority from score F</t>
  </si>
  <si>
    <t xml:space="preserve">Corrected Dashboard uses the actual status columns and includes risks with score &gt;=4.</t>
  </si>
  <si>
    <t xml:space="preserve">Review</t>
  </si>
  <si>
    <t xml:space="preserve">Tracking workbook</t>
  </si>
  <si>
    <t xml:space="preserve">Dashboard D8, G5/C8 and F5/B8</t>
  </si>
  <si>
    <t xml:space="preserve">Report 2.1 Dashboard update — 09/10/2026</t>
  </si>
  <si>
    <t xml:space="preserve">Formulas recalculated and checked against source records. Awaiting LinhNDM review; not Closed.</t>
  </si>
  <si>
    <t xml:space="preserve">D-007</t>
  </si>
  <si>
    <t xml:space="preserve">Dashboard iteration formulas excluded WBS rows after row 68</t>
  </si>
  <si>
    <t xml:space="preserve">Compare WBS headers with Dashboard iteration COUNTIF/SUMIF formulas.</t>
  </si>
  <si>
    <t xml:space="preserve">Full WBS range recalculated and reconciled with WBS summary. Awaiting LinhNDM review; not Closed.</t>
  </si>
  <si>
    <t xml:space="preserve">D-008</t>
  </si>
  <si>
    <t xml:space="preserve">Scope completion percentage still represents effort usage</t>
  </si>
  <si>
    <t xml:space="preserve">Compare Scope headers and formulas with Dashboard deliverable counts.</t>
  </si>
  <si>
    <t xml:space="preserve">Count statuses in Scope G and treat effort usage separately from completion.</t>
  </si>
  <si>
    <t xml:space="preserve">Scope F and Dashboard B5:E5</t>
  </si>
  <si>
    <t xml:space="preserve">Dashboard deliverable counts repaired; remaining Scope F interpretation needs separate correction. Defect stays Open.</t>
  </si>
  <si>
    <t xml:space="preserve">Issues — IELTSPath Phase 1</t>
  </si>
  <si>
    <t xml:space="preserve">Issues = problems that have already occurred  ·  Risks = problems that might occur (see Risks sheet)  ·  Category: Technical / Process / Resource / Scope / External</t>
  </si>
  <si>
    <t xml:space="preserve">Issue Description</t>
  </si>
  <si>
    <t xml:space="preserve">Category</t>
  </si>
  <si>
    <t xml:space="preserve">Impact (Scope / Effort / Timeline)</t>
  </si>
  <si>
    <t xml:space="preserve">Resolution</t>
  </si>
  <si>
    <t xml:space="preserve">Closed Date</t>
  </si>
  <si>
    <t xml:space="preserve">I-001</t>
  </si>
  <si>
    <t xml:space="preserve">Phase 1 boundary is not explicitly baselined against WBS.</t>
  </si>
  <si>
    <t xml:space="preserve">Scope</t>
  </si>
  <si>
    <t xml:space="preserve">Acceptance and phase reporting may use different feature populations.</t>
  </si>
  <si>
    <t xml:space="preserve">capstone-docs/rp_5.0_test_plan/Report 5.0_TestPlan_IELTSPath_v1.docx; original WBS | Owner/deadline are proposed resolution assignments.</t>
  </si>
  <si>
    <t xml:space="preserve">I-002</t>
  </si>
  <si>
    <t xml:space="preserve">Actual member hours and approved timesheets were not supplied.</t>
  </si>
  <si>
    <t xml:space="preserve">Process</t>
  </si>
  <si>
    <t xml:space="preserve">Approved actual effort and productivity cannot be calculated.</t>
  </si>
  <si>
    <t xml:space="preserve">Validate the 48-row, 211.5-hour retrospective timesheet against member records, dates, hours and approval evidence. Review states are Pending, Submitted and Approved. See Q-014.</t>
  </si>
  <si>
    <t xml:space="preserve">Original tracking workbook contains unrelated sample hours and reporter. | Owner/deadline are proposed resolution assignments.</t>
  </si>
  <si>
    <t xml:space="preserve">I-003</t>
  </si>
  <si>
    <t xml:space="preserve">Full fresh-user browser Practice/review/pass-to-next-topic flow lacks evidence.</t>
  </si>
  <si>
    <t xml:space="preserve">Technical</t>
  </si>
  <si>
    <t xml:space="preserve">Core MVP acceptance has an unverified UI segment.</t>
  </si>
  <si>
    <t xml:space="preserve">Run without API gate clearance: lesson, first Practice submit, failed Practice review, pass test, next topic. Capture artifacts.</t>
  </si>
  <si>
    <t xml:space="preserve">frontend/plans/reports/e2e-main-flow-261005-fresh/report.md; frontend/plans/reports/e2e-practice-261005/report.md | Owner/deadline are proposed resolution assignments.</t>
  </si>
  <si>
    <t xml:space="preserve">I-004</t>
  </si>
  <si>
    <t xml:space="preserve">Live Writing feedback quality and Listening media acceptance are unverified.</t>
  </si>
  <si>
    <t xml:space="preserve">Writing quality and audio demo readiness cannot be concluded from UI/API wiring.</t>
  </si>
  <si>
    <t xml:space="preserve">Review real essays against rubric and play configured audio; verify timeout, points retry and transcript visibility.</t>
  </si>
  <si>
    <t xml:space="preserve">capstone-docs/rp_5.0_test_plan/Report 5.0_TestPlan_IELTSPath_v1.docx; frontend/plans/reports/e2e-practice-261005/report.md | Owner/deadline are proposed resolution assignments.</t>
  </si>
  <si>
    <t xml:space="preserve">I-005</t>
  </si>
  <si>
    <t xml:space="preserve">Specifications, permission/feature traceability and tests can target different gates and feature populations.</t>
  </si>
  <si>
    <t xml:space="preserve">I-006</t>
  </si>
  <si>
    <t xml:space="preserve">Premium enforcement is absent in the current learning MVP.</t>
  </si>
  <si>
    <t xml:space="preserve">Paid content cannot be accepted as protected solely by FE labels.</t>
  </si>
  <si>
    <t xml:space="preserve">Confirm free-only demo scope or implement entitlement checks as an approved follow-up before paid release.</t>
  </si>
  <si>
    <t xml:space="preserve">backend/docs/fe-main-flow-guide.md §6; capstone-docs/rp_5.0_test_plan/Report 5.0_TestPlan_IELTSPath_v1.docx | Owner/deadline are proposed resolution assignments.</t>
  </si>
  <si>
    <t xml:space="preserve">I-007</t>
  </si>
  <si>
    <t xml:space="preserve">New course/multi-skill BE contracts are not aligned with FE course APIs and full browser acceptance.</t>
  </si>
  <si>
    <t xml:space="preserve">End-to-end course recommendation and course-test completion remain incomplete.</t>
  </si>
  <si>
    <t xml:space="preserve">backend/plans/261006-2228-course-band-levels/plan.md final concerns; frontend/src/features/learning-path/api/learningApi.ts | Owner/deadline are proposed resolution assignments.</t>
  </si>
  <si>
    <t xml:space="preserve">I-008</t>
  </si>
  <si>
    <t xml:space="preserve">SRS/TDS metadata and formal approval records remain incomplete.</t>
  </si>
  <si>
    <t xml:space="preserve">Cannot substantiate a formally approved requirement/design baseline.</t>
  </si>
  <si>
    <t xml:space="preserve">I-009</t>
  </si>
  <si>
    <t xml:space="preserve">Reset UI wiring exists but email delivery and OAuth acceptance are not evidenced.</t>
  </si>
  <si>
    <t xml:space="preserve">External</t>
  </si>
  <si>
    <t xml:space="preserve">Real password recovery and social login must not be reported as accepted.</t>
  </si>
  <si>
    <t xml:space="preserve">Reset UI is in Iteration 1; verify real email token delivery separately. OAuth remains Iteration 3 and unavailable until implementation/QA. Do not report either external flow as accepted.</t>
  </si>
  <si>
    <t xml:space="preserve">frontend/docs/journals/2026-10-05-fe-auth-forgot-reset-wiring.md; capstone-docs/rp_5.0_test_plan/Report 5.0_TestPlan_IELTSPath_v1.docx | Owner/deadline are proposed resolution assignments.</t>
  </si>
  <si>
    <t xml:space="preserve">Risks — IELTSPath Phase 1</t>
  </si>
  <si>
    <t xml:space="preserve">Probability: High(3) / Medium(2) / Low(1)  ·  Impact: High(3) / Medium(2) / Low(1)  ·  Risk Score = P × I  ·  Score ≥ 6 = Critical; 4-5 = High; 2-3 = Medium; 1 = Low</t>
  </si>
  <si>
    <t xml:space="preserve">Risk Description</t>
  </si>
  <si>
    <t xml:space="preserve">Probability</t>
  </si>
  <si>
    <t xml:space="preserve">Impact</t>
  </si>
  <si>
    <t xml:space="preserve">Risk Score (P×I)</t>
  </si>
  <si>
    <t xml:space="preserve">Mitigation Plan</t>
  </si>
  <si>
    <t xml:space="preserve">Contingency Plan</t>
  </si>
  <si>
    <t xml:space="preserve">R-001</t>
  </si>
  <si>
    <t xml:space="preserve">Scope expands from the core MVP to every full-product feature before Phase 1 acceptance.</t>
  </si>
  <si>
    <t xml:space="preserve">Replan approved changes and defer unaccepted extensions.</t>
  </si>
  <si>
    <t xml:space="preserve">backend/capstone-docs/rp_1_vision-scope/Report 1_Vision_Scope_IeltsPath.docx versus capstone-docs/rp_5.0_test_plan/Report 5.0_TestPlan_IELTSPath_v1.docx; assessment: project-review judgement, not measured incidence. | Assessment qualitative; owner and mitigation due date proposed.</t>
  </si>
  <si>
    <t xml:space="preserve">R-002</t>
  </si>
  <si>
    <t xml:space="preserve">Frontend and backend gates or DTOs drift during course and lesson changes.</t>
  </si>
  <si>
    <t xml:space="preserve">Freeze/version course and multi-skill DTO contracts; align FE skills[], course endpoints and essay flow, then run fresh-user integration. Link WBS-073/075 and I-007.</t>
  </si>
  <si>
    <t xml:space="preserve">Keep the validated MVP baseline until compatible changes pass.</t>
  </si>
  <si>
    <t xml:space="preserve">backend/docs/fe-main-flow-guide.md; backend/plans/261006-2228-course-band-levels/plan.md; backend/plans/261006-2309-multi-skill-lessons/plan.md; assessment: project-review judgement, not measured incidence. | Assessment qualitative; owner and mitigation due date proposed.</t>
  </si>
  <si>
    <t xml:space="preserve">R-003</t>
  </si>
  <si>
    <t xml:space="preserve">LLM timeout, cost or grading inconsistency disrupts Writing feedback.</t>
  </si>
  <si>
    <t xml:space="preserve">Validate rubric/corpus, timeout, quota and point idempotency; keep provider secrets server-side.</t>
  </si>
  <si>
    <t xml:space="preserve">Report grading unavailable and support safe retry without duplicate debit.</t>
  </si>
  <si>
    <t xml:space="preserve">capstone-docs/rp_5.0_test_plan/Report 5.0_TestPlan_IELTSPath_v1.docx TP-LRN-06 / NFR-P02; backend/docs/fe-main-flow-guide.md; assessment: project-review judgement, not measured incidence. | Assessment qualitative; owner and mitigation due date proposed.</t>
  </si>
  <si>
    <t xml:space="preserve">R-004</t>
  </si>
  <si>
    <t xml:space="preserve">RabbitMQ retries or result replay produces stale or duplicate learning progress.</t>
  </si>
  <si>
    <t xml:space="preserve">Test consumer version/idempotency, ACK-after-commit, retry and DLQ with real infrastructure.</t>
  </si>
  <si>
    <t xml:space="preserve">Investigate failed events and replay through the existing idempotent consumer.</t>
  </si>
  <si>
    <t xml:space="preserve">capstone-docs/rp_5.0_test_plan/Report 5.0_TestPlan_IELTSPath_v1.docx TP-LRN-05 / NFR-REL01; assessment: project-review judgement, not measured incidence. | Assessment qualitative; owner and mitigation due date proposed.</t>
  </si>
  <si>
    <t xml:space="preserve">R-005</t>
  </si>
  <si>
    <t xml:space="preserve">Protected content or answers are exposed through role, ownership or route mistakes.</t>
  </si>
  <si>
    <t xml:space="preserve">Run JWT, ownership, /internal route and answer-redaction cases through Gateway.</t>
  </si>
  <si>
    <t xml:space="preserve">Block affected flow and fix authorization before acceptance.</t>
  </si>
  <si>
    <t xml:space="preserve">capstone-docs/rp_5.0_test_plan/Report 5.0_TestPlan_IELTSPath_v1.docx NFR-SEC01 / TP-LRN-02; assessment: project-review judgement, not measured incidence. | Assessment qualitative; owner and mitigation due date proposed.</t>
  </si>
  <si>
    <t xml:space="preserve">R-006</t>
  </si>
  <si>
    <t xml:space="preserve">Missing media or question-pool data blocks a demo or remediation path.</t>
  </si>
  <si>
    <t xml:space="preserve">Resource</t>
  </si>
  <si>
    <t xml:space="preserve">Prepare validated audio URLs and unrevealed Practice/review packages before each cycle.</t>
  </si>
  <si>
    <t xml:space="preserve">Use another real published package or document the blocked scenario.</t>
  </si>
  <si>
    <t xml:space="preserve">backend/docs/fe-main-flow-guide.md; capstone-docs/rp_5.0_test_plan/Report 5.0_TestPlan_IELTSPath_v1.docx Data constraints; assessment: project-review judgement, not measured incidence. | Assessment qualitative; owner and mitigation due date proposed.</t>
  </si>
  <si>
    <t xml:space="preserve">R-007</t>
  </si>
  <si>
    <t xml:space="preserve">Docker or environment drift causes skipped integration tests to be reported as passes.</t>
  </si>
  <si>
    <t xml:space="preserve">Record commits/config and Docker readiness; separate Passed, Skipped and Not Run.</t>
  </si>
  <si>
    <t xml:space="preserve">Restore documented environment and rerun required integration tests.</t>
  </si>
  <si>
    <t xml:space="preserve">capstone-docs/rp_5.0_test_plan/Report 5.0_TestPlan_IELTSPath_v1.docx NFR-OPS01; backend/plans/261006-2228-course-band-levels/plan.md verification; assessment: project-review judgement, not measured incidence. | Assessment qualitative; owner and mitigation due date proposed.</t>
  </si>
  <si>
    <t xml:space="preserve">R-008</t>
  </si>
  <si>
    <t xml:space="preserve">Insufficient browser coverage allows blocked controls or inaccessible feedback to escape.</t>
  </si>
  <si>
    <t xml:space="preserve">Quality</t>
  </si>
  <si>
    <t xml:space="preserve">Run fresh-user UI, keyboard, viewport and screen-reader checks on core screens.</t>
  </si>
  <si>
    <t xml:space="preserve">Prioritize blocking usability fixes and rerun the affected flow.</t>
  </si>
  <si>
    <t xml:space="preserve">frontend/plans/reports/e2e-main-flow-261005-fresh/report.md; frontend/plans/reports/e2e-main-flow-261005/report.md; assessment: project-review judgement, not measured incidence. | Assessment qualitative; owner and mitigation due date proposed.</t>
  </si>
  <si>
    <t xml:space="preserve">R-009</t>
  </si>
  <si>
    <t xml:space="preserve">A key team member becomes unavailable before Phase 1 review.</t>
  </si>
  <si>
    <t xml:space="preserve">Low</t>
  </si>
  <si>
    <t xml:space="preserve">Document service contracts and share setup knowledge across the team.</t>
  </si>
  <si>
    <t xml:space="preserve">PM reassigns remaining work and negotiates review schedule.</t>
  </si>
  <si>
    <t xml:space="preserve">Original Risks R-002 adapted to Phase 1; no actual absence recorded.; assessment: project-review judgement, not measured incidence. | Assessment qualitative; owner and mitigation due date proposed.</t>
  </si>
  <si>
    <t xml:space="preserve">R-010</t>
  </si>
  <si>
    <t xml:space="preserve">Performance and operational targets are assumed from functional smoke results.</t>
  </si>
  <si>
    <t xml:space="preserve">Agree test workload and measure non-LLM latency separately from provider latency.</t>
  </si>
  <si>
    <t xml:space="preserve">Record unmet targets and obtain a scoped acceptance decision.</t>
  </si>
  <si>
    <t xml:space="preserve">capstone-docs/rp_5.0_test_plan/Report 5.0_TestPlan_IELTSPath_v1.docx NFR-P01/P02; SRS Part 6; assessment: project-review judgement, not measured incidence. | Assessment qualitative; owner and mitigation due date proposed.</t>
  </si>
  <si>
    <t xml:space="preserve">R-011</t>
  </si>
  <si>
    <t xml:space="preserve">A paid release uses UI premium flags without server entitlement enforcement.</t>
  </si>
  <si>
    <t xml:space="preserve">Resolve I-006 before accepting paid premium access.</t>
  </si>
  <si>
    <t xml:space="preserve">Limit Phase 1 demo to explicitly free content.</t>
  </si>
  <si>
    <t xml:space="preserve">backend/docs/fe-main-flow-guide.md §6; assessment: project-review judgement, not measured incidence. | Assessment qualitative; owner and mitigation due date proposed.</t>
  </si>
  <si>
    <t xml:space="preserve">ChangeLog — IELTSPath Phase 1</t>
  </si>
  <si>
    <t xml:space="preserve">Log ALL changes to requirements, design, or scope  ·  No mid-sprint changes without approval  ·  Reference this log when versions of SRS/SDS increment</t>
  </si>
  <si>
    <t xml:space="preserve">Change Description</t>
  </si>
  <si>
    <t xml:space="preserve">Requested By</t>
  </si>
  <si>
    <t xml:space="preserve">Affects (SRS/WBS/Code)</t>
  </si>
  <si>
    <t xml:space="preserve">Impact on Scope</t>
  </si>
  <si>
    <t xml:space="preserve">Impact on Effort (pds)</t>
  </si>
  <si>
    <t xml:space="preserve">Impact on Timeline</t>
  </si>
  <si>
    <t xml:space="preserve">C-001</t>
  </si>
  <si>
    <t xml:space="preserve">Change auth transport to support HttpOnly cookies while retaining request-body refresh compatibility.</t>
  </si>
  <si>
    <t xml:space="preserve">Not recorded</t>
  </si>
  <si>
    <t xml:space="preserve">Auth API / FE session contract / security configuration; WBS-056/069</t>
  </si>
  <si>
    <t xml:space="preserve">Changes login/refresh/logout token delivery. Baseline setup itself stays in TimeLogs.</t>
  </si>
  <si>
    <t xml:space="preserve">Implemented in Git; no substantiated schedule change.</t>
  </si>
  <si>
    <t xml:space="preserve">Implemented</t>
  </si>
  <si>
    <t xml:space="preserve">backend 2c9d37f; TimeLogs TL-014.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</si>
  <si>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 xml:space="preserve">C-002</t>
  </si>
  <si>
    <t xml:space="preserve">Change service ownership: separate Library from Content, move activity/streak to User and retire Learning Support.</t>
  </si>
  <si>
    <t xml:space="preserve">Repository architecture plan; requester unconfirmed</t>
  </si>
  <si>
    <t xml:space="preserve">TDS / service boundaries / databases / Gateway routes; WBS-071</t>
  </si>
  <si>
    <t xml:space="preserve">Redistributes existing capabilities across bounded contexts.</t>
  </si>
  <si>
    <t xml:space="preserve">Migration and routing work required; no approved time delta supplied.</t>
  </si>
  <si>
    <t xml:space="preserve">backend 465f543, d762660, fec5d14, ab613b1; 4350505 records catalog-migration approval specifically. TimeLogs TL-029.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</si>
  <si>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 xml:space="preserve">C-003</t>
  </si>
  <si>
    <t xml:space="preserve">Replace Python AI Learning runtime with Java Learning Service.</t>
  </si>
  <si>
    <t xml:space="preserve">Runtime-replacement plan; requester unconfirmed</t>
  </si>
  <si>
    <t xml:space="preserve">Architecture / deployment / learning persistence and APIs; WBS-070</t>
  </si>
  <si>
    <t xml:space="preserve">Retires the historical Python runtime and ports the core learning flow to Java.</t>
  </si>
  <si>
    <t xml:space="preserve">Historical prototype work remains in TimeLogs; no reliable schedule delta.</t>
  </si>
  <si>
    <t xml:space="preserve">backend 746e7dc plan, d96ab9e skeleton, 23904e8 retirement docs. TimeLogs TL-022, TL-031, TL-027.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</si>
  <si>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 xml:space="preserve">C-004</t>
  </si>
  <si>
    <t xml:space="preserve">Extend lesson contract with ESSAY blocks and Writing submissions with LLM grading and points.</t>
  </si>
  <si>
    <t xml:space="preserve">Writing contract/roadmap; requester unconfirmed</t>
  </si>
  <si>
    <t xml:space="preserve">SRS / lesson contract / Content / Learning / Access; WBS-057/070</t>
  </si>
  <si>
    <t xml:space="preserve">Adds essay-answer semantics, Writing rubric grading, quota and point-charge/retry rules.</t>
  </si>
  <si>
    <t xml:space="preserve">Requires implementation and acceptance across services; hours/delay not inferred.</t>
  </si>
  <si>
    <t xml:space="preserve">backend 4fc7be6 contract, f2dfc72 contract approval record, d08337a implementation. TimeLogs TL-028, TL-032. Approval source applies only to that contract.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</si>
  <si>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 xml:space="preserve">C-005</t>
  </si>
  <si>
    <t xml:space="preserve">Change progression rules to skill-local gates, required lesson Practice and theory/remediation review without revealed-package reuse.</t>
  </si>
  <si>
    <t xml:space="preserve">Skill-tracks plan; requester unconfirmed</t>
  </si>
  <si>
    <t xml:space="preserve">SRS / Content ownership rules / Learning gates / FE workflow; WBS-012/014/057</t>
  </si>
  <si>
    <t xml:space="preserve">Lesson completion alone no longer unlocks final tests. Reviews are scoped by skill and unrevealed evidence rules.</t>
  </si>
  <si>
    <t xml:space="preserve">BE recorded 03/10; FE followed 05/10. No measured delay asserted.</t>
  </si>
  <si>
    <t xml:space="preserve">backend a3447b9, 853ab82, 1a96c77, 8bb72cf, 6d9f623; frontend 6716dd9. TimeLogs TL-034, TL-036.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</si>
  <si>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 xml:space="preserve">C-006</t>
  </si>
  <si>
    <t xml:space="preserve">Add band-level courses, optional placement recommendations and a non-blocking course final test.</t>
  </si>
  <si>
    <t xml:space="preserve">Mentor/product-owner decisions recorded in course plan</t>
  </si>
  <si>
    <t xml:space="preserve">SRS / TDS / Content / Learning / Assessment contracts; FT-55, WBS-072/073</t>
  </si>
  <si>
    <t xml:space="preserve">Courses group ordered topics by band; recommendation does not lock access. FE integration/Phase 1 allocation unconfirmed.</t>
  </si>
  <si>
    <t xml:space="preserve">backend d867758, 559bf82, a401a33, 5ea098a; merge df6c57f (#45); backend/plans/261006-2228-course-band-levels/plan.md decisions. TimeLogs TL-040, TL-041.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</si>
  <si>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 xml:space="preserve">C-007</t>
  </si>
  <si>
    <t xml:space="preserve">Revise Vision &amp; Scope to reflect mentor feedback and the full product feature set.</t>
  </si>
  <si>
    <t xml:space="preserve">Mentor feedback recorded in Report 1 history</t>
  </si>
  <si>
    <t xml:space="preserve">Report 1 / SRS traceability / phase allocation; WBS-065/077</t>
  </si>
  <si>
    <t xml:space="preserve">Full product scope includes future features. This document revision does not prove their implementation or Phase 1 acceptance.</t>
  </si>
  <si>
    <t xml:space="preserve">Reconcile phase baseline before approval.</t>
  </si>
  <si>
    <t xml:space="preserve">C-008</t>
  </si>
  <si>
    <t xml:space="preserve">Implement mixed-skill lesson/Practice contracts and free assessment AI essay grading with human fallback.</t>
  </si>
  <si>
    <t xml:space="preserve">Multi-skill plan; formal requester/approver unconfirmed</t>
  </si>
  <si>
    <t xml:space="preserve">Content / Learning / Assessment contracts and planned SRS changes; WBS-074/075/060</t>
  </si>
  <si>
    <t xml:space="preserve">Backend change merged; FE contract alignment remains separate. Speaking excluded; Writing Practice optional, objective skills gate completion; assessment essay uses passBand and no point debit.</t>
  </si>
  <si>
    <t xml:space="preserve">BE 8d2d2bb (#47), 51468f60 and plans/261006-2309-multi-skill-lessons/plan.md verification. Supersedes V1 stale Pending. Implemented means backend scope only; FE/live-provider acceptance open. Incremental effort 3 person-days is estimated, not actual. Formal approver unrecorded.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</si>
</sst>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(&quot;$&quot;* #,##0_);_(&quot;$&quot;* \(#,##0\);_(&quot;$&quot;* &quot;-&quot;_);_(@_)"/>
    <numFmt numFmtId="164" formatCode="0&quot;%&quot;"/>
    <numFmt numFmtId="165" formatCode="dd/mm/yyyy"/>
    <numFmt numFmtId="166" formatCode="0.0"/>
  </numFmts>
  <fonts count="82" x14ac:knownFonts="1">
    <font>
      <sz val="11"/>
      <color theme="1"/>
      <name val="Calibri"/>
    </font>
    <font>
      <sz val="11"/>
      <color theme="1"/>
      <name val="Calibri"/>
    </font>
    <font>
      <sz val="10"/>
      <color rgb="FF000000"/>
      <name val="Arial"/>
    </font>
    <font>
      <sz val="10"/>
      <color rgb="FF000000"/>
      <name val="Arial"/>
    </font>
    <font>
      <sz val="11"/>
      <color theme="1"/>
      <name val="Calibri"/>
    </font>
    <font>
      <sz val="9"/>
      <color rgb="FF595959"/>
      <name val="Arial"/>
    </font>
    <font>
      <b/>
      <sz val="10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4"/>
      <color rgb="FF1F3864"/>
      <name val="Arial"/>
    </font>
    <font>
      <b/>
      <sz val="10"/>
      <color rgb="FF7F6000"/>
      <name val="Arial"/>
    </font>
    <font>
      <i/>
      <sz val="10"/>
      <color rgb="FF000000"/>
      <name val="Arial"/>
    </font>
    <font>
      <sz val="10"/>
      <color rgb="FF7F6000"/>
      <name val="Arial"/>
    </font>
    <font>
      <b/>
      <sz val="10"/>
      <color rgb="FFC00000"/>
      <name val="Arial"/>
    </font>
    <font>
      <b/>
      <sz val="10"/>
      <color rgb="FF5C3292"/>
      <name val="Arial"/>
    </font>
    <font>
      <b/>
      <sz val="10"/>
      <color rgb="FF843C0C"/>
      <name val="Arial"/>
    </font>
    <font>
      <b/>
      <sz val="10"/>
      <color rgb="FF000000"/>
      <name val="Arial"/>
    </font>
    <font>
      <b/>
      <sz val="10"/>
      <color rgb="FF595959"/>
      <name val="Arial"/>
    </font>
    <font>
      <sz val="11"/>
      <color rgb="FF172B4D"/>
      <name val="Arial"/>
    </font>
    <font>
      <b/>
      <sz val="11"/>
      <color rgb="FFFFFFFF"/>
      <name val="Arial"/>
    </font>
    <font>
      <b/>
      <sz val="11"/>
      <color rgb="FF203864"/>
      <name val="Arial"/>
    </font>
    <font>
      <b/>
      <sz val="11"/>
      <color rgb="FFFFFFFF"/>
      <name val="Calibri"/>
    </font>
    <font>
      <b/>
      <sz val="11"/>
      <color theme="1"/>
      <name val="Calibri"/>
    </font>
    <font>
      <sz val="10"/>
      <color rgb="FF595959"/>
      <name val="Arial"/>
    </font>
    <font>
      <sz val="11"/>
      <color theme="1"/>
      <name val="Calibri"/>
    </font>
    <font>
      <sz val="10"/>
      <color rgb="FF000000"/>
      <name val="Arial"/>
    </font>
    <font>
      <b/>
      <sz val="10"/>
      <color rgb="FF7F6000"/>
      <name val="Arial"/>
    </font>
    <font>
      <sz val="10"/>
      <color rgb="FF7F6000"/>
      <name val="Arial"/>
    </font>
    <font>
      <b/>
      <sz val="10"/>
      <color rgb="FFC00000"/>
      <name val="Arial"/>
    </font>
    <font>
      <b/>
      <sz val="10"/>
      <color rgb="FF5C3292"/>
      <name val="Arial"/>
    </font>
    <font>
      <b/>
      <sz val="10"/>
      <color rgb="FF843C0C"/>
      <name val="Arial"/>
    </font>
    <font>
      <b/>
      <sz val="10"/>
      <color rgb="FF595959"/>
      <name val="Arial"/>
    </font>
    <font>
      <sz val="11"/>
      <color theme="1"/>
      <name val="Calibri"/>
      <family val="2"/>
      <scheme val="minor"/>
    </font>
    <font>
      <b/>
      <sz val="16"/>
      <color rgb="FF1F3864"/>
      <name val="Arial"/>
      <family val="2"/>
    </font>
    <font>
      <sz val="9"/>
      <color rgb="FF595959"/>
      <name val="Arial"/>
      <family val="2"/>
    </font>
    <font>
      <b/>
      <sz val="12"/>
      <color rgb="FF1F3864"/>
      <name val="Arial"/>
      <family val="2"/>
    </font>
    <font>
      <b/>
      <sz val="10"/>
      <color rgb="FFFFFFFF"/>
      <name val="Arial"/>
      <family val="2"/>
    </font>
    <font>
      <b/>
      <sz val="10"/>
      <color rgb="FF1F3864"/>
      <name val="Arial"/>
      <family val="2"/>
    </font>
    <font>
      <sz val="10"/>
      <color rgb="FF000000"/>
      <name val="Arial"/>
      <family val="2"/>
    </font>
    <font>
      <b/>
      <sz val="16"/>
      <color rgb="FFFFFFFF"/>
      <name val="Arial"/>
      <family val="2"/>
    </font>
    <font>
      <sz val="11"/>
      <color theme="1"/>
      <name val="Calibri"/>
    </font>
    <font>
      <sz val="11"/>
      <color theme="1"/>
      <name val="Calibri"/>
    </font>
    <font>
      <sz val="10"/>
      <color rgb="FF000000"/>
      <name val="Arial"/>
    </font>
    <font>
      <sz val="10"/>
      <color rgb="FF000000"/>
      <name val="Arial"/>
    </font>
    <font>
      <sz val="11"/>
      <color theme="1"/>
      <name val="Calibri"/>
    </font>
    <font>
      <sz val="9"/>
      <color rgb="FF595959"/>
      <name val="Arial"/>
    </font>
    <font>
      <b/>
      <sz val="10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4"/>
      <color rgb="FF1F3864"/>
      <name val="Arial"/>
    </font>
    <font>
      <b/>
      <sz val="10"/>
      <color rgb="FF7F6000"/>
      <name val="Arial"/>
    </font>
    <font>
      <i/>
      <sz val="10"/>
      <color rgb="FF000000"/>
      <name val="Arial"/>
    </font>
    <font>
      <sz val="10"/>
      <color rgb="FF7F6000"/>
      <name val="Arial"/>
    </font>
    <font>
      <b/>
      <sz val="10"/>
      <color rgb="FFC00000"/>
      <name val="Arial"/>
    </font>
    <font>
      <b/>
      <sz val="10"/>
      <color rgb="FF5C3292"/>
      <name val="Arial"/>
    </font>
    <font>
      <b/>
      <sz val="10"/>
      <color rgb="FF843C0C"/>
      <name val="Arial"/>
    </font>
    <font>
      <b/>
      <sz val="10"/>
      <color rgb="FF000000"/>
      <name val="Arial"/>
    </font>
    <font>
      <b/>
      <sz val="10"/>
      <color rgb="FF595959"/>
      <name val="Arial"/>
    </font>
    <font>
      <sz val="11"/>
      <color rgb="FF172B4D"/>
      <name val="Arial"/>
    </font>
    <font>
      <b/>
      <sz val="11"/>
      <color rgb="FFFFFFFF"/>
      <name val="Arial"/>
    </font>
    <font>
      <b/>
      <sz val="11"/>
      <color rgb="FF203864"/>
      <name val="Arial"/>
    </font>
    <font>
      <b/>
      <sz val="11"/>
      <color rgb="FFFFFFFF"/>
      <name val="Calibri"/>
    </font>
    <font>
      <b/>
      <sz val="11"/>
      <color theme="1"/>
      <name val="Calibri"/>
    </font>
    <font>
      <sz val="10"/>
      <color rgb="FF595959"/>
      <name val="Arial"/>
    </font>
    <font>
      <sz val="11"/>
      <color theme="1"/>
      <name val="Calibri"/>
    </font>
    <font>
      <sz val="10"/>
      <color rgb="FF000000"/>
      <name val="Arial"/>
    </font>
    <font>
      <b/>
      <sz val="10"/>
      <color rgb="FF7F6000"/>
      <name val="Arial"/>
    </font>
    <font>
      <sz val="10"/>
      <color rgb="FF7F6000"/>
      <name val="Arial"/>
    </font>
    <font>
      <b/>
      <sz val="10"/>
      <color rgb="FFC00000"/>
      <name val="Arial"/>
    </font>
    <font>
      <b/>
      <sz val="10"/>
      <color rgb="FF5C3292"/>
      <name val="Arial"/>
    </font>
    <font>
      <b/>
      <sz val="10"/>
      <color rgb="FF843C0C"/>
      <name val="Arial"/>
    </font>
    <font>
      <b/>
      <sz val="10"/>
      <color rgb="FF595959"/>
      <name val="Arial"/>
    </font>
    <font>
      <sz val="11"/>
      <color theme="1"/>
      <name val="Calibri"/>
      <family val="2"/>
      <scheme val="minor"/>
    </font>
    <font>
      <b/>
      <sz val="16"/>
      <color rgb="FF1F3864"/>
      <name val="Arial"/>
      <family val="2"/>
    </font>
    <font>
      <sz val="9"/>
      <color rgb="FF595959"/>
      <name val="Arial"/>
      <family val="2"/>
    </font>
    <font>
      <b/>
      <sz val="12"/>
      <color rgb="FF1F3864"/>
      <name val="Arial"/>
      <family val="2"/>
    </font>
    <font>
      <b/>
      <sz val="10"/>
      <color rgb="FFFFFFFF"/>
      <name val="Arial"/>
      <family val="2"/>
    </font>
    <font>
      <b/>
      <sz val="10"/>
      <color rgb="FF1F3864"/>
      <name val="Arial"/>
      <family val="2"/>
    </font>
    <font>
      <sz val="10"/>
      <color rgb="FF000000"/>
      <name val="Arial"/>
      <family val="2"/>
    </font>
    <font>
      <b/>
      <sz val="16"/>
      <color rgb="FFFFFFFF"/>
      <name val="Arial"/>
      <family val="2"/>
    </font>
    <font>
      <sz val="10"/>
      <color rgb="FF000000"/>
      <name val="Calibri"/>
    </font>
    <font>
      <b/>
      <sz val="10"/>
      <color rgb="FFFFFFFF"/>
      <name val="Calibri"/>
    </font>
  </fonts>
  <fills count="95">
    <fill>
      <patternFill patternType="none"/>
    </fill>
    <fill>
      <patternFill patternType="gray125"/>
    </fill>
    <fill>
      <patternFill patternType="none"/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none"/>
    </fill>
    <fill>
      <patternFill patternType="none"/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7F6000"/>
      </patternFill>
    </fill>
    <fill>
      <patternFill patternType="solid">
        <fgColor rgb="FF1F3864"/>
      </patternFill>
    </fill>
    <fill>
      <patternFill patternType="solid">
        <fgColor rgb="FFC00000"/>
      </patternFill>
    </fill>
    <fill>
      <patternFill patternType="solid">
        <fgColor rgb="FF843C0C"/>
      </patternFill>
    </fill>
    <fill>
      <patternFill patternType="solid">
        <fgColor rgb="FFFFFFFF"/>
      </patternFill>
    </fill>
    <fill>
      <patternFill patternType="solid">
        <fgColor rgb="FFDEEAF1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1F6B75"/>
      </patternFill>
    </fill>
    <fill>
      <patternFill patternType="solid">
        <fgColor rgb="FFFCE4D6"/>
      </patternFill>
    </fill>
    <fill>
      <patternFill patternType="solid">
        <fgColor rgb="FF5C3292"/>
      </patternFill>
    </fill>
    <fill>
      <patternFill patternType="solid">
        <fgColor rgb="FFEBE2F5"/>
      </patternFill>
    </fill>
    <fill>
      <patternFill patternType="solid">
        <fgColor rgb="FF595959"/>
      </patternFill>
    </fill>
    <fill>
      <patternFill patternType="solid">
        <fgColor rgb="FFDDEBF1"/>
      </patternFill>
    </fill>
    <fill>
      <patternFill patternType="solid">
        <fgColor rgb="FFD8EFF1"/>
      </patternFill>
    </fill>
    <fill>
      <patternFill patternType="solid">
        <fgColor rgb="FF1F4E78"/>
      </patternFill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EEAF1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BE2F5"/>
      </patternFill>
    </fill>
    <fill>
      <patternFill patternType="solid">
        <fgColor rgb="FF1F4E78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none"/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7F6000"/>
      </patternFill>
    </fill>
    <fill>
      <patternFill patternType="solid">
        <fgColor rgb="FF1F3864"/>
      </patternFill>
    </fill>
    <fill>
      <patternFill patternType="solid">
        <fgColor rgb="FFC00000"/>
      </patternFill>
    </fill>
    <fill>
      <patternFill patternType="solid">
        <fgColor rgb="FF843C0C"/>
      </patternFill>
    </fill>
    <fill>
      <patternFill patternType="solid">
        <fgColor rgb="FFFFFFFF"/>
      </patternFill>
    </fill>
    <fill>
      <patternFill patternType="solid">
        <fgColor rgb="FFDEEAF1"/>
      </patternFill>
    </fill>
    <fill>
      <patternFill patternType="solid">
        <fgColor rgb="FFFFFFCC"/>
      </patternFill>
    </fill>
    <fill>
      <patternFill patternType="none"/>
    </fill>
    <fill>
      <patternFill patternType="gray125"/>
    </fill>
    <fill>
      <patternFill patternType="none"/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none"/>
    </fill>
    <fill>
      <patternFill patternType="none"/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7F6000"/>
      </patternFill>
    </fill>
    <fill>
      <patternFill patternType="solid">
        <fgColor rgb="FF1F3864"/>
      </patternFill>
    </fill>
    <fill>
      <patternFill patternType="solid">
        <fgColor rgb="FFC00000"/>
      </patternFill>
    </fill>
    <fill>
      <patternFill patternType="solid">
        <fgColor rgb="FF843C0C"/>
      </patternFill>
    </fill>
    <fill>
      <patternFill patternType="solid">
        <fgColor rgb="FFFFFFFF"/>
      </patternFill>
    </fill>
    <fill>
      <patternFill patternType="solid">
        <fgColor rgb="FFDEEAF1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1F6B75"/>
      </patternFill>
    </fill>
    <fill>
      <patternFill patternType="solid">
        <fgColor rgb="FFFCE4D6"/>
      </patternFill>
    </fill>
    <fill>
      <patternFill patternType="solid">
        <fgColor rgb="FF5C3292"/>
      </patternFill>
    </fill>
    <fill>
      <patternFill patternType="solid">
        <fgColor rgb="FFEBE2F5"/>
      </patternFill>
    </fill>
    <fill>
      <patternFill patternType="solid">
        <fgColor rgb="FF595959"/>
      </patternFill>
    </fill>
    <fill>
      <patternFill patternType="solid">
        <fgColor rgb="FFDDEBF1"/>
      </patternFill>
    </fill>
    <fill>
      <patternFill patternType="solid">
        <fgColor rgb="FFD8EFF1"/>
      </patternFill>
    </fill>
    <fill>
      <patternFill patternType="solid">
        <fgColor rgb="FF1F4E78"/>
      </patternFill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EEAF1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BE2F5"/>
      </patternFill>
    </fill>
    <fill>
      <patternFill patternType="solid">
        <fgColor rgb="FF1F4E78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none"/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7F6000"/>
      </patternFill>
    </fill>
    <fill>
      <patternFill patternType="solid">
        <fgColor rgb="FF1F3864"/>
      </patternFill>
    </fill>
    <fill>
      <patternFill patternType="solid">
        <fgColor rgb="FFC00000"/>
      </patternFill>
    </fill>
    <fill>
      <patternFill patternType="solid">
        <fgColor rgb="FF843C0C"/>
      </patternFill>
    </fill>
    <fill>
      <patternFill patternType="solid">
        <fgColor rgb="FFFFFFFF"/>
      </patternFill>
    </fill>
    <fill>
      <patternFill patternType="solid">
        <fgColor rgb="FFDEEAF1"/>
      </patternFill>
    </fill>
    <fill>
      <patternFill patternType="solid">
        <fgColor rgb="FFFFFFCC"/>
      </patternFill>
    </fill>
    <fill>
      <patternFill patternType="solid">
        <fgColor rgb="FF1F4E78"/>
      </patternFill>
    </fill>
  </fills>
  <borders count="16">
    <border>
      <left/>
      <right/>
      <top/>
      <bottom/>
      <diagonal/>
    </border>
    <border>
      <left style="thin">
        <color rgb="FFB4C4D3"/>
      </left>
      <right style="thin">
        <color rgb="FFB4C4D3"/>
      </right>
      <top style="thin">
        <color rgb="FFB4C4D3"/>
      </top>
      <bottom style="thin">
        <color rgb="FFB4C4D3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4C4D3"/>
      </left>
      <right style="thin">
        <color rgb="FFB4C4D3"/>
      </right>
      <top style="thin">
        <color rgb="FFB4C4D3"/>
      </top>
      <bottom style="thin">
        <color rgb="FFB4C4D3"/>
      </bottom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 style="thin">
        <color rgb="FFB4C4D3"/>
      </left>
      <right style="thin">
        <color rgb="FFB4C4D3"/>
      </right>
      <top style="thin">
        <color rgb="FFB4C4D3"/>
      </top>
      <bottom style="thin">
        <color rgb="FFB4C4D3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4C4D3"/>
      </left>
      <right style="thin">
        <color rgb="FFB4C4D3"/>
      </right>
      <top style="thin">
        <color rgb="FFB4C4D3"/>
      </top>
      <bottom style="thin">
        <color rgb="FFB4C4D3"/>
      </bottom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5">
    <xf numFmtId="0" fontId="0" fillId="0" borderId="0"/>
    <xf numFmtId="0" fontId="1" fillId="0" borderId="0"/>
    <xf numFmtId="0" fontId="0" fillId="15" borderId="3" xfId="0" applyNumberFormat="1" applyFont="1" applyFill="1" applyBorder="1" applyAlignment="1">
      <alignment horizontal="left" vertical="center" wrapText="1"/>
    </xf>
    <xf numFmtId="0" fontId="1" fillId="46" borderId="7" applyNumberFormat="0" applyFont="0" applyAlignment="0" applyProtection="0"/>
    <xf numFmtId="42" fontId="1" fillId="0" borderId="0" applyFont="0" applyFill="0" applyBorder="0" applyAlignment="0" applyProtection="0"/>
    <xf numFmtId="0" fontId="4" fillId="6" borderId="3" xfId="0" applyFont="1" applyFill="1" applyBorder="1" applyAlignment="1">
      <alignment wrapText="1"/>
    </xf>
    <xf numFmtId="0" fontId="5" fillId="6" borderId="3" xfId="0" applyFont="1" applyFill="1" applyBorder="1" applyAlignment="1">
      <alignment horizontal="left" vertical="center"/>
    </xf>
    <xf numFmtId="0" fontId="40" fillId="47" borderId="8"/>
    <xf numFmtId="0" fontId="41" fillId="47" borderId="8"/>
    <xf numFmtId="0" fontId="40" fillId="62" borderId="11" xfId="0" applyNumberFormat="1" applyFont="1" applyFill="1" applyBorder="1" applyAlignment="1">
      <alignment horizontal="left" vertical="center" wrapText="1"/>
    </xf>
    <xf numFmtId="0" fontId="41" fillId="93" borderId="15" applyNumberFormat="0" applyFont="0" applyAlignment="0" applyProtection="0"/>
    <xf numFmtId="42" fontId="41" fillId="47" borderId="8" applyFont="0" applyFill="0" applyBorder="0" applyAlignment="0" applyProtection="0"/>
    <xf numFmtId="0" fontId="44" fillId="53" borderId="11" xfId="0" applyFont="1" applyFill="1" applyBorder="1" applyAlignment="1">
      <alignment wrapText="1"/>
    </xf>
    <xf numFmtId="0" fontId="45" fillId="53" borderId="11" xfId="0" applyFont="1" applyFill="1" applyBorder="1" applyAlignment="1">
      <alignment horizontal="left" vertical="center"/>
    </xf>
    <xf numFmtId="42" fontId="40" fillId="47" borderId="8" applyFont="0" applyFill="0" applyBorder="0" applyAlignment="0" applyProtection="0"/>
  </cellStyleXfs>
  <cellXfs count="321">
    <xf numFmtId="0" fontId="0" fillId="0" borderId="0" xfId="0"/>
    <xf numFmtId="0" fontId="0" fillId="37" borderId="4" xfId="6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wrapText="1"/>
    </xf>
    <xf numFmtId="0" fontId="19" fillId="33" borderId="3" xfId="0" applyFont="1" applyFill="1" applyBorder="1"/>
    <xf numFmtId="0" fontId="21" fillId="25" borderId="3" xfId="0" applyFont="1" applyFill="1" applyBorder="1"/>
    <xf numFmtId="0" fontId="5" fillId="6" borderId="3" xfId="0" applyFont="1" applyFill="1" applyBorder="1" applyAlignment="1">
      <alignment vertical="center"/>
    </xf>
    <xf numFmtId="0" fontId="6" fillId="8" borderId="3" xfId="0" applyFont="1" applyFill="1" applyBorder="1" applyAlignment="1">
      <alignment horizontal="left" vertical="center"/>
    </xf>
    <xf numFmtId="0" fontId="34" fillId="36" borderId="4" xfId="6" applyFont="1" applyFill="1" applyBorder="1" applyAlignment="1">
      <alignment horizontal="left" vertical="center"/>
    </xf>
    <xf numFmtId="0" fontId="32" fillId="36" borderId="4" xfId="6" applyFont="1" applyFill="1" applyBorder="1" applyAlignment="1"/>
    <xf numFmtId="0" fontId="33" fillId="36" borderId="4" xfId="6" applyFont="1" applyFill="1" applyBorder="1" applyAlignment="1">
      <alignment horizontal="left" vertical="center"/>
    </xf>
    <xf numFmtId="0" fontId="4" fillId="6" borderId="3" xfId="0" applyFont="1" applyFill="1" applyBorder="1"/>
    <xf numFmtId="0" fontId="9" fillId="6" borderId="3" xfId="0" applyFont="1" applyFill="1" applyBorder="1" applyAlignment="1">
      <alignment horizontal="left" vertical="center"/>
    </xf>
    <xf numFmtId="0" fontId="0" fillId="0" borderId="0" xfId="1" applyFont="1" applyAlignment="1">
      <alignment horizontal="left" vertical="top" wrapText="1"/>
    </xf>
    <xf numFmtId="0" fontId="25" fillId="28" borderId="2" xfId="5" applyFont="1" applyFill="1" applyBorder="1" applyAlignment="1">
      <alignment horizontal="center" vertical="center" wrapText="1"/>
    </xf>
    <xf numFmtId="0" fontId="25" fillId="28" borderId="2" xfId="5" applyFont="1" applyFill="1" applyBorder="1" applyAlignment="1">
      <alignment horizontal="left" vertical="center" wrapText="1"/>
    </xf>
    <xf numFmtId="0" fontId="25" fillId="27" borderId="2" xfId="5" applyFont="1" applyFill="1" applyBorder="1" applyAlignment="1">
      <alignment horizontal="center" vertical="center" wrapText="1"/>
    </xf>
    <xf numFmtId="0" fontId="26" fillId="30" borderId="2" xfId="5" applyFont="1" applyFill="1" applyBorder="1" applyAlignment="1">
      <alignment horizontal="center" vertical="center" wrapText="1"/>
    </xf>
    <xf numFmtId="0" fontId="27" fillId="30" borderId="2" xfId="5" applyFont="1" applyFill="1" applyBorder="1" applyAlignment="1">
      <alignment horizontal="center" vertical="center" wrapText="1"/>
    </xf>
    <xf numFmtId="0" fontId="24" fillId="28" borderId="2" xfId="5" applyFont="1" applyFill="1" applyBorder="1"/>
    <xf numFmtId="0" fontId="24" fillId="27" borderId="2" xfId="5" applyFont="1" applyFill="1" applyBorder="1" applyAlignment="1">
      <alignment horizontal="center" vertical="center" wrapText="1"/>
    </xf>
    <xf numFmtId="0" fontId="24" fillId="29" borderId="2" xfId="5" applyFont="1" applyFill="1" applyBorder="1"/>
    <xf numFmtId="0" fontId="25" fillId="30" borderId="2" xfId="5" applyFont="1" applyFill="1" applyBorder="1" applyAlignment="1">
      <alignment horizontal="center" vertical="center" wrapText="1"/>
    </xf>
    <xf numFmtId="0" fontId="28" fillId="31" borderId="2" xfId="5" applyFont="1" applyFill="1" applyBorder="1" applyAlignment="1">
      <alignment horizontal="center" vertical="center" wrapText="1"/>
    </xf>
    <xf numFmtId="0" fontId="25" fillId="31" borderId="2" xfId="5" applyFont="1" applyFill="1" applyBorder="1" applyAlignment="1">
      <alignment horizontal="center" vertical="center" wrapText="1"/>
    </xf>
    <xf numFmtId="0" fontId="25" fillId="31" borderId="2" xfId="5" applyFont="1" applyFill="1" applyBorder="1" applyAlignment="1">
      <alignment horizontal="left" vertical="center" wrapText="1"/>
    </xf>
    <xf numFmtId="0" fontId="29" fillId="32" borderId="2" xfId="5" applyFont="1" applyFill="1" applyBorder="1" applyAlignment="1">
      <alignment horizontal="center" vertical="center" wrapText="1"/>
    </xf>
    <xf numFmtId="0" fontId="25" fillId="32" borderId="2" xfId="5" applyFont="1" applyFill="1" applyBorder="1" applyAlignment="1">
      <alignment horizontal="center" vertical="center" wrapText="1"/>
    </xf>
    <xf numFmtId="0" fontId="25" fillId="32" borderId="2" xfId="5" applyFont="1" applyFill="1" applyBorder="1" applyAlignment="1">
      <alignment horizontal="left" vertical="center" wrapText="1"/>
    </xf>
    <xf numFmtId="0" fontId="30" fillId="31" borderId="2" xfId="5" applyFont="1" applyFill="1" applyBorder="1" applyAlignment="1">
      <alignment horizontal="center" vertical="center" wrapText="1"/>
    </xf>
    <xf numFmtId="0" fontId="31" fillId="27" borderId="2" xfId="5" applyFont="1" applyFill="1" applyBorder="1" applyAlignment="1">
      <alignment horizontal="center" vertical="center" wrapText="1"/>
    </xf>
    <xf numFmtId="0" fontId="25" fillId="27" borderId="2" xfId="5" applyFont="1" applyFill="1" applyBorder="1" applyAlignment="1">
      <alignment horizontal="left" vertical="center" wrapText="1"/>
    </xf>
    <xf numFmtId="0" fontId="4" fillId="6" borderId="3" xfId="4" applyBorder="1"/>
    <xf numFmtId="0" fontId="6" fillId="11" borderId="3" xfId="4" applyFont="1" applyFill="1" applyBorder="1" applyAlignment="1">
      <alignment horizontal="center" vertical="center" wrapText="1"/>
    </xf>
    <xf numFmtId="0" fontId="8" fillId="15" borderId="3" xfId="4" applyFont="1" applyFill="1" applyBorder="1" applyAlignment="1">
      <alignment horizontal="left" vertical="center" wrapText="1"/>
    </xf>
    <xf numFmtId="0" fontId="8" fillId="15" borderId="3" xfId="4" applyFont="1" applyFill="1" applyBorder="1" applyAlignment="1">
      <alignment horizontal="center" vertical="center" wrapText="1"/>
    </xf>
    <xf numFmtId="0" fontId="8" fillId="14" borderId="3" xfId="4" applyFont="1" applyFill="1" applyBorder="1" applyAlignment="1">
      <alignment horizontal="left" vertical="center" wrapText="1"/>
    </xf>
    <xf numFmtId="0" fontId="8" fillId="14" borderId="3" xfId="4" applyFont="1" applyFill="1" applyBorder="1" applyAlignment="1">
      <alignment horizontal="center" vertical="center" wrapText="1"/>
    </xf>
    <xf numFmtId="0" fontId="4" fillId="6" borderId="3" xfId="4" applyBorder="1" applyAlignment="1">
      <alignment horizontal="left" vertical="top" wrapText="1"/>
    </xf>
    <xf numFmtId="0" fontId="6" fillId="11" borderId="3" xfId="4" applyFont="1" applyFill="1" applyBorder="1" applyAlignment="1">
      <alignment horizontal="left" vertical="top" wrapText="1"/>
    </xf>
    <xf numFmtId="0" fontId="7" fillId="16" borderId="3" xfId="4" applyFont="1" applyFill="1" applyBorder="1" applyAlignment="1">
      <alignment horizontal="center" vertical="center" wrapText="1"/>
    </xf>
    <xf numFmtId="164" fontId="8" fillId="17" borderId="3" xfId="4" applyNumberFormat="1" applyFont="1" applyFill="1" applyBorder="1" applyAlignment="1">
      <alignment horizontal="center" vertical="center" wrapText="1"/>
    </xf>
    <xf numFmtId="0" fontId="8" fillId="7" borderId="3" xfId="4" applyFont="1" applyFill="1" applyBorder="1" applyAlignment="1">
      <alignment horizontal="center" vertical="center" wrapText="1"/>
    </xf>
    <xf numFmtId="0" fontId="8" fillId="15" borderId="3" xfId="4" applyFont="1" applyFill="1" applyBorder="1" applyAlignment="1">
      <alignment horizontal="left" vertical="top" wrapText="1"/>
    </xf>
    <xf numFmtId="0" fontId="8" fillId="14" borderId="3" xfId="4" applyFont="1" applyFill="1" applyBorder="1" applyAlignment="1">
      <alignment horizontal="left" vertical="top" wrapText="1"/>
    </xf>
    <xf numFmtId="0" fontId="9" fillId="6" borderId="3" xfId="4" applyFont="1" applyBorder="1" applyAlignment="1">
      <alignment vertical="center"/>
    </xf>
    <xf numFmtId="0" fontId="19" fillId="9" borderId="3" xfId="4" applyFont="1" applyFill="1" applyBorder="1" applyAlignment="1">
      <alignment horizontal="center" vertical="center" wrapText="1"/>
    </xf>
    <xf numFmtId="0" fontId="20" fillId="23" borderId="3" xfId="4" applyFont="1" applyFill="1" applyBorder="1" applyAlignment="1">
      <alignment horizontal="left" vertical="top" wrapText="1"/>
    </xf>
    <xf numFmtId="0" fontId="18" fillId="23" borderId="3" xfId="4" applyFont="1" applyFill="1" applyBorder="1" applyAlignment="1">
      <alignment horizontal="left" vertical="top" wrapText="1"/>
    </xf>
    <xf numFmtId="0" fontId="18" fillId="24" borderId="3" xfId="4" applyFont="1" applyFill="1" applyBorder="1" applyAlignment="1">
      <alignment horizontal="center" vertical="top" wrapText="1"/>
    </xf>
    <xf numFmtId="0" fontId="18" fillId="17" borderId="3" xfId="4" applyFont="1" applyFill="1" applyBorder="1" applyAlignment="1">
      <alignment horizontal="center" vertical="top" wrapText="1"/>
    </xf>
    <xf numFmtId="0" fontId="18" fillId="23" borderId="3" xfId="4" applyFont="1" applyFill="1" applyBorder="1" applyAlignment="1">
      <alignment horizontal="center" vertical="top" wrapText="1"/>
    </xf>
    <xf numFmtId="0" fontId="18" fillId="14" borderId="3" xfId="4" applyFont="1" applyFill="1" applyBorder="1" applyAlignment="1">
      <alignment horizontal="center" vertical="top" wrapText="1"/>
    </xf>
    <xf numFmtId="0" fontId="20" fillId="14" borderId="3" xfId="4" applyFont="1" applyFill="1" applyBorder="1" applyAlignment="1">
      <alignment horizontal="left" vertical="top" wrapText="1"/>
    </xf>
    <xf numFmtId="0" fontId="18" fillId="14" borderId="3" xfId="4" applyFont="1" applyFill="1" applyBorder="1" applyAlignment="1">
      <alignment horizontal="left" vertical="top" wrapText="1"/>
    </xf>
    <xf numFmtId="0" fontId="4" fillId="6" borderId="3" xfId="4" applyBorder="1" applyAlignment="1">
      <alignment vertical="center" wrapText="1"/>
    </xf>
    <xf numFmtId="0" fontId="22" fillId="26" borderId="3" xfId="4" applyFont="1" applyFill="1" applyBorder="1" applyAlignment="1">
      <alignment vertical="center" wrapText="1"/>
    </xf>
    <xf numFmtId="165" fontId="4" fillId="6" borderId="3" xfId="4" applyNumberFormat="1" applyBorder="1" applyAlignment="1">
      <alignment vertical="center" wrapText="1"/>
    </xf>
    <xf numFmtId="0" fontId="6" fillId="10" borderId="3" xfId="4" applyFont="1" applyFill="1" applyBorder="1" applyAlignment="1">
      <alignment horizontal="center" vertical="center" wrapText="1"/>
    </xf>
    <xf numFmtId="0" fontId="10" fillId="17" borderId="3" xfId="4" applyFont="1" applyFill="1" applyBorder="1" applyAlignment="1">
      <alignment horizontal="center" vertical="center" wrapText="1"/>
    </xf>
    <xf numFmtId="165" fontId="8" fillId="15" borderId="3" xfId="4" applyNumberFormat="1" applyFont="1" applyFill="1" applyBorder="1" applyAlignment="1">
      <alignment horizontal="center" vertical="center" wrapText="1"/>
    </xf>
    <xf numFmtId="0" fontId="11" fillId="15" borderId="3" xfId="4" applyFont="1" applyFill="1" applyBorder="1" applyAlignment="1">
      <alignment horizontal="left" vertical="center" wrapText="1"/>
    </xf>
    <xf numFmtId="0" fontId="12" fillId="17" borderId="3" xfId="4" applyFont="1" applyFill="1" applyBorder="1" applyAlignment="1">
      <alignment horizontal="center" vertical="center" wrapText="1"/>
    </xf>
    <xf numFmtId="165" fontId="4" fillId="14" borderId="3" xfId="4" applyNumberFormat="1" applyFill="1" applyBorder="1" applyAlignment="1">
      <alignment vertical="center" wrapText="1"/>
    </xf>
    <xf numFmtId="0" fontId="4" fillId="14" borderId="3" xfId="4" applyFill="1" applyBorder="1" applyAlignment="1">
      <alignment vertical="center" wrapText="1"/>
    </xf>
    <xf numFmtId="0" fontId="4" fillId="7" borderId="3" xfId="4" applyFill="1" applyBorder="1" applyAlignment="1">
      <alignment horizontal="center" vertical="center" wrapText="1"/>
    </xf>
    <xf numFmtId="165" fontId="4" fillId="15" borderId="3" xfId="4" applyNumberFormat="1" applyFill="1" applyBorder="1" applyAlignment="1">
      <alignment vertical="center" wrapText="1"/>
    </xf>
    <xf numFmtId="0" fontId="4" fillId="15" borderId="3" xfId="4" applyFill="1" applyBorder="1" applyAlignment="1">
      <alignment vertical="center" wrapText="1"/>
    </xf>
    <xf numFmtId="0" fontId="6" fillId="18" borderId="3" xfId="4" applyFont="1" applyFill="1" applyBorder="1" applyAlignment="1">
      <alignment horizontal="center" vertical="center" wrapText="1"/>
    </xf>
    <xf numFmtId="0" fontId="16" fillId="34" borderId="3" xfId="4" applyFont="1" applyFill="1" applyBorder="1" applyAlignment="1">
      <alignment wrapText="1"/>
    </xf>
    <xf numFmtId="0" fontId="8" fillId="6" borderId="3" xfId="4" applyFont="1" applyBorder="1" applyAlignment="1">
      <alignment wrapText="1"/>
    </xf>
    <xf numFmtId="166" fontId="8" fillId="6" borderId="3" xfId="4" applyNumberFormat="1" applyFont="1" applyBorder="1" applyAlignment="1">
      <alignment wrapText="1"/>
    </xf>
    <xf numFmtId="0" fontId="16" fillId="35" borderId="3" xfId="4" applyFont="1" applyFill="1" applyBorder="1" applyAlignment="1">
      <alignment wrapText="1"/>
    </xf>
    <xf numFmtId="166" fontId="16" fillId="35" borderId="3" xfId="4" applyNumberFormat="1" applyFont="1" applyFill="1" applyBorder="1" applyAlignment="1">
      <alignment wrapText="1"/>
    </xf>
    <xf numFmtId="0" fontId="6" fillId="12" borderId="3" xfId="4" applyFont="1" applyFill="1" applyBorder="1" applyAlignment="1">
      <alignment horizontal="center" vertical="center" wrapText="1"/>
    </xf>
    <xf numFmtId="0" fontId="13" fillId="19" borderId="3" xfId="4" applyFont="1" applyFill="1" applyBorder="1" applyAlignment="1">
      <alignment horizontal="center" vertical="center" wrapText="1"/>
    </xf>
    <xf numFmtId="165" fontId="8" fillId="19" borderId="3" xfId="4" applyNumberFormat="1" applyFont="1" applyFill="1" applyBorder="1" applyAlignment="1">
      <alignment horizontal="center" vertical="center" wrapText="1"/>
    </xf>
    <xf numFmtId="0" fontId="11" fillId="19" borderId="3" xfId="4" applyFont="1" applyFill="1" applyBorder="1" applyAlignment="1">
      <alignment horizontal="left" vertical="center" wrapText="1"/>
    </xf>
    <xf numFmtId="0" fontId="8" fillId="19" borderId="3" xfId="4" applyFont="1" applyFill="1" applyBorder="1" applyAlignment="1">
      <alignment horizontal="center" vertical="center" wrapText="1"/>
    </xf>
    <xf numFmtId="0" fontId="8" fillId="17" borderId="3" xfId="4" applyFont="1" applyFill="1" applyBorder="1" applyAlignment="1">
      <alignment horizontal="center" vertical="center" wrapText="1"/>
    </xf>
    <xf numFmtId="0" fontId="8" fillId="19" borderId="3" xfId="4" applyFont="1" applyFill="1" applyBorder="1" applyAlignment="1">
      <alignment horizontal="left" vertical="center" wrapText="1"/>
    </xf>
    <xf numFmtId="165" fontId="8" fillId="14" borderId="3" xfId="4" applyNumberFormat="1" applyFont="1" applyFill="1" applyBorder="1" applyAlignment="1">
      <alignment horizontal="center" vertical="center" wrapText="1"/>
    </xf>
    <xf numFmtId="0" fontId="6" fillId="20" borderId="3" xfId="4" applyFont="1" applyFill="1" applyBorder="1" applyAlignment="1">
      <alignment horizontal="center" vertical="center" wrapText="1"/>
    </xf>
    <xf numFmtId="0" fontId="14" fillId="21" borderId="3" xfId="4" applyFont="1" applyFill="1" applyBorder="1" applyAlignment="1">
      <alignment horizontal="center" vertical="center" wrapText="1"/>
    </xf>
    <xf numFmtId="165" fontId="8" fillId="21" borderId="3" xfId="4" applyNumberFormat="1" applyFont="1" applyFill="1" applyBorder="1" applyAlignment="1">
      <alignment horizontal="center" vertical="center" wrapText="1"/>
    </xf>
    <xf numFmtId="0" fontId="11" fillId="21" borderId="3" xfId="4" applyFont="1" applyFill="1" applyBorder="1" applyAlignment="1">
      <alignment horizontal="left" vertical="center" wrapText="1"/>
    </xf>
    <xf numFmtId="0" fontId="8" fillId="21" borderId="3" xfId="4" applyFont="1" applyFill="1" applyBorder="1" applyAlignment="1">
      <alignment horizontal="center" vertical="center" wrapText="1"/>
    </xf>
    <xf numFmtId="0" fontId="8" fillId="21" borderId="3" xfId="4" applyFont="1" applyFill="1" applyBorder="1" applyAlignment="1">
      <alignment horizontal="left" vertical="center" wrapText="1"/>
    </xf>
    <xf numFmtId="0" fontId="6" fillId="13" borderId="3" xfId="4" applyFont="1" applyFill="1" applyBorder="1" applyAlignment="1">
      <alignment horizontal="center" vertical="center" wrapText="1"/>
    </xf>
    <xf numFmtId="0" fontId="15" fillId="19" borderId="3" xfId="4" applyFont="1" applyFill="1" applyBorder="1" applyAlignment="1">
      <alignment horizontal="center" vertical="center" wrapText="1"/>
    </xf>
    <xf numFmtId="0" fontId="13" fillId="14" borderId="3" xfId="4" applyFont="1" applyFill="1" applyBorder="1" applyAlignment="1">
      <alignment horizontal="center" vertical="center" wrapText="1"/>
    </xf>
    <xf numFmtId="0" fontId="16" fillId="14" borderId="3" xfId="4" applyFont="1" applyFill="1" applyBorder="1" applyAlignment="1">
      <alignment horizontal="center" vertical="center" wrapText="1"/>
    </xf>
    <xf numFmtId="0" fontId="6" fillId="22" borderId="3" xfId="4" applyFont="1" applyFill="1" applyBorder="1" applyAlignment="1">
      <alignment horizontal="center" vertical="center" wrapText="1"/>
    </xf>
    <xf numFmtId="0" fontId="17" fillId="7" borderId="3" xfId="4" applyFont="1" applyFill="1" applyBorder="1" applyAlignment="1">
      <alignment horizontal="center" vertical="center" wrapText="1"/>
    </xf>
    <xf numFmtId="165" fontId="8" fillId="7" borderId="3" xfId="4" applyNumberFormat="1" applyFont="1" applyFill="1" applyBorder="1" applyAlignment="1">
      <alignment horizontal="center" vertical="center" wrapText="1"/>
    </xf>
    <xf numFmtId="0" fontId="11" fillId="7" borderId="3" xfId="4" applyFont="1" applyFill="1" applyBorder="1" applyAlignment="1">
      <alignment horizontal="left" vertical="center" wrapText="1"/>
    </xf>
    <xf numFmtId="0" fontId="8" fillId="7" borderId="3" xfId="4" applyFont="1" applyFill="1" applyBorder="1" applyAlignment="1">
      <alignment horizontal="left" vertical="center" wrapText="1"/>
    </xf>
    <xf numFmtId="166" fontId="8" fillId="7" borderId="3" xfId="4" applyNumberFormat="1" applyFont="1" applyFill="1" applyBorder="1" applyAlignment="1">
      <alignment horizontal="center" vertical="center" wrapText="1"/>
    </xf>
    <xf numFmtId="166" fontId="8" fillId="14" borderId="3" xfId="4" applyNumberFormat="1" applyFont="1" applyFill="1" applyBorder="1" applyAlignment="1">
      <alignment horizontal="center" vertical="center" wrapText="1"/>
    </xf>
    <xf numFmtId="0" fontId="3" fillId="5" borderId="3" xfId="3" applyFont="1" applyBorder="1" applyAlignment="1">
      <alignment vertical="center" wrapText="1"/>
    </xf>
    <xf numFmtId="165" fontId="3" fillId="5" borderId="3" xfId="3" applyNumberFormat="1" applyFont="1" applyBorder="1" applyAlignment="1">
      <alignment vertical="center" wrapText="1"/>
    </xf>
    <xf numFmtId="166" fontId="3" fillId="5" borderId="3" xfId="3" applyNumberFormat="1" applyFont="1" applyBorder="1" applyAlignment="1">
      <alignment vertical="center" wrapText="1"/>
    </xf>
    <xf numFmtId="0" fontId="2" fillId="2" borderId="1" xfId="2" applyFont="1" applyBorder="1" applyAlignment="1">
      <alignment wrapText="1"/>
    </xf>
    <xf numFmtId="165" fontId="2" fillId="3" borderId="1" xfId="2" applyNumberFormat="1" applyFont="1" applyFill="1" applyBorder="1" applyAlignment="1">
      <alignment horizontal="center" vertical="center" wrapText="1"/>
    </xf>
    <xf numFmtId="165" fontId="2" fillId="4" borderId="1" xfId="2" applyNumberFormat="1" applyFont="1" applyFill="1" applyBorder="1" applyAlignment="1">
      <alignment horizontal="center" vertical="center" wrapText="1"/>
    </xf>
    <xf numFmtId="0" fontId="32" fillId="36" borderId="4" xfId="6"/>
    <xf numFmtId="0" fontId="34" fillId="37" borderId="4" xfId="6" applyFont="1" applyFill="1" applyAlignment="1">
      <alignment horizontal="center" vertical="center" wrapText="1"/>
    </xf>
    <xf numFmtId="0" fontId="35" fillId="36" borderId="4" xfId="6" applyFont="1"/>
    <xf numFmtId="0" fontId="36" fillId="38" borderId="5" xfId="6" applyFont="1" applyFill="1" applyBorder="1" applyAlignment="1">
      <alignment horizontal="center" vertical="center" wrapText="1"/>
    </xf>
    <xf numFmtId="0" fontId="37" fillId="44" borderId="6" xfId="6" applyFont="1" applyFill="1" applyBorder="1" applyAlignment="1">
      <alignment horizontal="left" vertical="center" wrapText="1"/>
    </xf>
    <xf numFmtId="0" fontId="38" fillId="44" borderId="6" xfId="6" applyFont="1" applyFill="1" applyBorder="1" applyAlignment="1">
      <alignment horizontal="center" vertical="center" wrapText="1"/>
    </xf>
    <xf numFmtId="164" fontId="38" fillId="44" borderId="6" xfId="6" applyNumberFormat="1" applyFont="1" applyFill="1" applyBorder="1" applyAlignment="1">
      <alignment horizontal="center" vertical="center" wrapText="1"/>
    </xf>
    <xf numFmtId="0" fontId="37" fillId="45" borderId="6" xfId="6" applyFont="1" applyFill="1" applyBorder="1" applyAlignment="1">
      <alignment horizontal="left" vertical="center" wrapText="1"/>
    </xf>
    <xf numFmtId="0" fontId="38" fillId="45" borderId="6" xfId="6" applyFont="1" applyFill="1" applyBorder="1" applyAlignment="1">
      <alignment horizontal="center" vertical="center" wrapText="1"/>
    </xf>
    <xf numFmtId="164" fontId="38" fillId="45" borderId="6" xfId="6" applyNumberFormat="1" applyFont="1" applyFill="1" applyBorder="1" applyAlignment="1">
      <alignment horizontal="center" vertical="center" wrapText="1"/>
    </xf>
    <xf numFmtId="0" fontId="36" fillId="41" borderId="5" xfId="6" applyFont="1" applyFill="1" applyBorder="1" applyAlignment="1">
      <alignment horizontal="center" vertical="center" wrapText="1"/>
    </xf>
    <xf numFmtId="0" fontId="38" fillId="45" borderId="6" xfId="6" applyFont="1" applyFill="1" applyBorder="1" applyAlignment="1">
      <alignment horizontal="left" vertical="center" wrapText="1"/>
    </xf>
    <xf numFmtId="0" fontId="38" fillId="44" borderId="6" xfId="6" applyFont="1" applyFill="1" applyBorder="1" applyAlignment="1">
      <alignment horizontal="left" vertical="center" wrapText="1"/>
    </xf>
    <xf numFmtId="0" fontId="39" fillId="42" borderId="4" xfId="6" applyFont="1" applyFill="1" applyAlignment="1">
      <alignment horizontal="center" vertical="center"/>
    </xf>
    <xf numFmtId="0" fontId="39" fillId="40" borderId="4" xfId="6" applyFont="1" applyFill="1" applyAlignment="1">
      <alignment horizontal="center" vertical="center"/>
    </xf>
    <xf numFmtId="0" fontId="39" fillId="43" borderId="4" xfId="6" applyFont="1" applyFill="1" applyAlignment="1">
      <alignment horizontal="center" vertical="center"/>
    </xf>
    <xf numFmtId="0" fontId="39" fillId="38" borderId="4" xfId="6" applyFont="1" applyFill="1" applyAlignment="1">
      <alignment horizontal="center" vertical="center"/>
    </xf>
    <xf numFmtId="0" fontId="39" fillId="39" borderId="4" xfId="6" applyFont="1" applyFill="1" applyAlignment="1">
      <alignment horizontal="center" vertical="center"/>
    </xf>
    <xf numFmtId="0" fontId="39" fillId="41" borderId="4" xfId="6" applyFont="1" applyFill="1" applyAlignment="1">
      <alignment horizontal="center" vertical="center"/>
    </xf>
    <xf numFmtId="0" fontId="40" fillId="47" borderId="8" xfId="7"/>
    <xf numFmtId="0" fontId="40" fillId="84" borderId="12" xfId="13" applyFont="1" applyFill="1" applyBorder="1" applyAlignment="1">
      <alignment horizontal="center" vertical="center" wrapText="1"/>
    </xf>
    <xf numFmtId="0" fontId="63" fillId="53" borderId="11" xfId="7" applyFont="1" applyFill="1" applyBorder="1" applyAlignment="1">
      <alignment wrapText="1"/>
    </xf>
    <xf numFmtId="0" fontId="59" fillId="80" borderId="11" xfId="7" applyFont="1" applyFill="1" applyBorder="1"/>
    <xf numFmtId="0" fontId="61" fillId="72" borderId="11" xfId="7" applyFont="1" applyFill="1" applyBorder="1"/>
    <xf numFmtId="0" fontId="45" fillId="53" borderId="11" xfId="7" applyFont="1" applyFill="1" applyBorder="1" applyAlignment="1">
      <alignment vertical="center"/>
    </xf>
    <xf numFmtId="0" fontId="46" fillId="55" borderId="11" xfId="7" applyFont="1" applyFill="1" applyBorder="1" applyAlignment="1">
      <alignment horizontal="left" vertical="center"/>
    </xf>
    <xf numFmtId="0" fontId="74" fillId="83" borderId="12" xfId="13" applyFont="1" applyFill="1" applyBorder="1" applyAlignment="1">
      <alignment horizontal="left" vertical="center"/>
    </xf>
    <xf numFmtId="0" fontId="72" fillId="83" borderId="12" xfId="13" applyFont="1" applyFill="1" applyBorder="1" applyAlignment="1"/>
    <xf numFmtId="0" fontId="73" fillId="83" borderId="12" xfId="13" applyFont="1" applyFill="1" applyBorder="1" applyAlignment="1">
      <alignment horizontal="left" vertical="center"/>
    </xf>
    <xf numFmtId="0" fontId="44" fillId="53" borderId="11" xfId="7" applyFont="1" applyFill="1" applyBorder="1"/>
    <xf numFmtId="0" fontId="49" fillId="53" borderId="11" xfId="7" applyFont="1" applyFill="1" applyBorder="1" applyAlignment="1">
      <alignment horizontal="left" vertical="center"/>
    </xf>
    <xf numFmtId="0" fontId="40" fillId="47" borderId="8" xfId="8" applyFont="1" applyAlignment="1">
      <alignment horizontal="left" vertical="top" wrapText="1"/>
    </xf>
    <xf numFmtId="0" fontId="65" fillId="75" borderId="10" xfId="12" applyFont="1" applyFill="1" applyBorder="1" applyAlignment="1">
      <alignment horizontal="center" vertical="center" wrapText="1"/>
    </xf>
    <xf numFmtId="0" fontId="65" fillId="75" borderId="10" xfId="12" applyFont="1" applyFill="1" applyBorder="1" applyAlignment="1">
      <alignment horizontal="left" vertical="center" wrapText="1"/>
    </xf>
    <xf numFmtId="0" fontId="65" fillId="74" borderId="10" xfId="12" applyFont="1" applyFill="1" applyBorder="1" applyAlignment="1">
      <alignment horizontal="center" vertical="center" wrapText="1"/>
    </xf>
    <xf numFmtId="0" fontId="66" fillId="77" borderId="10" xfId="12" applyFont="1" applyFill="1" applyBorder="1" applyAlignment="1">
      <alignment horizontal="center" vertical="center" wrapText="1"/>
    </xf>
    <xf numFmtId="0" fontId="67" fillId="77" borderId="10" xfId="12" applyFont="1" applyFill="1" applyBorder="1" applyAlignment="1">
      <alignment horizontal="center" vertical="center" wrapText="1"/>
    </xf>
    <xf numFmtId="0" fontId="64" fillId="75" borderId="10" xfId="12" applyFont="1" applyFill="1" applyBorder="1"/>
    <xf numFmtId="0" fontId="64" fillId="74" borderId="10" xfId="12" applyFont="1" applyFill="1" applyBorder="1" applyAlignment="1">
      <alignment horizontal="center" vertical="center" wrapText="1"/>
    </xf>
    <xf numFmtId="0" fontId="64" fillId="76" borderId="10" xfId="12" applyFont="1" applyFill="1" applyBorder="1"/>
    <xf numFmtId="0" fontId="65" fillId="77" borderId="10" xfId="12" applyFont="1" applyFill="1" applyBorder="1" applyAlignment="1">
      <alignment horizontal="center" vertical="center" wrapText="1"/>
    </xf>
    <xf numFmtId="0" fontId="68" fillId="78" borderId="10" xfId="12" applyFont="1" applyFill="1" applyBorder="1" applyAlignment="1">
      <alignment horizontal="center" vertical="center" wrapText="1"/>
    </xf>
    <xf numFmtId="0" fontId="65" fillId="78" borderId="10" xfId="12" applyFont="1" applyFill="1" applyBorder="1" applyAlignment="1">
      <alignment horizontal="center" vertical="center" wrapText="1"/>
    </xf>
    <xf numFmtId="0" fontId="65" fillId="78" borderId="10" xfId="12" applyFont="1" applyFill="1" applyBorder="1" applyAlignment="1">
      <alignment horizontal="left" vertical="center" wrapText="1"/>
    </xf>
    <xf numFmtId="0" fontId="69" fillId="79" borderId="10" xfId="12" applyFont="1" applyFill="1" applyBorder="1" applyAlignment="1">
      <alignment horizontal="center" vertical="center" wrapText="1"/>
    </xf>
    <xf numFmtId="0" fontId="65" fillId="79" borderId="10" xfId="12" applyFont="1" applyFill="1" applyBorder="1" applyAlignment="1">
      <alignment horizontal="center" vertical="center" wrapText="1"/>
    </xf>
    <xf numFmtId="0" fontId="65" fillId="79" borderId="10" xfId="12" applyFont="1" applyFill="1" applyBorder="1" applyAlignment="1">
      <alignment horizontal="left" vertical="center" wrapText="1"/>
    </xf>
    <xf numFmtId="0" fontId="70" fillId="78" borderId="10" xfId="12" applyFont="1" applyFill="1" applyBorder="1" applyAlignment="1">
      <alignment horizontal="center" vertical="center" wrapText="1"/>
    </xf>
    <xf numFmtId="0" fontId="71" fillId="74" borderId="10" xfId="12" applyFont="1" applyFill="1" applyBorder="1" applyAlignment="1">
      <alignment horizontal="center" vertical="center" wrapText="1"/>
    </xf>
    <xf numFmtId="0" fontId="65" fillId="74" borderId="10" xfId="12" applyFont="1" applyFill="1" applyBorder="1" applyAlignment="1">
      <alignment horizontal="left" vertical="center" wrapText="1"/>
    </xf>
    <xf numFmtId="0" fontId="44" fillId="53" borderId="11" xfId="11" applyBorder="1"/>
    <xf numFmtId="0" fontId="46" fillId="58" borderId="11" xfId="11" applyFont="1" applyFill="1" applyBorder="1" applyAlignment="1">
      <alignment horizontal="center" vertical="center" wrapText="1"/>
    </xf>
    <xf numFmtId="0" fontId="48" fillId="62" borderId="11" xfId="11" applyFont="1" applyFill="1" applyBorder="1" applyAlignment="1">
      <alignment horizontal="left" vertical="center" wrapText="1"/>
    </xf>
    <xf numFmtId="0" fontId="48" fillId="62" borderId="11" xfId="11" applyFont="1" applyFill="1" applyBorder="1" applyAlignment="1">
      <alignment horizontal="center" vertical="center" wrapText="1"/>
    </xf>
    <xf numFmtId="0" fontId="48" fillId="61" borderId="11" xfId="11" applyFont="1" applyFill="1" applyBorder="1" applyAlignment="1">
      <alignment horizontal="left" vertical="center" wrapText="1"/>
    </xf>
    <xf numFmtId="0" fontId="48" fillId="61" borderId="11" xfId="11" applyFont="1" applyFill="1" applyBorder="1" applyAlignment="1">
      <alignment horizontal="center" vertical="center" wrapText="1"/>
    </xf>
    <xf numFmtId="0" fontId="44" fillId="53" borderId="11" xfId="11" applyBorder="1" applyAlignment="1">
      <alignment horizontal="left" vertical="top" wrapText="1"/>
    </xf>
    <xf numFmtId="0" fontId="46" fillId="58" borderId="11" xfId="11" applyFont="1" applyFill="1" applyBorder="1" applyAlignment="1">
      <alignment horizontal="left" vertical="top" wrapText="1"/>
    </xf>
    <xf numFmtId="0" fontId="47" fillId="63" borderId="11" xfId="11" applyFont="1" applyFill="1" applyBorder="1" applyAlignment="1">
      <alignment horizontal="center" vertical="center" wrapText="1"/>
    </xf>
    <xf numFmtId="164" fontId="48" fillId="64" borderId="11" xfId="11" applyNumberFormat="1" applyFont="1" applyFill="1" applyBorder="1" applyAlignment="1">
      <alignment horizontal="center" vertical="center" wrapText="1"/>
    </xf>
    <xf numFmtId="0" fontId="48" fillId="54" borderId="11" xfId="11" applyFont="1" applyFill="1" applyBorder="1" applyAlignment="1">
      <alignment horizontal="center" vertical="center" wrapText="1"/>
    </xf>
    <xf numFmtId="0" fontId="48" fillId="62" borderId="11" xfId="11" applyFont="1" applyFill="1" applyBorder="1" applyAlignment="1">
      <alignment horizontal="left" vertical="top" wrapText="1"/>
    </xf>
    <xf numFmtId="0" fontId="48" fillId="61" borderId="11" xfId="11" applyFont="1" applyFill="1" applyBorder="1" applyAlignment="1">
      <alignment horizontal="left" vertical="top" wrapText="1"/>
    </xf>
    <xf numFmtId="0" fontId="49" fillId="53" borderId="11" xfId="11" applyFont="1" applyBorder="1" applyAlignment="1">
      <alignment vertical="center"/>
    </xf>
    <xf numFmtId="0" fontId="59" fillId="56" borderId="11" xfId="11" applyFont="1" applyFill="1" applyBorder="1" applyAlignment="1">
      <alignment horizontal="center" vertical="center" wrapText="1"/>
    </xf>
    <xf numFmtId="0" fontId="60" fillId="70" borderId="11" xfId="11" applyFont="1" applyFill="1" applyBorder="1" applyAlignment="1">
      <alignment horizontal="left" vertical="top" wrapText="1"/>
    </xf>
    <xf numFmtId="0" fontId="58" fillId="70" borderId="11" xfId="11" applyFont="1" applyFill="1" applyBorder="1" applyAlignment="1">
      <alignment horizontal="left" vertical="top" wrapText="1"/>
    </xf>
    <xf numFmtId="0" fontId="58" fillId="71" borderId="11" xfId="11" applyFont="1" applyFill="1" applyBorder="1" applyAlignment="1">
      <alignment horizontal="center" vertical="top" wrapText="1"/>
    </xf>
    <xf numFmtId="0" fontId="58" fillId="64" borderId="11" xfId="11" applyFont="1" applyFill="1" applyBorder="1" applyAlignment="1">
      <alignment horizontal="center" vertical="top" wrapText="1"/>
    </xf>
    <xf numFmtId="0" fontId="58" fillId="70" borderId="11" xfId="11" applyFont="1" applyFill="1" applyBorder="1" applyAlignment="1">
      <alignment horizontal="center" vertical="top" wrapText="1"/>
    </xf>
    <xf numFmtId="0" fontId="58" fillId="61" borderId="11" xfId="11" applyFont="1" applyFill="1" applyBorder="1" applyAlignment="1">
      <alignment horizontal="center" vertical="top" wrapText="1"/>
    </xf>
    <xf numFmtId="0" fontId="60" fillId="61" borderId="11" xfId="11" applyFont="1" applyFill="1" applyBorder="1" applyAlignment="1">
      <alignment horizontal="left" vertical="top" wrapText="1"/>
    </xf>
    <xf numFmtId="0" fontId="58" fillId="61" borderId="11" xfId="11" applyFont="1" applyFill="1" applyBorder="1" applyAlignment="1">
      <alignment horizontal="left" vertical="top" wrapText="1"/>
    </xf>
    <xf numFmtId="0" fontId="44" fillId="53" borderId="11" xfId="11" applyBorder="1" applyAlignment="1">
      <alignment vertical="center" wrapText="1"/>
    </xf>
    <xf numFmtId="0" fontId="62" fillId="73" borderId="11" xfId="11" applyFont="1" applyFill="1" applyBorder="1" applyAlignment="1">
      <alignment vertical="center" wrapText="1"/>
    </xf>
    <xf numFmtId="165" fontId="44" fillId="53" borderId="11" xfId="11" applyNumberFormat="1" applyBorder="1" applyAlignment="1">
      <alignment vertical="center" wrapText="1"/>
    </xf>
    <xf numFmtId="0" fontId="46" fillId="57" borderId="11" xfId="11" applyFont="1" applyFill="1" applyBorder="1" applyAlignment="1">
      <alignment horizontal="center" vertical="center" wrapText="1"/>
    </xf>
    <xf numFmtId="0" fontId="50" fillId="64" borderId="11" xfId="11" applyFont="1" applyFill="1" applyBorder="1" applyAlignment="1">
      <alignment horizontal="center" vertical="center" wrapText="1"/>
    </xf>
    <xf numFmtId="165" fontId="48" fillId="62" borderId="11" xfId="11" applyNumberFormat="1" applyFont="1" applyFill="1" applyBorder="1" applyAlignment="1">
      <alignment horizontal="center" vertical="center" wrapText="1"/>
    </xf>
    <xf numFmtId="0" fontId="51" fillId="62" borderId="11" xfId="11" applyFont="1" applyFill="1" applyBorder="1" applyAlignment="1">
      <alignment horizontal="left" vertical="center" wrapText="1"/>
    </xf>
    <xf numFmtId="0" fontId="52" fillId="64" borderId="11" xfId="11" applyFont="1" applyFill="1" applyBorder="1" applyAlignment="1">
      <alignment horizontal="center" vertical="center" wrapText="1"/>
    </xf>
    <xf numFmtId="165" fontId="44" fillId="61" borderId="11" xfId="11" applyNumberFormat="1" applyFill="1" applyBorder="1" applyAlignment="1">
      <alignment vertical="center" wrapText="1"/>
    </xf>
    <xf numFmtId="0" fontId="44" fillId="61" borderId="11" xfId="11" applyFill="1" applyBorder="1" applyAlignment="1">
      <alignment vertical="center" wrapText="1"/>
    </xf>
    <xf numFmtId="0" fontId="44" fillId="54" borderId="11" xfId="11" applyFill="1" applyBorder="1" applyAlignment="1">
      <alignment horizontal="center" vertical="center" wrapText="1"/>
    </xf>
    <xf numFmtId="165" fontId="44" fillId="62" borderId="11" xfId="11" applyNumberFormat="1" applyFill="1" applyBorder="1" applyAlignment="1">
      <alignment vertical="center" wrapText="1"/>
    </xf>
    <xf numFmtId="0" fontId="44" fillId="62" borderId="11" xfId="11" applyFill="1" applyBorder="1" applyAlignment="1">
      <alignment vertical="center" wrapText="1"/>
    </xf>
    <xf numFmtId="0" fontId="46" fillId="65" borderId="11" xfId="11" applyFont="1" applyFill="1" applyBorder="1" applyAlignment="1">
      <alignment horizontal="center" vertical="center" wrapText="1"/>
    </xf>
    <xf numFmtId="0" fontId="56" fillId="81" borderId="11" xfId="11" applyFont="1" applyFill="1" applyBorder="1" applyAlignment="1">
      <alignment wrapText="1"/>
    </xf>
    <xf numFmtId="0" fontId="48" fillId="53" borderId="11" xfId="11" applyFont="1" applyBorder="1" applyAlignment="1">
      <alignment wrapText="1"/>
    </xf>
    <xf numFmtId="166" fontId="48" fillId="53" borderId="11" xfId="11" applyNumberFormat="1" applyFont="1" applyBorder="1" applyAlignment="1">
      <alignment wrapText="1"/>
    </xf>
    <xf numFmtId="0" fontId="56" fillId="82" borderId="11" xfId="11" applyFont="1" applyFill="1" applyBorder="1" applyAlignment="1">
      <alignment wrapText="1"/>
    </xf>
    <xf numFmtId="166" fontId="56" fillId="82" borderId="11" xfId="11" applyNumberFormat="1" applyFont="1" applyFill="1" applyBorder="1" applyAlignment="1">
      <alignment wrapText="1"/>
    </xf>
    <xf numFmtId="0" fontId="46" fillId="59" borderId="11" xfId="11" applyFont="1" applyFill="1" applyBorder="1" applyAlignment="1">
      <alignment horizontal="center" vertical="center" wrapText="1"/>
    </xf>
    <xf numFmtId="0" fontId="53" fillId="66" borderId="11" xfId="11" applyFont="1" applyFill="1" applyBorder="1" applyAlignment="1">
      <alignment horizontal="center" vertical="center" wrapText="1"/>
    </xf>
    <xf numFmtId="165" fontId="48" fillId="66" borderId="11" xfId="11" applyNumberFormat="1" applyFont="1" applyFill="1" applyBorder="1" applyAlignment="1">
      <alignment horizontal="center" vertical="center" wrapText="1"/>
    </xf>
    <xf numFmtId="0" fontId="51" fillId="66" borderId="11" xfId="11" applyFont="1" applyFill="1" applyBorder="1" applyAlignment="1">
      <alignment horizontal="left" vertical="center" wrapText="1"/>
    </xf>
    <xf numFmtId="0" fontId="48" fillId="66" borderId="11" xfId="11" applyFont="1" applyFill="1" applyBorder="1" applyAlignment="1">
      <alignment horizontal="center" vertical="center" wrapText="1"/>
    </xf>
    <xf numFmtId="0" fontId="48" fillId="64" borderId="11" xfId="11" applyFont="1" applyFill="1" applyBorder="1" applyAlignment="1">
      <alignment horizontal="center" vertical="center" wrapText="1"/>
    </xf>
    <xf numFmtId="0" fontId="48" fillId="66" borderId="11" xfId="11" applyFont="1" applyFill="1" applyBorder="1" applyAlignment="1">
      <alignment horizontal="left" vertical="center" wrapText="1"/>
    </xf>
    <xf numFmtId="165" fontId="48" fillId="61" borderId="11" xfId="11" applyNumberFormat="1" applyFont="1" applyFill="1" applyBorder="1" applyAlignment="1">
      <alignment horizontal="center" vertical="center" wrapText="1"/>
    </xf>
    <xf numFmtId="0" fontId="46" fillId="67" borderId="11" xfId="11" applyFont="1" applyFill="1" applyBorder="1" applyAlignment="1">
      <alignment horizontal="center" vertical="center" wrapText="1"/>
    </xf>
    <xf numFmtId="0" fontId="54" fillId="68" borderId="11" xfId="11" applyFont="1" applyFill="1" applyBorder="1" applyAlignment="1">
      <alignment horizontal="center" vertical="center" wrapText="1"/>
    </xf>
    <xf numFmtId="165" fontId="48" fillId="68" borderId="11" xfId="11" applyNumberFormat="1" applyFont="1" applyFill="1" applyBorder="1" applyAlignment="1">
      <alignment horizontal="center" vertical="center" wrapText="1"/>
    </xf>
    <xf numFmtId="0" fontId="51" fillId="68" borderId="11" xfId="11" applyFont="1" applyFill="1" applyBorder="1" applyAlignment="1">
      <alignment horizontal="left" vertical="center" wrapText="1"/>
    </xf>
    <xf numFmtId="0" fontId="48" fillId="68" borderId="11" xfId="11" applyFont="1" applyFill="1" applyBorder="1" applyAlignment="1">
      <alignment horizontal="center" vertical="center" wrapText="1"/>
    </xf>
    <xf numFmtId="0" fontId="48" fillId="68" borderId="11" xfId="11" applyFont="1" applyFill="1" applyBorder="1" applyAlignment="1">
      <alignment horizontal="left" vertical="center" wrapText="1"/>
    </xf>
    <xf numFmtId="0" fontId="46" fillId="60" borderId="11" xfId="11" applyFont="1" applyFill="1" applyBorder="1" applyAlignment="1">
      <alignment horizontal="center" vertical="center" wrapText="1"/>
    </xf>
    <xf numFmtId="0" fontId="55" fillId="66" borderId="11" xfId="11" applyFont="1" applyFill="1" applyBorder="1" applyAlignment="1">
      <alignment horizontal="center" vertical="center" wrapText="1"/>
    </xf>
    <xf numFmtId="0" fontId="53" fillId="61" borderId="11" xfId="11" applyFont="1" applyFill="1" applyBorder="1" applyAlignment="1">
      <alignment horizontal="center" vertical="center" wrapText="1"/>
    </xf>
    <xf numFmtId="0" fontId="56" fillId="61" borderId="11" xfId="11" applyFont="1" applyFill="1" applyBorder="1" applyAlignment="1">
      <alignment horizontal="center" vertical="center" wrapText="1"/>
    </xf>
    <xf numFmtId="0" fontId="46" fillId="69" borderId="11" xfId="11" applyFont="1" applyFill="1" applyBorder="1" applyAlignment="1">
      <alignment horizontal="center" vertical="center" wrapText="1"/>
    </xf>
    <xf numFmtId="0" fontId="57" fillId="54" borderId="11" xfId="11" applyFont="1" applyFill="1" applyBorder="1" applyAlignment="1">
      <alignment horizontal="center" vertical="center" wrapText="1"/>
    </xf>
    <xf numFmtId="165" fontId="48" fillId="54" borderId="11" xfId="11" applyNumberFormat="1" applyFont="1" applyFill="1" applyBorder="1" applyAlignment="1">
      <alignment horizontal="center" vertical="center" wrapText="1"/>
    </xf>
    <xf numFmtId="0" fontId="51" fillId="54" borderId="11" xfId="11" applyFont="1" applyFill="1" applyBorder="1" applyAlignment="1">
      <alignment horizontal="left" vertical="center" wrapText="1"/>
    </xf>
    <xf numFmtId="0" fontId="48" fillId="54" borderId="11" xfId="11" applyFont="1" applyFill="1" applyBorder="1" applyAlignment="1">
      <alignment horizontal="left" vertical="center" wrapText="1"/>
    </xf>
    <xf numFmtId="166" fontId="48" fillId="54" borderId="11" xfId="11" applyNumberFormat="1" applyFont="1" applyFill="1" applyBorder="1" applyAlignment="1">
      <alignment horizontal="center" vertical="center" wrapText="1"/>
    </xf>
    <xf numFmtId="166" fontId="48" fillId="61" borderId="11" xfId="11" applyNumberFormat="1" applyFont="1" applyFill="1" applyBorder="1" applyAlignment="1">
      <alignment horizontal="center" vertical="center" wrapText="1"/>
    </xf>
    <xf numFmtId="0" fontId="43" fillId="52" borderId="11" xfId="10" applyFont="1" applyBorder="1" applyAlignment="1">
      <alignment vertical="center" wrapText="1"/>
    </xf>
    <xf numFmtId="165" fontId="43" fillId="52" borderId="11" xfId="10" applyNumberFormat="1" applyFont="1" applyBorder="1" applyAlignment="1">
      <alignment vertical="center" wrapText="1"/>
    </xf>
    <xf numFmtId="166" fontId="43" fillId="52" borderId="11" xfId="10" applyNumberFormat="1" applyFont="1" applyBorder="1" applyAlignment="1">
      <alignment vertical="center" wrapText="1"/>
    </xf>
    <xf numFmtId="0" fontId="42" fillId="49" borderId="9" xfId="9" applyFont="1" applyBorder="1" applyAlignment="1">
      <alignment wrapText="1"/>
    </xf>
    <xf numFmtId="165" fontId="42" fillId="50" borderId="9" xfId="9" applyNumberFormat="1" applyFont="1" applyFill="1" applyBorder="1" applyAlignment="1">
      <alignment horizontal="center" vertical="center" wrapText="1"/>
    </xf>
    <xf numFmtId="165" fontId="42" fillId="51" borderId="9" xfId="9" applyNumberFormat="1" applyFont="1" applyFill="1" applyBorder="1" applyAlignment="1">
      <alignment horizontal="center" vertical="center" wrapText="1"/>
    </xf>
    <xf numFmtId="0" fontId="72" fillId="83" borderId="12" xfId="13"/>
    <xf numFmtId="0" fontId="74" fillId="84" borderId="12" xfId="13" applyFont="1" applyFill="1" applyAlignment="1">
      <alignment horizontal="center" vertical="center" wrapText="1"/>
    </xf>
    <xf numFmtId="0" fontId="75" fillId="83" borderId="12" xfId="13" applyFont="1"/>
    <xf numFmtId="0" fontId="76" fillId="85" borderId="13" xfId="13" applyFont="1" applyFill="1" applyBorder="1" applyAlignment="1">
      <alignment horizontal="center" vertical="center" wrapText="1"/>
    </xf>
    <xf numFmtId="0" fontId="77" fillId="91" borderId="14" xfId="13" applyFont="1" applyFill="1" applyBorder="1" applyAlignment="1">
      <alignment horizontal="left" vertical="center" wrapText="1"/>
    </xf>
    <xf numFmtId="0" fontId="78" fillId="91" borderId="14" xfId="13" applyFont="1" applyFill="1" applyBorder="1" applyAlignment="1">
      <alignment horizontal="center" vertical="center" wrapText="1"/>
    </xf>
    <xf numFmtId="164" fontId="78" fillId="91" borderId="14" xfId="13" applyNumberFormat="1" applyFont="1" applyFill="1" applyBorder="1" applyAlignment="1">
      <alignment horizontal="center" vertical="center" wrapText="1"/>
    </xf>
    <xf numFmtId="0" fontId="77" fillId="92" borderId="14" xfId="13" applyFont="1" applyFill="1" applyBorder="1" applyAlignment="1">
      <alignment horizontal="left" vertical="center" wrapText="1"/>
    </xf>
    <xf numFmtId="0" fontId="78" fillId="92" borderId="14" xfId="13" applyFont="1" applyFill="1" applyBorder="1" applyAlignment="1">
      <alignment horizontal="center" vertical="center" wrapText="1"/>
    </xf>
    <xf numFmtId="164" fontId="78" fillId="92" borderId="14" xfId="13" applyNumberFormat="1" applyFont="1" applyFill="1" applyBorder="1" applyAlignment="1">
      <alignment horizontal="center" vertical="center" wrapText="1"/>
    </xf>
    <xf numFmtId="0" fontId="76" fillId="88" borderId="13" xfId="13" applyFont="1" applyFill="1" applyBorder="1" applyAlignment="1">
      <alignment horizontal="center" vertical="center" wrapText="1"/>
    </xf>
    <xf numFmtId="0" fontId="78" fillId="92" borderId="14" xfId="13" applyFont="1" applyFill="1" applyBorder="1" applyAlignment="1">
      <alignment horizontal="left" vertical="center" wrapText="1"/>
    </xf>
    <xf numFmtId="0" fontId="78" fillId="91" borderId="14" xfId="13" applyFont="1" applyFill="1" applyBorder="1" applyAlignment="1">
      <alignment horizontal="left" vertical="center" wrapText="1"/>
    </xf>
    <xf numFmtId="0" fontId="79" fillId="89" borderId="12" xfId="13" applyFont="1" applyFill="1" applyAlignment="1">
      <alignment horizontal="center" vertical="center"/>
    </xf>
    <xf numFmtId="0" fontId="79" fillId="87" borderId="12" xfId="13" applyFont="1" applyFill="1" applyAlignment="1">
      <alignment horizontal="center" vertical="center"/>
    </xf>
    <xf numFmtId="0" fontId="79" fillId="90" borderId="12" xfId="13" applyFont="1" applyFill="1" applyAlignment="1">
      <alignment horizontal="center" vertical="center"/>
    </xf>
    <xf numFmtId="0" fontId="79" fillId="85" borderId="12" xfId="13" applyFont="1" applyFill="1" applyAlignment="1">
      <alignment horizontal="center" vertical="center"/>
    </xf>
    <xf numFmtId="0" fontId="79" fillId="86" borderId="12" xfId="13" applyFont="1" applyFill="1" applyAlignment="1">
      <alignment horizontal="center" vertical="center"/>
    </xf>
    <xf numFmtId="0" fontId="79" fillId="88" borderId="12" xfId="13" applyFont="1" applyFill="1" applyAlignment="1">
      <alignment horizontal="center" vertical="center"/>
    </xf>
    <xf numFmtId="164" fontId="40" fillId="47" borderId="9" xfId="7" applyNumberFormat="1" applyFont="1" applyFill="1" applyBorder="1"/>
    <xf numFmtId="164" fontId="42" fillId="64" borderId="9" xfId="7" applyNumberFormat="1" applyFont="1" applyFill="1" applyBorder="1" applyAlignment="1">
      <alignment horizontal="center" vertical="center" wrapText="1"/>
    </xf>
    <xf numFmtId="0" fontId="40" fillId="47" borderId="9" xfId="7" applyNumberFormat="1" applyFont="1" applyFill="1" applyBorder="1" applyAlignment="1">
      <alignment wrapText="1"/>
    </xf>
    <xf numFmtId="164" fontId="40" fillId="47" borderId="9" xfId="7" applyNumberFormat="1" applyFont="1" applyFill="1" applyBorder="1" applyAlignment="1">
      <alignment wrapText="1"/>
    </xf>
    <xf numFmtId="0" fontId="42" fillId="62" borderId="9" xfId="7" applyNumberFormat="1" applyFont="1" applyFill="1" applyBorder="1" applyAlignment="1">
      <alignment horizontal="left" vertical="center" wrapText="1"/>
    </xf>
    <xf numFmtId="0" fontId="42" fillId="62" borderId="9" xfId="7" applyNumberFormat="1" applyFont="1" applyFill="1" applyBorder="1" applyAlignment="1">
      <alignment horizontal="center" vertical="center" wrapText="1"/>
    </xf>
    <xf numFmtId="0" fontId="42" fillId="54" borderId="9" xfId="7" applyNumberFormat="1" applyFont="1" applyFill="1" applyBorder="1" applyAlignment="1">
      <alignment horizontal="center" vertical="center" wrapText="1"/>
    </xf>
    <xf numFmtId="0" fontId="42" fillId="62" borderId="9" xfId="7" applyNumberFormat="1" applyFont="1" applyFill="1" applyBorder="1" applyAlignment="1">
      <alignment horizontal="left" vertical="top" wrapText="1"/>
    </xf>
    <xf numFmtId="0" fontId="63" fillId="47" borderId="9" xfId="7" applyNumberFormat="1" applyFont="1" applyFill="1" applyBorder="1" applyAlignment="1">
      <alignment wrapText="1"/>
    </xf>
    <xf numFmtId="0" fontId="42" fillId="50" borderId="9" xfId="7" applyNumberFormat="1" applyFont="1" applyFill="1" applyBorder="1" applyAlignment="1">
      <alignment horizontal="left" vertical="center" wrapText="1"/>
    </xf>
    <xf numFmtId="0" fontId="42" fillId="50" borderId="9" xfId="7" applyNumberFormat="1" applyFont="1" applyFill="1" applyBorder="1" applyAlignment="1">
      <alignment horizontal="center" vertical="center" wrapText="1"/>
    </xf>
    <xf numFmtId="0" fontId="42" fillId="50" borderId="9" xfId="7" applyNumberFormat="1" applyFont="1" applyFill="1" applyBorder="1" applyAlignment="1">
      <alignment horizontal="left" vertical="top" wrapText="1"/>
    </xf>
    <xf numFmtId="0" fontId="46" fillId="58" borderId="9" xfId="7" applyNumberFormat="1" applyFont="1" applyFill="1" applyBorder="1" applyAlignment="1">
      <alignment horizontal="center" vertical="center" wrapText="1"/>
    </xf>
    <xf numFmtId="0" fontId="46" fillId="58" borderId="9" xfId="7" applyNumberFormat="1" applyFont="1" applyFill="1" applyBorder="1" applyAlignment="1">
      <alignment horizontal="left" vertical="top" wrapText="1"/>
    </xf>
    <xf numFmtId="0" fontId="46" fillId="55" borderId="9" xfId="7" applyNumberFormat="1" applyFont="1" applyFill="1" applyBorder="1" applyAlignment="1">
      <alignment horizontal="left" vertical="center"/>
    </xf>
    <xf numFmtId="0" fontId="40" fillId="47" borderId="9" xfId="7" applyNumberFormat="1" applyFont="1" applyFill="1" applyBorder="1"/>
    <xf numFmtId="0" fontId="47" fillId="63" borderId="9" xfId="7" applyNumberFormat="1" applyFont="1" applyFill="1" applyBorder="1" applyAlignment="1">
      <alignment horizontal="center" vertical="center" wrapText="1"/>
    </xf>
    <xf numFmtId="0" fontId="80" fillId="47" borderId="8" xfId="7" applyNumberFormat="1" applyFont="1" applyFill="1" applyBorder="1"/>
    <xf numFmtId="0" fontId="80" fillId="47" borderId="8" xfId="7" applyNumberFormat="1" applyFont="1" applyFill="1" applyBorder="1" applyAlignment="1">
      <alignment wrapText="1"/>
    </xf>
    <xf numFmtId="0" fontId="80" fillId="47" borderId="8" xfId="7" applyNumberFormat="1" applyFont="1" applyFill="1" applyBorder="1" applyAlignment="1">
      <alignment vertical="center" wrapText="1"/>
    </xf>
    <xf numFmtId="0" fontId="80" fillId="94" borderId="8" xfId="7" applyNumberFormat="1" applyFont="1" applyFill="1" applyBorder="1" applyAlignment="1">
      <alignment vertical="center" wrapText="1"/>
    </xf>
    <xf numFmtId="0" fontId="81" fillId="94" borderId="8" xfId="7" applyNumberFormat="1" applyFont="1" applyFill="1" applyBorder="1" applyAlignment="1">
      <alignment vertical="center" wrapText="1"/>
    </xf>
    <xf numFmtId="0" fontId="81" fillId="94" borderId="9" xfId="7" applyNumberFormat="1" applyFont="1" applyFill="1" applyBorder="1" applyAlignment="1">
      <alignment vertical="center" wrapText="1"/>
    </xf>
    <xf numFmtId="0" fontId="80" fillId="47" borderId="9" xfId="7" applyNumberFormat="1" applyFont="1" applyFill="1" applyBorder="1" applyAlignment="1">
      <alignment vertical="center" wrapText="1"/>
    </xf>
    <xf numFmtId="0" fontId="42" fillId="47" borderId="9" xfId="7" applyNumberFormat="1" applyFont="1" applyFill="1" applyBorder="1" applyAlignment="1">
      <alignment vertical="center" wrapText="1"/>
    </xf>
    <xf numFmtId="165" fontId="42" fillId="47" borderId="9" xfId="7" applyNumberFormat="1" applyFont="1" applyFill="1" applyBorder="1" applyAlignment="1">
      <alignment vertical="center" wrapText="1"/>
    </xf>
    <xf numFmtId="166" fontId="42" fillId="47" borderId="9" xfId="7" applyNumberFormat="1" applyFont="1" applyFill="1" applyBorder="1" applyAlignment="1">
      <alignment vertical="center" wrapText="1"/>
    </xf>
    <xf numFmtId="0" fontId="57" fillId="54" borderId="9" xfId="14" applyFont="1" applyFill="1" applyBorder="1" applyAlignment="1">
      <alignment horizontal="center" vertical="center" wrapText="1"/>
    </xf>
    <xf numFmtId="165" fontId="42" fillId="54" borderId="9" xfId="14" applyNumberFormat="1" applyFont="1" applyFill="1" applyBorder="1" applyAlignment="1">
      <alignment horizontal="center" vertical="center" wrapText="1"/>
    </xf>
    <xf numFmtId="0" fontId="42" fillId="54" borderId="9" xfId="14" applyFont="1" applyFill="1" applyBorder="1" applyAlignment="1">
      <alignment horizontal="left" vertical="center" wrapText="1"/>
    </xf>
    <xf numFmtId="166" fontId="42" fillId="54" borderId="9" xfId="14" applyNumberFormat="1" applyFont="1" applyFill="1" applyBorder="1" applyAlignment="1">
      <alignment horizontal="center" vertical="center" wrapText="1"/>
    </xf>
    <xf numFmtId="0" fontId="42" fillId="54" borderId="9" xfId="14" applyFont="1" applyFill="1" applyBorder="1" applyAlignment="1">
      <alignment horizontal="center" vertical="center" wrapText="1"/>
    </xf>
    <xf numFmtId="0" fontId="42" fillId="64" borderId="9" xfId="14" applyFont="1" applyFill="1" applyBorder="1" applyAlignment="1">
      <alignment horizontal="center" vertical="center" wrapText="1"/>
    </xf>
    <xf numFmtId="165" fontId="42" fillId="50" borderId="9" xfId="14" applyNumberFormat="1" applyFont="1" applyFill="1" applyBorder="1" applyAlignment="1">
      <alignment horizontal="center" vertical="center" wrapText="1"/>
    </xf>
    <xf numFmtId="0" fontId="42" fillId="50" borderId="9" xfId="14" applyFont="1" applyFill="1" applyBorder="1" applyAlignment="1">
      <alignment horizontal="left" vertical="center" wrapText="1"/>
    </xf>
    <xf numFmtId="166" fontId="42" fillId="50" borderId="9" xfId="14" applyNumberFormat="1" applyFont="1" applyFill="1" applyBorder="1" applyAlignment="1">
      <alignment horizontal="center" vertical="center" wrapText="1"/>
    </xf>
    <xf numFmtId="0" fontId="42" fillId="50" borderId="9" xfId="14" applyFont="1" applyFill="1" applyBorder="1" applyAlignment="1">
      <alignment horizontal="center" vertical="center" wrapText="1"/>
    </xf>
    <xf numFmtId="165" fontId="42" fillId="54" borderId="9" xfId="7" applyNumberFormat="1" applyFont="1" applyFill="1" applyBorder="1" applyAlignment="1">
      <alignment horizontal="center" vertical="center" wrapText="1"/>
    </xf>
    <xf numFmtId="165" fontId="42" fillId="50" borderId="9" xfId="7" applyNumberFormat="1" applyFont="1" applyFill="1" applyBorder="1" applyAlignment="1">
      <alignment horizontal="center" vertical="center" wrapText="1"/>
    </xf>
    <xf numFmtId="166" fontId="42" fillId="54" borderId="9" xfId="7" applyNumberFormat="1" applyFont="1" applyFill="1" applyBorder="1" applyAlignment="1">
      <alignment horizontal="center" vertical="center" wrapText="1"/>
    </xf>
    <xf numFmtId="166" fontId="42" fillId="50" borderId="9" xfId="7" applyNumberFormat="1" applyFont="1" applyFill="1" applyBorder="1" applyAlignment="1">
      <alignment horizontal="center" vertical="center" wrapText="1"/>
    </xf>
    <xf numFmtId="0" fontId="78" fillId="62" borderId="10" xfId="7" applyNumberFormat="1" applyFont="1" applyFill="1" applyBorder="1" applyAlignment="1">
      <alignment horizontal="left" vertical="center" wrapText="1"/>
    </xf>
    <xf numFmtId="0" fontId="78" fillId="50" borderId="10" xfId="7" applyNumberFormat="1" applyFont="1" applyFill="1" applyBorder="1" applyAlignment="1">
      <alignment horizontal="left" vertical="center" wrapText="1"/>
    </xf>
    <xf numFmtId="0" fontId="46" fillId="57" borderId="9" xfId="7" applyNumberFormat="1" applyFont="1" applyFill="1" applyBorder="1" applyAlignment="1">
      <alignment horizontal="center" vertical="center" wrapText="1"/>
    </xf>
    <xf numFmtId="0" fontId="50" fillId="64" borderId="9" xfId="7" applyNumberFormat="1" applyFont="1" applyFill="1" applyBorder="1" applyAlignment="1">
      <alignment horizontal="center" vertical="center" wrapText="1"/>
    </xf>
    <xf numFmtId="165" fontId="42" fillId="62" borderId="9" xfId="7" applyNumberFormat="1" applyFont="1" applyFill="1" applyBorder="1" applyAlignment="1">
      <alignment horizontal="center" vertical="center" wrapText="1"/>
    </xf>
    <xf numFmtId="0" fontId="51" fillId="62" borderId="9" xfId="7" applyNumberFormat="1" applyFont="1" applyFill="1" applyBorder="1" applyAlignment="1">
      <alignment horizontal="left" vertical="center" wrapText="1"/>
    </xf>
    <xf numFmtId="0" fontId="52" fillId="64" borderId="9" xfId="7" applyNumberFormat="1" applyFont="1" applyFill="1" applyBorder="1" applyAlignment="1">
      <alignment horizontal="center" vertical="center" wrapText="1"/>
    </xf>
    <xf numFmtId="165" fontId="40" fillId="50" borderId="9" xfId="7" applyNumberFormat="1" applyFont="1" applyFill="1" applyBorder="1" applyAlignment="1">
      <alignment vertical="center" wrapText="1"/>
    </xf>
    <xf numFmtId="0" fontId="40" fillId="50" borderId="9" xfId="7" applyNumberFormat="1" applyFont="1" applyFill="1" applyBorder="1" applyAlignment="1">
      <alignment vertical="center" wrapText="1"/>
    </xf>
    <xf numFmtId="0" fontId="40" fillId="54" borderId="9" xfId="7" applyNumberFormat="1" applyFont="1" applyFill="1" applyBorder="1" applyAlignment="1">
      <alignment horizontal="center" vertical="center" wrapText="1"/>
    </xf>
    <xf numFmtId="165" fontId="40" fillId="62" borderId="9" xfId="7" applyNumberFormat="1" applyFont="1" applyFill="1" applyBorder="1" applyAlignment="1">
      <alignment vertical="center" wrapText="1"/>
    </xf>
    <xf numFmtId="0" fontId="40" fillId="62" borderId="9" xfId="7" applyNumberFormat="1" applyFont="1" applyFill="1" applyBorder="1" applyAlignment="1">
      <alignment vertical="center" wrapText="1"/>
    </xf>
    <xf numFmtId="0" fontId="46" fillId="65" borderId="9" xfId="7" applyNumberFormat="1" applyFont="1" applyFill="1" applyBorder="1" applyAlignment="1">
      <alignment horizontal="center" vertical="center" wrapText="1"/>
    </xf>
    <xf numFmtId="0" fontId="46" fillId="59" borderId="9" xfId="7" applyNumberFormat="1" applyFont="1" applyFill="1" applyBorder="1" applyAlignment="1">
      <alignment horizontal="center" vertical="center" wrapText="1"/>
    </xf>
    <xf numFmtId="0" fontId="53" fillId="51" borderId="9" xfId="7" applyNumberFormat="1" applyFont="1" applyFill="1" applyBorder="1" applyAlignment="1">
      <alignment horizontal="center" vertical="center" wrapText="1"/>
    </xf>
    <xf numFmtId="165" fontId="42" fillId="51" borderId="9" xfId="7" applyNumberFormat="1" applyFont="1" applyFill="1" applyBorder="1" applyAlignment="1">
      <alignment horizontal="center" vertical="center" wrapText="1"/>
    </xf>
    <xf numFmtId="0" fontId="51" fillId="51" borderId="9" xfId="7" applyNumberFormat="1" applyFont="1" applyFill="1" applyBorder="1" applyAlignment="1">
      <alignment horizontal="left" vertical="center" wrapText="1"/>
    </xf>
    <xf numFmtId="0" fontId="42" fillId="51" borderId="9" xfId="7" applyNumberFormat="1" applyFont="1" applyFill="1" applyBorder="1" applyAlignment="1">
      <alignment horizontal="center" vertical="center" wrapText="1"/>
    </xf>
    <xf numFmtId="0" fontId="42" fillId="64" borderId="9" xfId="7" applyNumberFormat="1" applyFont="1" applyFill="1" applyBorder="1" applyAlignment="1">
      <alignment horizontal="center" vertical="center" wrapText="1"/>
    </xf>
    <xf numFmtId="0" fontId="42" fillId="51" borderId="9" xfId="7" applyNumberFormat="1" applyFont="1" applyFill="1" applyBorder="1" applyAlignment="1">
      <alignment horizontal="left" vertical="center" wrapText="1"/>
    </xf>
    <xf numFmtId="0" fontId="46" fillId="67" borderId="9" xfId="7" applyNumberFormat="1" applyFont="1" applyFill="1" applyBorder="1" applyAlignment="1">
      <alignment horizontal="center" vertical="center" wrapText="1"/>
    </xf>
    <xf numFmtId="0" fontId="54" fillId="68" borderId="9" xfId="7" applyNumberFormat="1" applyFont="1" applyFill="1" applyBorder="1" applyAlignment="1">
      <alignment horizontal="center" vertical="center" wrapText="1"/>
    </xf>
    <xf numFmtId="165" fontId="42" fillId="68" borderId="9" xfId="7" applyNumberFormat="1" applyFont="1" applyFill="1" applyBorder="1" applyAlignment="1">
      <alignment horizontal="center" vertical="center" wrapText="1"/>
    </xf>
    <xf numFmtId="0" fontId="51" fillId="68" borderId="9" xfId="7" applyNumberFormat="1" applyFont="1" applyFill="1" applyBorder="1" applyAlignment="1">
      <alignment horizontal="left" vertical="center" wrapText="1"/>
    </xf>
    <xf numFmtId="0" fontId="42" fillId="68" borderId="9" xfId="7" applyNumberFormat="1" applyFont="1" applyFill="1" applyBorder="1" applyAlignment="1">
      <alignment horizontal="center" vertical="center" wrapText="1"/>
    </xf>
    <xf numFmtId="0" fontId="42" fillId="68" borderId="9" xfId="7" applyNumberFormat="1" applyFont="1" applyFill="1" applyBorder="1" applyAlignment="1">
      <alignment horizontal="left" vertical="center" wrapText="1"/>
    </xf>
    <xf numFmtId="0" fontId="46" fillId="60" borderId="9" xfId="7" applyNumberFormat="1" applyFont="1" applyFill="1" applyBorder="1" applyAlignment="1">
      <alignment horizontal="center" vertical="center" wrapText="1"/>
    </xf>
    <xf numFmtId="0" fontId="55" fillId="51" borderId="9" xfId="7" applyNumberFormat="1" applyFont="1" applyFill="1" applyBorder="1" applyAlignment="1">
      <alignment horizontal="center" vertical="center" wrapText="1"/>
    </xf>
    <xf numFmtId="0" fontId="53" fillId="50" borderId="9" xfId="7" applyNumberFormat="1" applyFont="1" applyFill="1" applyBorder="1" applyAlignment="1">
      <alignment horizontal="center" vertical="center" wrapText="1"/>
    </xf>
    <xf numFmtId="0" fontId="56" fillId="50" borderId="9" xfId="7" applyNumberFormat="1" applyFont="1" applyFill="1" applyBorder="1" applyAlignment="1">
      <alignment horizontal="center" vertical="center" wrapText="1"/>
    </xf>
    <xf numFmtId="0" fontId="46" fillId="69" borderId="9" xfId="7" applyNumberFormat="1" applyFont="1" applyFill="1" applyBorder="1" applyAlignment="1">
      <alignment horizontal="center" vertical="center" wrapText="1"/>
    </xf>
    <xf numFmtId="0" fontId="57" fillId="54" borderId="9" xfId="7" applyNumberFormat="1" applyFont="1" applyFill="1" applyBorder="1" applyAlignment="1">
      <alignment horizontal="center" vertical="center" wrapText="1"/>
    </xf>
    <xf numFmtId="0" fontId="51" fillId="54" borderId="9" xfId="7" applyNumberFormat="1" applyFont="1" applyFill="1" applyBorder="1" applyAlignment="1">
      <alignment horizontal="left" vertical="center" wrapText="1"/>
    </xf>
    <xf numFmtId="0" fontId="42" fillId="54" borderId="9" xfId="7" applyNumberFormat="1" applyFont="1" applyFill="1" applyBorder="1" applyAlignment="1">
      <alignment horizontal="left" vertical="center" wrapText="1"/>
    </xf>
  </cellXfs>
  <cellStyles count="4">
    <cellStyle name="Bình thường" xfId="1" xr:uid="{00000000-0005-0000-0000-000000000000}"/>
    <cellStyle name="Currency [0]" xfId="4" builtinId="7"/>
    <cellStyle name="Normal" xfId="0" builtinId="0"/>
    <cellStyle name="Note" xfId="3" builtinId="10"/>
  </cellStyles>
  <dxfs count="231"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C7CE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 patternType="solid">
          <bgColor rgb="FFFFF2CC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D6EEF0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 patternType="solid">
          <fgColor rgb="FFD6EEF0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2EFDA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C7CE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D6EEF0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H27"/>
  <sheetViews>
    <sheetView showGridLines="0" tabSelected="1" topLeftCell="A14" zoomScale="160" zoomScaleNormal="160" workbookViewId="0">
      <selection activeCell="D18" sqref="D18"/>
    </sheetView>
  </sheetViews>
  <sheetFormatPr defaultRowHeight="15" x14ac:dyDescent="0.25"/>
  <cols>
    <col min="1" max="1" width="2" customWidth="1"/>
    <col min="2" max="2" width="22" customWidth="1"/>
    <col min="3" max="3" width="40.28515625" customWidth="1"/>
    <col min="4" max="4" width="22" customWidth="1"/>
    <col min="5" max="7" width="14" customWidth="1"/>
    <col min="8" max="8" width="22" customWidth="1"/>
    <col min="9" max="9" width="2" customWidth="1"/>
  </cols>
  <sheetData>
    <row r="1" spans="2:8" ht="20.25" x14ac:dyDescent="0.25">
      <c r="B1" s="9" t="s">
        <v>1211</v>
      </c>
      <c r="C1" s="8"/>
      <c r="D1" s="8"/>
      <c r="E1" s="8"/>
      <c r="F1" s="8"/>
      <c r="G1" s="8"/>
      <c r="H1" s="8"/>
    </row>
    <row r="2" spans="2:8" x14ac:dyDescent="0.25">
      <c r="B2" s="7" t="s">
        <v>1212</v>
      </c>
      <c r="C2" s="8"/>
      <c r="D2" s="8"/>
      <c r="E2" s="8"/>
      <c r="F2" s="8"/>
      <c r="G2" s="8"/>
      <c r="H2" s="8"/>
    </row>
    <row r="4" spans="2:8" x14ac:dyDescent="0.25">
      <c r="B4" s="105" t="s">
        <v>1213</v>
      </c>
      <c r="C4" s="105" t="s">
        <v>1214</v>
      </c>
      <c r="D4" s="105" t="s">
        <v>1215</v>
      </c>
      <c r="E4" s="105" t="s">
        <v>1216</v>
      </c>
      <c r="F4" s="105" t="s">
        <v>1217</v>
      </c>
      <c r="G4" s="105" t="s">
        <v>1218</v>
      </c>
      <c r="H4" s="104"/>
    </row>
    <row r="5" spans="2:8" ht="20.25" x14ac:dyDescent="0.25">
      <c r="B5" s="120" t="n">
        <f>COUNTA(Scope!$B$5:$B$44)</f>
        <v>32</v>
      </c>
      <c r="C5" s="121" t="n">
        <f>COUNTIF(Scope!$G$5:$G$44,"Done")+COUNTIF(Scope!$G$5:$G$44,"Closed")</f>
        <v>3</v>
      </c>
      <c r="D5" s="118" t="n">
        <f>COUNTIF(Scope!$G$5:$G$44,"In Progress")</f>
        <v>9</v>
      </c>
      <c r="E5" s="122" t="n">
        <f>COUNTIF(Scope!$G$5:$G$44,"Not Started")</f>
        <v>20</v>
      </c>
      <c r="F5" s="117" t="n">
        <f>COUNTIF(Issues!$K$5:$K$200,"Open")</f>
        <v>9</v>
      </c>
      <c r="G5" s="117" t="n">
        <f>COUNTIF(Defects!$N$5:$N$300,"Open")+COUNTIF(Defects!$N$5:$N$300,"Pending")</f>
        <v>2</v>
      </c>
      <c r="H5" s="104"/>
    </row>
    <row r="7" spans="2:8" ht="24" x14ac:dyDescent="0.25">
      <c r="B7" s="105" t="s">
        <v>1217</v>
      </c>
      <c r="C7" s="105" t="s">
        <v>1218</v>
      </c>
      <c r="D7" s="105" t="s">
        <v>1219</v>
      </c>
      <c r="E7" s="105" t="s">
        <v>1220</v>
      </c>
      <c r="F7" s="104"/>
      <c r="G7" s="104"/>
      <c r="H7" s="104"/>
    </row>
    <row r="8" spans="2:8" ht="20.25" x14ac:dyDescent="0.25">
      <c r="B8" s="117" t="n">
        <f>F5</f>
        <v>9</v>
      </c>
      <c r="C8" s="117" t="n">
        <f>G5</f>
        <v>2</v>
      </c>
      <c r="D8" s="118" t="n">
        <f>COUNTIF('Q&amp;A'!$K$5:$K$200,"Open")</f>
        <v>8</v>
      </c>
      <c r="E8" s="119" t="n">
        <f>COUNTIFS(Risks!$F$5:$F$100,"&gt;=4",Risks!$K$5:$K$100,"Open")</f>
        <v>10</v>
      </c>
      <c r="F8" s="104"/>
      <c r="G8" s="104"/>
      <c r="H8" s="104"/>
    </row>
    <row r="11" spans="2:8" ht="15.75" x14ac:dyDescent="0.25">
      <c r="B11" s="106" t="s">
        <v>1221</v>
      </c>
      <c r="C11" s="104"/>
      <c r="D11" s="104"/>
      <c r="E11" s="104"/>
      <c r="F11" s="104"/>
      <c r="G11" s="104"/>
      <c r="H11" s="104"/>
    </row>
    <row r="12" spans="2:8" x14ac:dyDescent="0.25">
      <c r="B12" s="114" t="s">
        <v>1222</v>
      </c>
      <c r="C12" s="114" t="s">
        <v>1223</v>
      </c>
      <c r="D12" s="114" t="s">
        <v>1224</v>
      </c>
      <c r="E12" s="114" t="s">
        <v>1225</v>
      </c>
      <c r="F12" s="114" t="s">
        <v>1226</v>
      </c>
      <c r="G12" s="104"/>
      <c r="H12" s="104"/>
    </row>
    <row r="13" spans="2:8" x14ac:dyDescent="0.25">
      <c r="B13" s="111" t="s">
        <v>1227</v>
      </c>
      <c r="C13" s="115" t="s">
        <v>1228</v>
      </c>
      <c r="D13" s="112" t="s">
        <v>1229</v>
      </c>
      <c r="E13" s="115" t="str">
        <v>PhuPD</v>
      </c>
      <c r="F13" s="112" t="str">
        <f>IF(COUNTIF(Scope!$G$6:$G$6,"Done")=COUNTA(Scope!$B$6:$B$6),"Done",IF(COUNTIF(Scope!$G$6:$G$6,"Blocked")&gt;0,"Blocked",IF(COUNTIF(Scope!$G$6:$G$6,"Not Started")=COUNTA(Scope!$B$6:$B$6),"Not Started","In Progress")))</f>
        <v>Done</v>
      </c>
      <c r="G13" s="104"/>
      <c r="H13" s="104"/>
    </row>
    <row r="14" spans="2:8" x14ac:dyDescent="0.25">
      <c r="B14" s="108" t="s">
        <v>1230</v>
      </c>
      <c r="C14" s="116" t="s">
        <v>1231</v>
      </c>
      <c r="D14" s="109" t="s">
        <v>1232</v>
      </c>
      <c r="E14" s="116" t="str">
        <v>HieuLT</v>
      </c>
      <c r="F14" s="109" t="str">
        <f>IF(COUNTIF(Scope!$G$8:$G$10,"Done")=COUNTA(Scope!$B$8:$B$10),"Done",IF(COUNTIF(Scope!$G$8:$G$10,"Blocked")&gt;0,"Blocked",IF(COUNTIF(Scope!$G$8:$G$10,"Not Started")=COUNTA(Scope!$B$8:$B$10),"Not Started","In Progress")))</f>
        <v>In Progress</v>
      </c>
      <c r="G14" s="104"/>
      <c r="H14" s="104"/>
    </row>
    <row r="15" spans="2:8" x14ac:dyDescent="0.25">
      <c r="B15" s="111" t="s">
        <v>1233</v>
      </c>
      <c r="C15" s="115" t="s">
        <v>1234</v>
      </c>
      <c r="D15" s="112" t="s">
        <v>1235</v>
      </c>
      <c r="E15" s="115" t="str">
        <v>HieuLT</v>
      </c>
      <c r="F15" s="112" t="str">
        <f>IF(COUNTIF(Scope!$G$12:$G$15,"Done")=COUNTA(Scope!$B$12:$B$15),"Done",IF(COUNTIF(Scope!$G$12:$G$15,"Blocked")&gt;0,"Blocked",IF(COUNTIF(Scope!$G$12:$G$15,"Not Started")=COUNTA(Scope!$B$12:$B$15),"Not Started","In Progress")))</f>
        <v>In Progress</v>
      </c>
      <c r="G15" s="104"/>
      <c r="H15" s="104"/>
    </row>
    <row r="16" spans="2:8" x14ac:dyDescent="0.25">
      <c r="B16" s="108" t="s">
        <v>1236</v>
      </c>
      <c r="C16" s="116" t="s">
        <v>1237</v>
      </c>
      <c r="D16" s="109" t="s">
        <v>1238</v>
      </c>
      <c r="E16" s="116" t="str">
        <v>HieuLT</v>
      </c>
      <c r="F16" s="109" t="str">
        <f>IF(COUNTIF(Scope!$G$17:$G$36,"Done")=COUNTA(Scope!$B$17:$B$36),"Done",IF(COUNTIF(Scope!$G$17:$G$36,"Blocked")&gt;0,"Blocked",IF(COUNTIF(Scope!$G$17:$G$36,"Not Started")=COUNTA(Scope!$B$17:$B$36),"Not Started","In Progress")))</f>
        <v>In Progress</v>
      </c>
      <c r="G16" s="104"/>
      <c r="H16" s="104"/>
    </row>
    <row r="17" spans="2:8" x14ac:dyDescent="0.25">
      <c r="B17" s="111" t="s">
        <v>1239</v>
      </c>
      <c r="C17" s="115" t="s">
        <v>1240</v>
      </c>
      <c r="D17" s="112" t="s">
        <v>1241</v>
      </c>
      <c r="E17" s="115" t="str">
        <v>LinhNDM</v>
      </c>
      <c r="F17" s="112" t="str">
        <f>IF(COUNTIF(Scope!$G$38:$G$41,"Done")=COUNTA(Scope!$B$38:$B$41),"Done",IF(COUNTIF(Scope!$G$38:$G$41,"Blocked")&gt;0,"Blocked",IF(COUNTIF(Scope!$G$38:$G$41,"Not Started")=COUNTA(Scope!$B$38:$B$41),"Not Started","In Progress")))</f>
        <v>Not Started</v>
      </c>
      <c r="G17" s="104"/>
      <c r="H17" s="104"/>
    </row>
    <row r="18" spans="2:8" x14ac:dyDescent="0.25">
      <c r="B18" s="108" t="s">
        <v>1242</v>
      </c>
      <c r="C18" s="116" t="s">
        <v>1243</v>
      </c>
      <c r="D18" s="109" t="s">
        <v>1244</v>
      </c>
      <c r="E18" s="116" t="str">
        <v>HieuLT</v>
      </c>
      <c r="F18" s="109" t="str">
        <f>IF(COUNTIF(Scope!$G$43:$G$44,"Done")=COUNTA(Scope!$B$43:$B$44),"Done",IF(COUNTIF(Scope!$G$43:$G$44,"Blocked")&gt;0,"Blocked",IF(COUNTIF(Scope!$G$43:$G$44,"Not Started")=COUNTA(Scope!$B$43:$B$44),"Not Started","In Progress")))</f>
        <v>Not Started</v>
      </c>
      <c r="G18" s="104"/>
      <c r="H18" s="104"/>
    </row>
    <row r="20" spans="2:8" ht="15.75" x14ac:dyDescent="0.25">
      <c r="B20" s="106" t="s">
        <v>1245</v>
      </c>
      <c r="C20" s="104"/>
      <c r="D20" s="104"/>
      <c r="E20" s="104"/>
      <c r="F20" s="104"/>
      <c r="G20" s="104"/>
      <c r="H20" s="104"/>
    </row>
    <row r="21" spans="2:8" x14ac:dyDescent="0.25">
      <c r="B21" s="107" t="s">
        <v>1246</v>
      </c>
      <c r="C21" s="107" t="s">
        <v>1247</v>
      </c>
      <c r="D21" s="107" t="s">
        <v>1248</v>
      </c>
      <c r="E21" s="107" t="s">
        <v>1249</v>
      </c>
      <c r="F21" s="107" t="s">
        <v>1215</v>
      </c>
      <c r="G21" s="107" t="s">
        <v>1250</v>
      </c>
      <c r="H21" s="104"/>
    </row>
    <row r="22" spans="2:8" x14ac:dyDescent="0.25">
      <c r="B22" s="108" t="s">
        <v>1251</v>
      </c>
      <c r="C22" s="109" t="n">
        <f>COUNTIF(WBS!$C$129:$C$183,B22)</f>
        <v>8</v>
      </c>
      <c r="D22" s="109" t="n">
        <f>SUMIF(WBS!$H$5:$H$86,B22,WBS!$G$5:$G$86)</f>
        <v>224</v>
      </c>
      <c r="E22" s="109" t="n">
        <f>COUNTIFS(WBS!$C$129:$C$183,B22,WBS!$D$129:$D$183,"Done")</f>
        <v>1</v>
      </c>
      <c r="F22" s="109" t="n">
        <f>COUNTIFS(WBS!$C$129:$C$183,B22,WBS!$D$129:$D$183,"In Progress")</f>
        <v>7</v>
      </c>
      <c r="G22" s="110" t="n">
        <f>IF(C22=0,0,E22/C22*100)</f>
        <v>12.5</v>
      </c>
      <c r="H22" s="104"/>
    </row>
    <row r="23" spans="2:8" x14ac:dyDescent="0.25">
      <c r="B23" s="111" t="s">
        <v>1252</v>
      </c>
      <c r="C23" s="112" t="n">
        <f>COUNTIF(WBS!$C$129:$C$183,B23)</f>
        <v>16</v>
      </c>
      <c r="D23" s="112" t="n">
        <f>SUMIF(WBS!$H$5:$H$86,B23,WBS!$G$5:$G$86)</f>
        <v>94</v>
      </c>
      <c r="E23" s="112" t="n">
        <f>COUNTIFS(WBS!$C$129:$C$183,B23,WBS!$D$129:$D$183,"Done")</f>
        <v>0</v>
      </c>
      <c r="F23" s="112" t="n">
        <f>COUNTIFS(WBS!$C$129:$C$183,B23,WBS!$D$129:$D$183,"In Progress")</f>
        <v>14</v>
      </c>
      <c r="G23" s="113" t="n">
        <f>IF(C23=0,0,E23/C23*100)</f>
        <v>0</v>
      </c>
      <c r="H23" s="104"/>
    </row>
    <row r="24" spans="2:8" x14ac:dyDescent="0.25">
      <c r="B24" s="108" t="s">
        <v>1253</v>
      </c>
      <c r="C24" s="109" t="n">
        <f>COUNTIF(WBS!$C$129:$C$183,B24)</f>
        <v>31</v>
      </c>
      <c r="D24" s="109" t="n">
        <f>SUMIF(WBS!$H$5:$H$86,B24,WBS!$G$5:$G$86)</f>
        <v>133</v>
      </c>
      <c r="E24" s="109" t="n">
        <f>COUNTIFS(WBS!$C$129:$C$183,B24,WBS!$D$129:$D$183,"Done")</f>
        <v>0</v>
      </c>
      <c r="F24" s="109" t="n">
        <f>COUNTIFS(WBS!$C$129:$C$183,B24,WBS!$D$129:$D$183,"In Progress")</f>
        <v>25</v>
      </c>
      <c r="G24" s="110" t="n">
        <f>IF(C24=0,0,E24/C24*100)</f>
        <v>0</v>
      </c>
      <c r="H24" s="104"/>
    </row>
    <row r="27" spans="2:8" x14ac:dyDescent="0.25">
      <c r="B27" s="1" t="s">
        <v>1254</v>
      </c>
      <c r="C27" s="8"/>
      <c r="D27" s="8"/>
      <c r="E27" s="8"/>
      <c r="F27" s="8"/>
      <c r="G27" s="8"/>
      <c r="H27" s="8"/>
    </row>
  </sheetData>
  <mergeCells count="3">
    <mergeCell ref="B1:H1"/>
    <mergeCell ref="B2:H2"/>
    <mergeCell ref="B27:H27"/>
  </mergeCells>
  <conditionalFormatting sqref="F13:F25">
    <cfRule type="cellIs" dxfId="113" priority="1" operator="equal">
      <formula>"Done"</formula>
    </cfRule>
    <cfRule type="cellIs" dxfId="112" priority="2" operator="equal">
      <formula>"Completed"</formula>
    </cfRule>
    <cfRule type="cellIs" dxfId="111" priority="3" operator="equal">
      <formula>"Closed"</formula>
    </cfRule>
    <cfRule type="cellIs" dxfId="110" priority="4" operator="equal">
      <formula>"Fixed"</formula>
    </cfRule>
    <cfRule type="cellIs" dxfId="109" priority="5" operator="equal">
      <formula>"Approved"</formula>
    </cfRule>
    <cfRule type="cellIs" dxfId="108" priority="6" operator="equal">
      <formula>"In Progress"</formula>
    </cfRule>
    <cfRule type="cellIs" dxfId="107" priority="7" operator="equal">
      <formula>"Open"</formula>
    </cfRule>
    <cfRule type="cellIs" dxfId="106" priority="8" operator="equal">
      <formula>"Pending"</formula>
    </cfRule>
    <cfRule type="cellIs" dxfId="105" priority="9" operator="equal">
      <formula>"Blocked"</formula>
    </cfRule>
    <cfRule type="cellIs" dxfId="104" priority="10" operator="equal">
      <formula>"Cancelled"</formula>
    </cfRule>
    <cfRule type="cellIs" dxfId="103" priority="11" operator="equal">
      <formula>"Rejected"</formula>
    </cfRule>
    <cfRule type="cellIs" dxfId="102" priority="12" operator="equal">
      <formula>"Submitted"</formula>
    </cfRule>
  </conditionalFormatting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x:worksheet xmlns:x="http://schemas.openxmlformats.org/spreadsheetml/2006/main">
  <x:sheetPr>
    <x:tabColor rgb="FF2E75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7" customWidth="1"/>
    <x:col min="2" max="2" width="40" customWidth="1"/>
    <x:col min="3" max="3" width="27.42578125" customWidth="1"/>
    <x:col min="4" max="4" width="16" customWidth="1"/>
    <x:col min="5" max="5" width="10" customWidth="1"/>
    <x:col min="6" max="6" width="12" customWidth="1"/>
    <x:col min="7" max="7" width="14" customWidth="1"/>
    <x:col min="8" max="8" width="16" customWidth="1"/>
    <x:col min="9" max="9" width="11.7109375" customWidth="1"/>
    <x:col min="10" max="10" width="16" customWidth="1"/>
    <x:col min="11" max="11" width="83.140625" style="135" customWidth="1"/>
  </x:cols>
  <x:sheetData>
    <x:row r="1" ht="28.149999618530273" customHeight="1">
      <x:c r="A1" s="134" t="s">
        <x:v>1255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</x:row>
    <x:row r="2" ht="16.149999618530273" customHeight="1">
      <x:c r="A2" s="129" t="s">
        <x:v>1256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</x:row>
    <x:row r="3" ht="6" customHeight="1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60"/>
    </x:row>
    <x:row r="4" ht="26.100000381469727" customHeight="1">
      <x:c r="A4" s="258" t="s">
        <x:v>1257</x:v>
      </x:c>
      <x:c r="B4" s="258" t="s">
        <x:v>1258</x:v>
      </x:c>
      <x:c r="C4" s="258" t="s">
        <x:v>1225</x:v>
      </x:c>
      <x:c r="D4" s="258" t="s">
        <x:v>1259</x:v>
      </x:c>
      <x:c r="E4" s="258" t="s">
        <x:v>1224</x:v>
      </x:c>
      <x:c r="F4" s="258" t="s">
        <x:v>1250</x:v>
      </x:c>
      <x:c r="G4" s="258" t="s">
        <x:v>1226</x:v>
      </x:c>
      <x:c r="H4" s="258" t="s">
        <x:v>1260</x:v>
      </x:c>
      <x:c r="I4" s="258" t="s">
        <x:v>1261</x:v>
      </x:c>
      <x:c r="J4" s="258" t="s">
        <x:v>1262</x:v>
      </x:c>
      <x:c r="K4" s="259" t="s">
        <x:v>1263</x:v>
      </x:c>
    </x:row>
    <x:row r="5" ht="20.100000381469727" customHeight="1">
      <x:c r="A5" s="260" t="s">
        <x:v>1264</x:v>
      </x:c>
      <x:c r="B5" s="261"/>
      <x:c r="C5" s="248"/>
      <x:c r="D5" s="248"/>
      <x:c r="E5" s="248"/>
      <x:c r="F5" s="249"/>
      <x:c r="G5" s="248"/>
      <x:c r="H5" s="248"/>
      <x:c r="I5" s="248"/>
      <x:c r="J5" s="248"/>
      <x:c r="K5" s="248"/>
    </x:row>
    <x:row r="6" ht="64" customHeight="1">
      <x:c r="A6" s="262" t="s">
        <x:v>1265</x:v>
      </x:c>
      <x:c r="B6" s="250" t="s">
        <x:v>1266</x:v>
      </x:c>
      <x:c r="C6" s="250" t="str">
        <x:v>PhuPD</x:v>
      </x:c>
      <x:c r="D6" s="251" t="n">
        <x:v>2</x:v>
      </x:c>
      <x:c r="E6" s="251" t="s">
        <x:v>1229</x:v>
      </x:c>
      <x:c r="F6" s="247" t="n">
        <x:v>100</x:v>
      </x:c>
      <x:c r="G6" s="252" t="str">
        <x:v>Done</x:v>
      </x:c>
      <x:c r="H6" s="252"/>
      <x:c r="I6" s="250"/>
      <x:c r="J6" s="250" t="str">
        <x:v>LinhNDM</x:v>
      </x:c>
      <x:c r="K6" s="253" t="str">
        <x:v>Report 1 v1.0.0 approved on 09/10/2026 by LinhNDM. Completion is an estimated deliverable assessment; actual person-days are not yet recorded.</x:v>
      </x:c>
    </x:row>
    <x:row r="7" ht="20.100000381469727" customHeight="1">
      <x:c r="A7" s="260" t="s">
        <x:v>1267</x:v>
      </x:c>
      <x:c r="B7" s="261"/>
      <x:c r="C7" s="248"/>
      <x:c r="D7" s="248"/>
      <x:c r="E7" s="248"/>
      <x:c r="F7" s="249"/>
      <x:c r="G7" s="248"/>
      <x:c r="H7" s="248"/>
      <x:c r="I7" s="248"/>
      <x:c r="J7" s="248"/>
      <x:c r="K7" s="248"/>
    </x:row>
    <x:row r="8" ht="84" customHeight="1">
      <x:c r="A8" s="262" t="s">
        <x:v>1268</x:v>
      </x:c>
      <x:c r="B8" s="250" t="s">
        <x:v>1269</x:v>
      </x:c>
      <x:c r="C8" s="250" t="str">
        <x:v>HieuLT</x:v>
      </x:c>
      <x:c r="D8" s="251" t="n">
        <x:v>3</x:v>
      </x:c>
      <x:c r="E8" s="251" t="s">
        <x:v>1270</x:v>
      </x:c>
      <x:c r="F8" s="247" t="n">
        <x:v>85</x:v>
      </x:c>
      <x:c r="G8" s="252" t="str">
        <x:v>In Progress</x:v>
      </x:c>
      <x:c r="H8" s="252"/>
      <x:c r="I8" s="250" t="str">
        <x:v>1.1</x:v>
      </x:c>
      <x:c r="J8" s="250"/>
      <x:c r="K8" s="253" t="str">
        <x:v>PMP/tracking draft under review; separate final PMP approval not recorded. Completion is an estimated deliverable assessment; actual person-days are not yet recorded.</x:v>
      </x:c>
    </x:row>
    <x:row r="9" ht="84" customHeight="1">
      <x:c r="A9" s="262" t="s">
        <x:v>1271</x:v>
      </x:c>
      <x:c r="B9" s="250" t="s">
        <x:v>1272</x:v>
      </x:c>
      <x:c r="C9" s="250" t="str">
        <x:v>PhuPD, SonLT</x:v>
      </x:c>
      <x:c r="D9" s="251" t="n">
        <x:v>4</x:v>
      </x:c>
      <x:c r="E9" s="251" t="s">
        <x:v>1232</x:v>
      </x:c>
      <x:c r="F9" s="247" t="n">
        <x:v>90</x:v>
      </x:c>
      <x:c r="G9" s="252" t="str">
        <x:v>In Progress</x:v>
      </x:c>
      <x:c r="H9" s="252"/>
      <x:c r="I9" s="250" t="str">
        <x:v>1.1</x:v>
      </x:c>
      <x:c r="J9" s="254"/>
      <x:c r="K9" s="253" t="str">
        <x:v>SRS content updated 09/10; approval metadata and downstream traceability remain open. Completion is an estimated deliverable assessment; actual person-days are not yet recorded.</x:v>
      </x:c>
    </x:row>
    <x:row r="10" ht="84" customHeight="1">
      <x:c r="A10" s="262" t="s">
        <x:v>1273</x:v>
      </x:c>
      <x:c r="B10" s="255" t="s">
        <x:v>1274</x:v>
      </x:c>
      <x:c r="C10" s="255" t="str">
        <x:v>HoangNV, SonLT</x:v>
      </x:c>
      <x:c r="D10" s="256" t="n">
        <x:v>5</x:v>
      </x:c>
      <x:c r="E10" s="256" t="s">
        <x:v>1232</x:v>
      </x:c>
      <x:c r="F10" s="247" t="n">
        <x:v>100</x:v>
      </x:c>
      <x:c r="G10" s="252" t="str">
        <x:v>Done</x:v>
      </x:c>
      <x:c r="H10" s="252"/>
      <x:c r="I10" s="250" t="str">
        <x:v>2.2</x:v>
      </x:c>
      <x:c r="J10" s="250"/>
      <x:c r="K10" s="253" t="str">
        <x:v>Prototype work product implemented; complete production feature acceptance is separate. Completion is an estimated deliverable assessment; actual person-days are not yet recorded.</x:v>
      </x:c>
    </x:row>
    <x:row r="11" ht="20.100000381469727" customHeight="1">
      <x:c r="A11" s="260" t="s">
        <x:v>1275</x:v>
      </x:c>
      <x:c r="B11" s="261"/>
      <x:c r="C11" s="248"/>
      <x:c r="D11" s="248"/>
      <x:c r="E11" s="248"/>
      <x:c r="F11" s="249"/>
      <x:c r="G11" s="248"/>
      <x:c r="H11" s="248"/>
      <x:c r="I11" s="248"/>
      <x:c r="J11" s="248"/>
      <x:c r="K11" s="248"/>
    </x:row>
    <x:row r="12" ht="84" customHeight="1">
      <x:c r="A12" s="262" t="s">
        <x:v>1276</x:v>
      </x:c>
      <x:c r="B12" s="250" t="s">
        <x:v>1277</x:v>
      </x:c>
      <x:c r="C12" s="250" t="str">
        <x:v>HieuLT, TungVPH</x:v>
      </x:c>
      <x:c r="D12" s="251" t="n">
        <x:v>4</x:v>
      </x:c>
      <x:c r="E12" s="251" t="s">
        <x:v>1278</x:v>
      </x:c>
      <x:c r="F12" s="247" t="n">
        <x:v>100</x:v>
      </x:c>
      <x:c r="G12" s="252" t="str">
        <x:v>Done</x:v>
      </x:c>
      <x:c r="H12" s="252"/>
      <x:c r="I12" s="250" t="str">
        <x:v>2.3</x:v>
      </x:c>
      <x:c r="J12" s="250"/>
      <x:c r="K12" s="253" t="str">
        <x:v>Gateway, services, messaging and learning runtime POC implemented. Completion is an estimated deliverable assessment; actual person-days are not yet recorded.</x:v>
      </x:c>
    </x:row>
    <x:row r="13" ht="84" customHeight="1">
      <x:c r="A13" s="262" t="s">
        <x:v>1279</x:v>
      </x:c>
      <x:c r="B13" s="255" t="s">
        <x:v>1280</x:v>
      </x:c>
      <x:c r="C13" s="250" t="str">
        <x:v>PhuPD, SonLT</x:v>
      </x:c>
      <x:c r="D13" s="256" t="n">
        <x:v>4</x:v>
      </x:c>
      <x:c r="E13" s="256" t="s">
        <x:v>1278</x:v>
      </x:c>
      <x:c r="F13" s="247" t="n">
        <x:v>90</x:v>
      </x:c>
      <x:c r="G13" s="252" t="str">
        <x:v>In Progress</x:v>
      </x:c>
      <x:c r="H13" s="252"/>
      <x:c r="I13" s="255" t="str">
        <x:v>2.2, 3.1</x:v>
      </x:c>
      <x:c r="J13" s="250"/>
      <x:c r="K13" s="257" t="str">
        <x:v>Detailed SRS includes 55 FT features; RTW/FDS/Test Plan reconciliation remains open. Completion is an estimated deliverable assessment; actual person-days are not yet recorded.</x:v>
      </x:c>
    </x:row>
    <x:row r="14" ht="84" customHeight="1">
      <x:c r="A14" s="262" t="s">
        <x:v>1281</x:v>
      </x:c>
      <x:c r="B14" s="255" t="s">
        <x:v>1282</x:v>
      </x:c>
      <x:c r="C14" s="250" t="str">
        <x:v>HieuLT, TungVPH</x:v>
      </x:c>
      <x:c r="D14" s="256" t="n">
        <x:v>5</x:v>
      </x:c>
      <x:c r="E14" s="256" t="s">
        <x:v>1235</x:v>
      </x:c>
      <x:c r="F14" s="247" t="n">
        <x:v>80</x:v>
      </x:c>
      <x:c r="G14" s="252" t="str">
        <x:v>In Progress</x:v>
      </x:c>
      <x:c r="H14" s="252"/>
      <x:c r="I14" s="255" t="str">
        <x:v>2.2, 3.1</x:v>
      </x:c>
      <x:c r="J14" s="250"/>
      <x:c r="K14" s="257" t="str">
        <x:v>TDS exists; latest course/multi-skill changes and reviewer metadata need reconciliation. Completion is an estimated deliverable assessment; actual person-days are not yet recorded.</x:v>
      </x:c>
    </x:row>
    <x:row r="15" ht="84" customHeight="1">
      <x:c r="A15" s="262" t="s">
        <x:v>1283</x:v>
      </x:c>
      <x:c r="B15" s="250" t="s">
        <x:v>1284</x:v>
      </x:c>
      <x:c r="C15" s="250" t="str">
        <x:v>PhuPD, SonLT</x:v>
      </x:c>
      <x:c r="D15" s="251" t="n">
        <x:v>3</x:v>
      </x:c>
      <x:c r="E15" s="251" t="s">
        <x:v>1235</x:v>
      </x:c>
      <x:c r="F15" s="247" t="n">
        <x:v>80</x:v>
      </x:c>
      <x:c r="G15" s="252" t="str">
        <x:v>In Progress</x:v>
      </x:c>
      <x:c r="H15" s="252"/>
      <x:c r="I15" s="250" t="str">
        <x:v>3.2, 3.3</x:v>
      </x:c>
      <x:c r="J15" s="250"/>
      <x:c r="K15" s="253" t="str">
        <x:v>Test Plan exists; baseline, scenarios and approval metadata still need review. Completion is an estimated deliverable assessment; actual person-days are not yet recorded.</x:v>
      </x:c>
    </x:row>
    <x:row r="16" ht="20.100000381469727" customHeight="1">
      <x:c r="A16" s="260" t="s">
        <x:v>1285</x:v>
      </x:c>
      <x:c r="B16" s="261"/>
      <x:c r="C16" s="248"/>
      <x:c r="D16" s="248"/>
      <x:c r="E16" s="248"/>
      <x:c r="F16" s="249"/>
      <x:c r="G16" s="248"/>
      <x:c r="H16" s="248"/>
      <x:c r="I16" s="248"/>
      <x:c r="J16" s="248"/>
      <x:c r="K16" s="248"/>
    </x:row>
    <x:row r="17" ht="84" customHeight="1">
      <x:c r="A17" s="262" t="s">
        <x:v>1286</x:v>
      </x:c>
      <x:c r="B17" s="250" t="s">
        <x:v>1287</x:v>
      </x:c>
      <x:c r="C17" s="250" t="str">
        <x:v>HieuLT, TungVPH</x:v>
      </x:c>
      <x:c r="D17" s="251" t="n">
        <x:v>3</x:v>
      </x:c>
      <x:c r="E17" s="251" t="s">
        <x:v>1288</x:v>
      </x:c>
      <x:c r="F17" s="247" t="n">
        <x:v>50</x:v>
      </x:c>
      <x:c r="G17" s="252" t="str">
        <x:v>In Progress</x:v>
      </x:c>
      <x:c r="H17" s="252"/>
      <x:c r="I17" s="250" t="str">
        <x:v>3.2, 3.3</x:v>
      </x:c>
      <x:c r="J17" s="250"/>
      <x:c r="K17" s="253" t="str">
        <x:v>Detailed design draft exists; Iteration 1 delivery window 14–27/10. Completion is an estimated deliverable assessment; actual person-days are not yet recorded.</x:v>
      </x:c>
    </x:row>
    <x:row r="18" ht="84" customHeight="1">
      <x:c r="A18" s="262" t="s">
        <x:v>1289</x:v>
      </x:c>
      <x:c r="B18" s="255" t="s">
        <x:v>1290</x:v>
      </x:c>
      <x:c r="C18" s="255" t="str">
        <x:v>PhuPD, HoangNV, SonLT, HieuLT, TungVPH</x:v>
      </x:c>
      <x:c r="D18" s="256" t="n">
        <x:v>8</x:v>
      </x:c>
      <x:c r="E18" s="256" t="s">
        <x:v>1288</x:v>
      </x:c>
      <x:c r="F18" s="247" t="n">
        <x:v>65</x:v>
      </x:c>
      <x:c r="G18" s="252" t="str">
        <x:v>In Progress</x:v>
      </x:c>
      <x:c r="H18" s="252"/>
      <x:c r="I18" s="255" t="str">
        <x:v>4.1.1</x:v>
      </x:c>
      <x:c r="J18" s="255"/>
      <x:c r="K18" s="257" t="str">
        <x:v>Core code/unit checks exist; remaining integration and reporting work is open. Completion is an estimated deliverable assessment; actual person-days are not yet recorded.</x:v>
      </x:c>
    </x:row>
    <x:row r="19" ht="84" customHeight="1">
      <x:c r="A19" s="262" t="s">
        <x:v>1291</x:v>
      </x:c>
      <x:c r="B19" s="250" t="s">
        <x:v>1292</x:v>
      </x:c>
      <x:c r="C19" s="250" t="str">
        <x:v>PhuPD, SonLT</x:v>
      </x:c>
      <x:c r="D19" s="251" t="n">
        <x:v>2</x:v>
      </x:c>
      <x:c r="E19" s="251" t="s">
        <x:v>1288</x:v>
      </x:c>
      <x:c r="F19" s="247" t="n">
        <x:v>40</x:v>
      </x:c>
      <x:c r="G19" s="252" t="str">
        <x:v>In Progress</x:v>
      </x:c>
      <x:c r="H19" s="252"/>
      <x:c r="I19" s="250" t="str">
        <x:v>3.4, 4.1.1</x:v>
      </x:c>
      <x:c r="J19" s="250"/>
      <x:c r="K19" s="253" t="str">
        <x:v>Existing integration cases require updated course/multi-skill coverage. Completion is an estimated deliverable assessment; actual person-days are not yet recorded.</x:v>
      </x:c>
    </x:row>
    <x:row r="20" ht="84" customHeight="1">
      <x:c r="A20" s="262" t="s">
        <x:v>1293</x:v>
      </x:c>
      <x:c r="B20" s="255" t="s">
        <x:v>1294</x:v>
      </x:c>
      <x:c r="C20" s="255" t="str">
        <x:v>SonLT</x:v>
      </x:c>
      <x:c r="D20" s="256" t="n">
        <x:v>2</x:v>
      </x:c>
      <x:c r="E20" s="256" t="s">
        <x:v>1295</x:v>
      </x:c>
      <x:c r="F20" s="247" t="n">
        <x:v>25</x:v>
      </x:c>
      <x:c r="G20" s="252" t="str">
        <x:v>In Progress</x:v>
      </x:c>
      <x:c r="H20" s="252"/>
      <x:c r="I20" s="255" t="str">
        <x:v>4.1.2, 4.1.3</x:v>
      </x:c>
      <x:c r="J20" s="255"/>
      <x:c r="K20" s="257" t="str">
        <x:v>05/10 smoke reports exist; fresh unassisted full-flow regression remains open. Completion is an estimated deliverable assessment; actual person-days are not yet recorded.</x:v>
      </x:c>
    </x:row>
    <x:row r="21" ht="84" customHeight="1">
      <x:c r="A21" s="262" t="s">
        <x:v>1296</x:v>
      </x:c>
      <x:c r="B21" s="250" t="s">
        <x:v>1297</x:v>
      </x:c>
      <x:c r="C21" s="250" t="str">
        <x:v>PhuPD, SonLT</x:v>
      </x:c>
      <x:c r="D21" s="251" t="n">
        <x:v>3</x:v>
      </x:c>
      <x:c r="E21" s="251" t="s">
        <x:v>1295</x:v>
      </x:c>
      <x:c r="F21" s="247" t="n">
        <x:v>0</x:v>
      </x:c>
      <x:c r="G21" s="252" t="str">
        <x:v>Not Started</x:v>
      </x:c>
      <x:c r="H21" s="252"/>
      <x:c r="I21" s="250" t="str">
        <x:v>4.1.4</x:v>
      </x:c>
      <x:c r="J21" s="250"/>
      <x:c r="K21" s="253" t="str">
        <x:v>Iteration 2 baseline planned after Iteration 1 review. Completion is an estimated deliverable assessment; actual person-days are not yet recorded.</x:v>
      </x:c>
    </x:row>
    <x:row r="22" ht="84" customHeight="1">
      <x:c r="A22" s="262" t="s">
        <x:v>1298</x:v>
      </x:c>
      <x:c r="B22" s="255" t="s">
        <x:v>1299</x:v>
      </x:c>
      <x:c r="C22" s="255" t="str">
        <x:v>HieuLT, HoangNV</x:v>
      </x:c>
      <x:c r="D22" s="256" t="n">
        <x:v>2</x:v>
      </x:c>
      <x:c r="E22" s="256" t="s">
        <x:v>1295</x:v>
      </x:c>
      <x:c r="F22" s="247" t="n">
        <x:v>0</x:v>
      </x:c>
      <x:c r="G22" s="252" t="str">
        <x:v>Not Started</x:v>
      </x:c>
      <x:c r="H22" s="252"/>
      <x:c r="I22" s="255" t="str">
        <x:v>4.1.2, 4.1.4</x:v>
      </x:c>
      <x:c r="J22" s="255"/>
      <x:c r="K22" s="257" t="str">
        <x:v>Version 1 release follows reviewed code and integration findings. Completion is an estimated deliverable assessment; actual person-days are not yet recorded.</x:v>
      </x:c>
    </x:row>
    <x:row r="23" ht="20.100000381469727" customHeight="1">
      <x:c r="A23" s="260" t="s">
        <x:v>1300</x:v>
      </x:c>
      <x:c r="B23" s="261"/>
      <x:c r="C23" s="248"/>
      <x:c r="D23" s="248"/>
      <x:c r="E23" s="248"/>
      <x:c r="F23" s="249"/>
      <x:c r="G23" s="248"/>
      <x:c r="H23" s="248"/>
      <x:c r="I23" s="248"/>
      <x:c r="J23" s="248"/>
      <x:c r="K23" s="248"/>
    </x:row>
    <x:row r="24" ht="84" customHeight="1">
      <x:c r="A24" s="262" t="s">
        <x:v>1301</x:v>
      </x:c>
      <x:c r="B24" s="250" t="s">
        <x:v>1302</x:v>
      </x:c>
      <x:c r="C24" s="250" t="str">
        <x:v>HieuLT, TungVPH</x:v>
      </x:c>
      <x:c r="D24" s="251" t="n">
        <x:v>3</x:v>
      </x:c>
      <x:c r="E24" s="251" t="s">
        <x:v>1303</x:v>
      </x:c>
      <x:c r="F24" s="247" t="n">
        <x:v>0</x:v>
      </x:c>
      <x:c r="G24" s="252" t="str">
        <x:v>Not Started</x:v>
      </x:c>
      <x:c r="H24" s="252"/>
      <x:c r="I24" s="250" t="str">
        <x:v>4.1.5, 4.1.6</x:v>
      </x:c>
      <x:c r="J24" s="250"/>
      <x:c r="K24" s="253" t="str">
        <x:v>Iteration 2 delivery window 28/10–10/11. Completion is an estimated deliverable assessment; actual person-days are not yet recorded.</x:v>
      </x:c>
    </x:row>
    <x:row r="25" ht="84" customHeight="1">
      <x:c r="A25" s="262" t="s">
        <x:v>1304</x:v>
      </x:c>
      <x:c r="B25" s="255" t="s">
        <x:v>1305</x:v>
      </x:c>
      <x:c r="C25" s="255" t="str">
        <x:v>PhuPD, HoangNV, SonLT, HieuLT, TungVPH</x:v>
      </x:c>
      <x:c r="D25" s="256" t="n">
        <x:v>8</x:v>
      </x:c>
      <x:c r="E25" s="256" t="s">
        <x:v>1303</x:v>
      </x:c>
      <x:c r="F25" s="247" t="n">
        <x:v>0</x:v>
      </x:c>
      <x:c r="G25" s="252" t="str">
        <x:v>Not Started</x:v>
      </x:c>
      <x:c r="H25" s="252"/>
      <x:c r="I25" s="255" t="str">
        <x:v>4.2.1</x:v>
      </x:c>
      <x:c r="J25" s="255"/>
      <x:c r="K25" s="257" t="str">
        <x:v>Account/library screens, course FE completion and contract regression. Completion is an estimated deliverable assessment; actual person-days are not yet recorded.</x:v>
      </x:c>
    </x:row>
    <x:row r="26" ht="84" customHeight="1">
      <x:c r="A26" s="262" t="s">
        <x:v>1306</x:v>
      </x:c>
      <x:c r="B26" s="250" t="s">
        <x:v>1307</x:v>
      </x:c>
      <x:c r="C26" s="250" t="str">
        <x:v>PhuPD, SonLT</x:v>
      </x:c>
      <x:c r="D26" s="251" t="n">
        <x:v>2</x:v>
      </x:c>
      <x:c r="E26" s="251" t="s">
        <x:v>1303</x:v>
      </x:c>
      <x:c r="F26" s="247" t="n">
        <x:v>0</x:v>
      </x:c>
      <x:c r="G26" s="252" t="str">
        <x:v>Not Started</x:v>
      </x:c>
      <x:c r="H26" s="252"/>
      <x:c r="I26" s="250" t="str">
        <x:v>4.2.1, 3.4</x:v>
      </x:c>
      <x:c r="J26" s="250"/>
      <x:c r="K26" s="253" t="str">
        <x:v>Updated integration cases for Iteration 2 scope. Completion is an estimated deliverable assessment; actual person-days are not yet recorded.</x:v>
      </x:c>
    </x:row>
    <x:row r="27" ht="84" customHeight="1">
      <x:c r="A27" s="262" t="s">
        <x:v>1308</x:v>
      </x:c>
      <x:c r="B27" s="255" t="s">
        <x:v>1309</x:v>
      </x:c>
      <x:c r="C27" s="255" t="str">
        <x:v>SonLT</x:v>
      </x:c>
      <x:c r="D27" s="256" t="n">
        <x:v>2</x:v>
      </x:c>
      <x:c r="E27" s="256" t="s">
        <x:v>1310</x:v>
      </x:c>
      <x:c r="F27" s="247" t="n">
        <x:v>0</x:v>
      </x:c>
      <x:c r="G27" s="252" t="str">
        <x:v>Not Started</x:v>
      </x:c>
      <x:c r="H27" s="252"/>
      <x:c r="I27" s="255" t="str">
        <x:v>4.2.2, 4.2.3</x:v>
      </x:c>
      <x:c r="J27" s="255"/>
      <x:c r="K27" s="257" t="str">
        <x:v>Execute tests, record outcomes and review unresolved defects. Completion is an estimated deliverable assessment; actual person-days are not yet recorded.</x:v>
      </x:c>
    </x:row>
    <x:row r="28" ht="84" customHeight="1">
      <x:c r="A28" s="262" t="s">
        <x:v>1311</x:v>
      </x:c>
      <x:c r="B28" s="250" t="s">
        <x:v>1312</x:v>
      </x:c>
      <x:c r="C28" s="250" t="str">
        <x:v>PhuPD, SonLT</x:v>
      </x:c>
      <x:c r="D28" s="251" t="n">
        <x:v>3</x:v>
      </x:c>
      <x:c r="E28" s="251" t="s">
        <x:v>1310</x:v>
      </x:c>
      <x:c r="F28" s="247" t="n">
        <x:v>0</x:v>
      </x:c>
      <x:c r="G28" s="252" t="str">
        <x:v>Not Started</x:v>
      </x:c>
      <x:c r="H28" s="252"/>
      <x:c r="I28" s="250" t="str">
        <x:v>4.2.4</x:v>
      </x:c>
      <x:c r="J28" s="250"/>
      <x:c r="K28" s="253" t="str">
        <x:v>Iteration 3 feature baseline follows Iteration 2 review. Completion is an estimated deliverable assessment; actual person-days are not yet recorded.</x:v>
      </x:c>
    </x:row>
    <x:row r="29" ht="84" customHeight="1">
      <x:c r="A29" s="262" t="s">
        <x:v>1313</x:v>
      </x:c>
      <x:c r="B29" s="255" t="s">
        <x:v>1314</x:v>
      </x:c>
      <x:c r="C29" s="255" t="str">
        <x:v>HieuLT, HoangNV</x:v>
      </x:c>
      <x:c r="D29" s="256" t="n">
        <x:v>2</x:v>
      </x:c>
      <x:c r="E29" s="256" t="s">
        <x:v>1310</x:v>
      </x:c>
      <x:c r="F29" s="247" t="n">
        <x:v>0</x:v>
      </x:c>
      <x:c r="G29" s="252" t="str">
        <x:v>Not Started</x:v>
      </x:c>
      <x:c r="H29" s="252"/>
      <x:c r="I29" s="255" t="str">
        <x:v>4.2.2, 4.2.4</x:v>
      </x:c>
      <x:c r="J29" s="255"/>
      <x:c r="K29" s="257" t="str">
        <x:v>Version 2 release after integration review. Completion is an estimated deliverable assessment; actual person-days are not yet recorded.</x:v>
      </x:c>
    </x:row>
    <x:row r="30" ht="20.100000381469727" customHeight="1">
      <x:c r="A30" s="260" t="s">
        <x:v>1315</x:v>
      </x:c>
      <x:c r="B30" s="261"/>
      <x:c r="C30" s="248"/>
      <x:c r="D30" s="248"/>
      <x:c r="E30" s="248"/>
      <x:c r="F30" s="249"/>
      <x:c r="G30" s="248"/>
      <x:c r="H30" s="248"/>
      <x:c r="I30" s="248"/>
      <x:c r="J30" s="248"/>
      <x:c r="K30" s="248"/>
    </x:row>
    <x:row r="31" ht="84" customHeight="1">
      <x:c r="A31" s="262" t="s">
        <x:v>1316</x:v>
      </x:c>
      <x:c r="B31" s="250" t="s">
        <x:v>1317</x:v>
      </x:c>
      <x:c r="C31" s="250" t="str">
        <x:v>HieuLT, TungVPH</x:v>
      </x:c>
      <x:c r="D31" s="251" t="n">
        <x:v>3</x:v>
      </x:c>
      <x:c r="E31" s="251" t="s">
        <x:v>1318</x:v>
      </x:c>
      <x:c r="F31" s="247" t="n">
        <x:v>0</x:v>
      </x:c>
      <x:c r="G31" s="252" t="str">
        <x:v>Not Started</x:v>
      </x:c>
      <x:c r="H31" s="252"/>
      <x:c r="I31" s="250" t="str">
        <x:v>4.2.5, 4.2.6</x:v>
      </x:c>
      <x:c r="J31" s="250"/>
      <x:c r="K31" s="253" t="str">
        <x:v>Iteration 3 delivery window 11–24/11. Completion is an estimated deliverable assessment; actual person-days are not yet recorded.</x:v>
      </x:c>
    </x:row>
    <x:row r="32" ht="84" customHeight="1">
      <x:c r="A32" s="262" t="s">
        <x:v>1319</x:v>
      </x:c>
      <x:c r="B32" s="255" t="s">
        <x:v>1320</x:v>
      </x:c>
      <x:c r="C32" s="255" t="str">
        <x:v>PhuPD, HoangNV, SonLT, HieuLT, TungVPH</x:v>
      </x:c>
      <x:c r="D32" s="256" t="n">
        <x:v>8</x:v>
      </x:c>
      <x:c r="E32" s="256" t="s">
        <x:v>1318</x:v>
      </x:c>
      <x:c r="F32" s="247" t="n">
        <x:v>0</x:v>
      </x:c>
      <x:c r="G32" s="252" t="str">
        <x:v>Not Started</x:v>
      </x:c>
      <x:c r="H32" s="252"/>
      <x:c r="I32" s="255" t="str">
        <x:v>4.3.1</x:v>
      </x:c>
      <x:c r="J32" s="255"/>
      <x:c r="K32" s="257" t="str">
        <x:v>Prioritized staff, notifications, games/community and remaining product features. Completion is an estimated deliverable assessment; actual person-days are not yet recorded.</x:v>
      </x:c>
    </x:row>
    <x:row r="33" ht="84" customHeight="1">
      <x:c r="A33" s="262" t="s">
        <x:v>1321</x:v>
      </x:c>
      <x:c r="B33" s="250" t="s">
        <x:v>1322</x:v>
      </x:c>
      <x:c r="C33" s="250" t="str">
        <x:v>PhuPD, SonLT</x:v>
      </x:c>
      <x:c r="D33" s="251" t="n">
        <x:v>2</x:v>
      </x:c>
      <x:c r="E33" s="251" t="s">
        <x:v>1318</x:v>
      </x:c>
      <x:c r="F33" s="247" t="n">
        <x:v>0</x:v>
      </x:c>
      <x:c r="G33" s="252" t="str">
        <x:v>Not Started</x:v>
      </x:c>
      <x:c r="H33" s="252"/>
      <x:c r="I33" s="250" t="str">
        <x:v>4.3.1</x:v>
      </x:c>
      <x:c r="J33" s="250"/>
      <x:c r="K33" s="253" t="str">
        <x:v>Integration cases for approved Iteration 3 feature list. Completion is an estimated deliverable assessment; actual person-days are not yet recorded.</x:v>
      </x:c>
    </x:row>
    <x:row r="34" ht="84" customHeight="1">
      <x:c r="A34" s="262" t="s">
        <x:v>1323</x:v>
      </x:c>
      <x:c r="B34" s="255" t="s">
        <x:v>1324</x:v>
      </x:c>
      <x:c r="C34" s="255" t="str">
        <x:v>SonLT</x:v>
      </x:c>
      <x:c r="D34" s="256" t="n">
        <x:v>2</x:v>
      </x:c>
      <x:c r="E34" s="256" t="s">
        <x:v>1238</x:v>
      </x:c>
      <x:c r="F34" s="247" t="n">
        <x:v>0</x:v>
      </x:c>
      <x:c r="G34" s="252" t="str">
        <x:v>Not Started</x:v>
      </x:c>
      <x:c r="H34" s="252"/>
      <x:c r="I34" s="255" t="str">
        <x:v>4.3.2, 4.3.3</x:v>
      </x:c>
      <x:c r="J34" s="255"/>
      <x:c r="K34" s="257" t="str">
        <x:v>Record test results and outstanding findings. Completion is an estimated deliverable assessment; actual person-days are not yet recorded.</x:v>
      </x:c>
    </x:row>
    <x:row r="35" ht="84" customHeight="1">
      <x:c r="A35" s="262" t="s">
        <x:v>1325</x:v>
      </x:c>
      <x:c r="B35" s="250" t="s">
        <x:v>1326</x:v>
      </x:c>
      <x:c r="C35" s="250" t="str">
        <x:v>PhuPD, SonLT</x:v>
      </x:c>
      <x:c r="D35" s="251" t="n">
        <x:v>3</x:v>
      </x:c>
      <x:c r="E35" s="251" t="s">
        <x:v>1238</x:v>
      </x:c>
      <x:c r="F35" s="247" t="n">
        <x:v>0</x:v>
      </x:c>
      <x:c r="G35" s="252" t="str">
        <x:v>Not Started</x:v>
      </x:c>
      <x:c r="H35" s="252"/>
      <x:c r="I35" s="250" t="str">
        <x:v>4.3.3, 3.4</x:v>
      </x:c>
      <x:c r="J35" s="250"/>
      <x:c r="K35" s="253" t="str">
        <x:v>System test coverage prepared for final regression. Completion is an estimated deliverable assessment; actual person-days are not yet recorded.</x:v>
      </x:c>
    </x:row>
    <x:row r="36" ht="84" customHeight="1">
      <x:c r="A36" s="262" t="s">
        <x:v>1327</x:v>
      </x:c>
      <x:c r="B36" s="255" t="s">
        <x:v>1328</x:v>
      </x:c>
      <x:c r="C36" s="255" t="str">
        <x:v>HieuLT, HoangNV</x:v>
      </x:c>
      <x:c r="D36" s="256" t="n">
        <x:v>2</x:v>
      </x:c>
      <x:c r="E36" s="256" t="s">
        <x:v>1238</x:v>
      </x:c>
      <x:c r="F36" s="247" t="n">
        <x:v>0</x:v>
      </x:c>
      <x:c r="G36" s="252" t="str">
        <x:v>Not Started</x:v>
      </x:c>
      <x:c r="H36" s="252"/>
      <x:c r="I36" s="255" t="str">
        <x:v>4.3.2, 4.3.4</x:v>
      </x:c>
      <x:c r="J36" s="255"/>
      <x:c r="K36" s="257" t="str">
        <x:v>Version 3 release after integration review. Completion is an estimated deliverable assessment; actual person-days are not yet recorded.</x:v>
      </x:c>
    </x:row>
    <x:row r="37" ht="20.100000381469727" customHeight="1">
      <x:c r="A37" s="260" t="s">
        <x:v>1329</x:v>
      </x:c>
      <x:c r="B37" s="261"/>
      <x:c r="C37" s="248"/>
      <x:c r="D37" s="248"/>
      <x:c r="E37" s="248"/>
      <x:c r="F37" s="249"/>
      <x:c r="G37" s="248"/>
      <x:c r="H37" s="248"/>
      <x:c r="I37" s="248"/>
      <x:c r="J37" s="248"/>
      <x:c r="K37" s="248"/>
    </x:row>
    <x:row r="38" ht="84" customHeight="1">
      <x:c r="A38" s="262" t="s">
        <x:v>1330</x:v>
      </x:c>
      <x:c r="B38" s="250" t="s">
        <x:v>1331</x:v>
      </x:c>
      <x:c r="C38" s="250" t="str">
        <x:v>SonLT, TungVPH</x:v>
      </x:c>
      <x:c r="D38" s="251" t="n">
        <x:v>4</x:v>
      </x:c>
      <x:c r="E38" s="251" t="s">
        <x:v>1332</x:v>
      </x:c>
      <x:c r="F38" s="247" t="n">
        <x:v>0</x:v>
      </x:c>
      <x:c r="G38" s="252" t="str">
        <x:v>Not Started</x:v>
      </x:c>
      <x:c r="H38" s="252"/>
      <x:c r="I38" s="250" t="str">
        <x:v>4.3.5, 4.3.6</x:v>
      </x:c>
      <x:c r="J38" s="250"/>
      <x:c r="K38" s="253" t="str">
        <x:v>System regression planned 25/11–08/12. Completion is an estimated deliverable assessment; actual person-days are not yet recorded.</x:v>
      </x:c>
    </x:row>
    <x:row r="39" ht="84" customHeight="1">
      <x:c r="A39" s="262" t="s">
        <x:v>1333</x:v>
      </x:c>
      <x:c r="B39" s="255" t="s">
        <x:v>1334</x:v>
      </x:c>
      <x:c r="C39" s="255" t="str">
        <x:v>HoangNV, TungVPH</x:v>
      </x:c>
      <x:c r="D39" s="256" t="n">
        <x:v>3</x:v>
      </x:c>
      <x:c r="E39" s="256" t="s">
        <x:v>1332</x:v>
      </x:c>
      <x:c r="F39" s="247" t="n">
        <x:v>0</x:v>
      </x:c>
      <x:c r="G39" s="252" t="str">
        <x:v>Not Started</x:v>
      </x:c>
      <x:c r="H39" s="252"/>
      <x:c r="I39" s="255" t="str">
        <x:v>4.3.6</x:v>
      </x:c>
      <x:c r="J39" s="255"/>
      <x:c r="K39" s="257" t="str">
        <x:v>Installation guide and user manual for final package. Completion is an estimated deliverable assessment; actual person-days are not yet recorded.</x:v>
      </x:c>
    </x:row>
    <x:row r="40" ht="84" customHeight="1">
      <x:c r="A40" s="262" t="s">
        <x:v>1335</x:v>
      </x:c>
      <x:c r="B40" s="250" t="s">
        <x:v>1336</x:v>
      </x:c>
      <x:c r="C40" s="250" t="str">
        <x:v>LinhNDM, HieuLT, SonLT</x:v>
      </x:c>
      <x:c r="D40" s="251" t="n">
        <x:v>3</x:v>
      </x:c>
      <x:c r="E40" s="251" t="s">
        <x:v>1241</x:v>
      </x:c>
      <x:c r="F40" s="247" t="n">
        <x:v>0</x:v>
      </x:c>
      <x:c r="G40" s="252" t="str">
        <x:v>Not Started</x:v>
      </x:c>
      <x:c r="H40" s="252"/>
      <x:c r="I40" s="250" t="str">
        <x:v>5.1, 5.2</x:v>
      </x:c>
      <x:c r="J40" s="250"/>
      <x:c r="K40" s="253" t="str">
        <x:v>Supervisor acceptance review and defect support in Week 13. Completion is an estimated deliverable assessment; actual person-days are not yet recorded.</x:v>
      </x:c>
    </x:row>
    <x:row r="41" ht="84" customHeight="1">
      <x:c r="A41" s="262" t="s">
        <x:v>1337</x:v>
      </x:c>
      <x:c r="B41" s="255" t="s">
        <x:v>1338</x:v>
      </x:c>
      <x:c r="C41" s="255" t="str">
        <x:v>HieuLT, TungVPH</x:v>
      </x:c>
      <x:c r="D41" s="256" t="n">
        <x:v>2</x:v>
      </x:c>
      <x:c r="E41" s="256" t="s">
        <x:v>1241</x:v>
      </x:c>
      <x:c r="F41" s="247" t="n">
        <x:v>0</x:v>
      </x:c>
      <x:c r="G41" s="252" t="str">
        <x:v>Not Started</x:v>
      </x:c>
      <x:c r="H41" s="252"/>
      <x:c r="I41" s="255" t="str">
        <x:v>5.1, 5.2, 5.3</x:v>
      </x:c>
      <x:c r="J41" s="255"/>
      <x:c r="K41" s="257" t="str">
        <x:v>Package reviewed documents, source and deployment instructions. Completion is an estimated deliverable assessment; actual person-days are not yet recorded.</x:v>
      </x:c>
    </x:row>
    <x:row r="42" ht="20.100000381469727" customHeight="1">
      <x:c r="A42" s="260" t="s">
        <x:v>1339</x:v>
      </x:c>
      <x:c r="B42" s="261"/>
      <x:c r="C42" s="248"/>
      <x:c r="D42" s="248"/>
      <x:c r="E42" s="248"/>
      <x:c r="F42" s="249"/>
      <x:c r="G42" s="248"/>
      <x:c r="H42" s="248"/>
      <x:c r="I42" s="248"/>
      <x:c r="J42" s="248"/>
      <x:c r="K42" s="248"/>
    </x:row>
    <x:row r="43" ht="84" customHeight="1">
      <x:c r="A43" s="262" t="s">
        <x:v>1340</x:v>
      </x:c>
      <x:c r="B43" s="250" t="s">
        <x:v>1341</x:v>
      </x:c>
      <x:c r="C43" s="250" t="str">
        <x:v>PhuPD, HieuLT</x:v>
      </x:c>
      <x:c r="D43" s="251" t="n">
        <x:v>3</x:v>
      </x:c>
      <x:c r="E43" s="251" t="s">
        <x:v>1244</x:v>
      </x:c>
      <x:c r="F43" s="247" t="n">
        <x:v>0</x:v>
      </x:c>
      <x:c r="G43" s="252" t="str">
        <x:v>Not Started</x:v>
      </x:c>
      <x:c r="H43" s="252"/>
      <x:c r="I43" s="250" t="str">
        <x:v>5.4</x:v>
      </x:c>
      <x:c r="J43" s="250"/>
      <x:c r="K43" s="253" t="str">
        <x:v>Closing window 09–15/12; consolidate final results and limitations. Completion is an estimated deliverable assessment; actual person-days are not yet recorded.</x:v>
      </x:c>
    </x:row>
    <x:row r="44" ht="84" customHeight="1">
      <x:c r="A44" s="262" t="s">
        <x:v>1342</x:v>
      </x:c>
      <x:c r="B44" s="255" t="s">
        <x:v>1343</x:v>
      </x:c>
      <x:c r="C44" s="255" t="str">
        <x:v>HoangNV, SonLT</x:v>
      </x:c>
      <x:c r="D44" s="256" t="n">
        <x:v>2</x:v>
      </x:c>
      <x:c r="E44" s="256" t="s">
        <x:v>1244</x:v>
      </x:c>
      <x:c r="F44" s="247" t="n">
        <x:v>0</x:v>
      </x:c>
      <x:c r="G44" s="252" t="str">
        <x:v>Not Started</x:v>
      </x:c>
      <x:c r="H44" s="252"/>
      <x:c r="I44" s="255" t="str">
        <x:v>6.1</x:v>
      </x:c>
      <x:c r="J44" s="255"/>
      <x:c r="K44" s="257" t="str">
        <x:v>Presentation and demo based on the final report. Completion is an estimated deliverable assessment; actual person-days are not yet recorded.</x:v>
      </x:c>
    </x:row>
  </x:sheetData>
  <x:mergeCells>
    <x:mergeCell ref="A42:K42"/>
    <x:mergeCell ref="A5:K5"/>
    <x:mergeCell ref="A1:K1"/>
    <x:mergeCell ref="A23:K23"/>
    <x:mergeCell ref="A37:K37"/>
    <x:mergeCell ref="A30:K30"/>
    <x:mergeCell ref="A7:K7"/>
    <x:mergeCell ref="A2:K2"/>
    <x:mergeCell ref="A11:K11"/>
    <x:mergeCell ref="A16:K16"/>
  </x:mergeCells>
  <x:conditionalFormatting sqref="G5:G45">
    <x:cfRule type="cellIs" dxfId="215" priority="1" operator="equal">
      <x:formula>"Done"</x:formula>
    </x:cfRule>
    <x:cfRule type="cellIs" dxfId="214" priority="2" operator="equal">
      <x:formula>"Completed"</x:formula>
    </x:cfRule>
    <x:cfRule type="cellIs" dxfId="213" priority="3" operator="equal">
      <x:formula>"Closed"</x:formula>
    </x:cfRule>
    <x:cfRule type="cellIs" dxfId="212" priority="4" operator="equal">
      <x:formula>"Fixed"</x:formula>
    </x:cfRule>
    <x:cfRule type="cellIs" dxfId="211" priority="5" operator="equal">
      <x:formula>"Approved"</x:formula>
    </x:cfRule>
    <x:cfRule type="cellIs" dxfId="210" priority="6" operator="equal">
      <x:formula>"In Progress"</x:formula>
    </x:cfRule>
    <x:cfRule type="cellIs" dxfId="209" priority="7" operator="equal">
      <x:formula>"Open"</x:formula>
    </x:cfRule>
    <x:cfRule type="cellIs" dxfId="208" priority="8" operator="equal">
      <x:formula>"Pending"</x:formula>
    </x:cfRule>
    <x:cfRule type="cellIs" dxfId="207" priority="9" operator="equal">
      <x:formula>"Blocked"</x:formula>
    </x:cfRule>
    <x:cfRule type="cellIs" dxfId="206" priority="10" operator="equal">
      <x:formula>"Cancelled"</x:formula>
    </x:cfRule>
    <x:cfRule type="cellIs" dxfId="205" priority="11" operator="equal">
      <x:formula>"Rejected"</x:formula>
    </x:cfRule>
    <x:cfRule type="cellIs" dxfId="204" priority="12" operator="equal">
      <x:formula>"Submitted"</x:formula>
    </x:cfRule>
  </x:conditionalFormatting>
  <x:dataValidations count="1">
    <x:dataValidation type="list" allowBlank="1" sqref="G6 G17:G22 G24:G29 G31:G36 G38:G41 G43:G44 G8:G10 G15 G12:G14">
      <x:formula1>"Not Started,In Progress,Done,Blocked,Deferred"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7562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4" customWidth="1"/>
    <x:col min="2" max="2" width="12" customWidth="1"/>
    <x:col min="3" max="4" width="25" customWidth="1"/>
    <x:col min="5" max="5" width="64" customWidth="1"/>
    <x:col min="6" max="6" width="16" customWidth="1"/>
    <x:col min="7" max="7" width="18" customWidth="1"/>
    <x:col min="8" max="8" width="20" customWidth="1"/>
    <x:col min="9" max="9" width="16" customWidth="1"/>
    <x:col min="10" max="11" width="18" customWidth="1"/>
    <x:col min="12" max="12" width="86" customWidth="1"/>
  </x:cols>
  <x:sheetData>
    <x:row r="1" ht="28.149999618530273" customHeight="1">
      <x:c r="A1" s="167" t="s">
        <x:v>1344</x:v>
      </x:c>
      <x:c r="B1" s="154"/>
      <x:c r="C1" s="154"/>
      <x:c r="D1" s="154"/>
      <x:c r="E1" s="154"/>
      <x:c r="F1" s="154"/>
      <x:c r="G1" s="154"/>
      <x:c r="H1" s="154"/>
      <x:c r="I1" s="154"/>
      <x:c r="J1" s="154"/>
      <x:c r="K1" s="154"/>
      <x:c r="L1" s="154"/>
    </x:row>
    <x:row r="2" ht="20.100000381469727" customHeight="1">
      <x:c r="A2" s="128" t="s">
        <x:v>1345</x:v>
      </x:c>
      <x:c r="B2" s="128"/>
      <x:c r="C2" s="128"/>
      <x:c r="D2" s="128"/>
      <x:c r="E2" s="128"/>
      <x:c r="F2" s="128"/>
      <x:c r="G2" s="128"/>
      <x:c r="H2" s="128"/>
      <x:c r="I2" s="128"/>
      <x:c r="J2" s="128"/>
      <x:c r="K2" s="128"/>
      <x:c r="L2" s="128"/>
    </x:row>
    <x:row r="3" ht="6" customHeight="1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  <x:c r="L3" s="154"/>
    </x:row>
    <x:row r="4" ht="36" customHeight="1">
      <x:c r="A4" s="168" t="s">
        <x:v>1346</x:v>
      </x:c>
      <x:c r="B4" s="168" t="s">
        <x:v>1347</x:v>
      </x:c>
      <x:c r="C4" s="168" t="s">
        <x:v>1348</x:v>
      </x:c>
      <x:c r="D4" s="168" t="s">
        <x:v>1349</x:v>
      </x:c>
      <x:c r="E4" s="168" t="s">
        <x:v>1350</x:v>
      </x:c>
      <x:c r="F4" s="168" t="s">
        <x:v>1351</x:v>
      </x:c>
      <x:c r="G4" s="168" t="s">
        <x:v>1248</x:v>
      </x:c>
      <x:c r="H4" s="168" t="s">
        <x:v>1352</x:v>
      </x:c>
      <x:c r="I4" s="168" t="s">
        <x:v>1225</x:v>
      </x:c>
      <x:c r="J4" s="168" t="s">
        <x:v>1353</x:v>
      </x:c>
      <x:c r="K4" s="168" t="s">
        <x:v>1226</x:v>
      </x:c>
      <x:c r="L4" s="168" t="s">
        <x:v>1263</x:v>
      </x:c>
    </x:row>
    <x:row r="5" ht="144.9499969482422" customHeight="1">
      <x:c r="A5" s="169" t="s">
        <x:v>1354</x:v>
      </x:c>
      <x:c r="B5" s="170" t="s">
        <x:v>1355</x:v>
      </x:c>
      <x:c r="C5" s="170" t="s">
        <x:v>1356</x:v>
      </x:c>
      <x:c r="D5" s="170" t="s">
        <x:v>1357</x:v>
      </x:c>
      <x:c r="E5" s="170" t="s">
        <x:v>1358</x:v>
      </x:c>
      <x:c r="F5" s="171" t="s">
        <x:v>1359</x:v>
      </x:c>
      <x:c r="G5" s="172">
        <x:v>3</x:v>
      </x:c>
      <x:c r="H5" s="173" t="s">
        <x:v>1251</x:v>
      </x:c>
      <x:c r="I5" s="173" t="s">
        <x:v>1360</x:v>
      </x:c>
      <x:c r="J5" s="172"/>
      <x:c r="K5" s="174" t="s">
        <x:v>1215</x:v>
      </x:c>
      <x:c r="L5" s="170" t="str">
        <x:v>FDS §2.1; FT-10, FT-11, FT-12; UC-30, UC-26; FE: partly built; Specified (key activation not wired in the frontend: GAP-03). Role: Guest and any signed-in user.   Done means implemented screen scope, not formal UAT approval. | Planned delivery: 2026-10-14 to 2026-10-27. Preparatory code/prototype work may precede delivery. Actual points remain unrecorded.</x:v>
      </x:c>
    </x:row>
    <x:row r="6" ht="144.9499969482422" customHeight="1">
      <x:c r="A6" s="175" t="s">
        <x:v>1361</x:v>
      </x:c>
      <x:c r="B6" s="176" t="s">
        <x:v>1355</x:v>
      </x:c>
      <x:c r="C6" s="176" t="s">
        <x:v>1362</x:v>
      </x:c>
      <x:c r="D6" s="176" t="s">
        <x:v>1363</x:v>
      </x:c>
      <x:c r="E6" s="176" t="s">
        <x:v>1364</x:v>
      </x:c>
      <x:c r="F6" s="171" t="s">
        <x:v>1365</x:v>
      </x:c>
      <x:c r="G6" s="172">
        <x:v>5</x:v>
      </x:c>
      <x:c r="H6" s="174" t="s">
        <x:v>1251</x:v>
      </x:c>
      <x:c r="I6" s="174" t="s">
        <x:v>1360</x:v>
      </x:c>
      <x:c r="J6" s="172"/>
      <x:c r="K6" s="174" t="s">
        <x:v>1215</x:v>
      </x:c>
      <x:c r="L6" s="176" t="str">
        <x:v>FDS §2.2; FT-02, FT-03, FT-05, FT-07; UC-02, UC-03; FE: built, real API; Specified (OAuth button: Draft; role-based home: GAP-02). Role: Guest.   Done means implemented screen scope, not formal UAT approval. | Planned delivery: 2026-10-14 to 2026-10-27. Preparatory code/prototype work may precede delivery. Actual points remain unrecorded.</x:v>
      </x:c>
    </x:row>
    <x:row r="7" ht="144.9499969482422" customHeight="1">
      <x:c r="A7" s="169" t="s">
        <x:v>1366</x:v>
      </x:c>
      <x:c r="B7" s="170" t="s">
        <x:v>1355</x:v>
      </x:c>
      <x:c r="C7" s="170" t="s">
        <x:v>1362</x:v>
      </x:c>
      <x:c r="D7" s="170" t="s">
        <x:v>1367</x:v>
      </x:c>
      <x:c r="E7" s="170" t="s">
        <x:v>1368</x:v>
      </x:c>
      <x:c r="F7" s="171" t="s">
        <x:v>1359</x:v>
      </x:c>
      <x:c r="G7" s="172">
        <x:v>3</x:v>
      </x:c>
      <x:c r="H7" s="173" t="s">
        <x:v>1251</x:v>
      </x:c>
      <x:c r="I7" s="173" t="s">
        <x:v>1360</x:v>
      </x:c>
      <x:c r="J7" s="172"/>
      <x:c r="K7" s="174" t="s">
        <x:v>1249</x:v>
      </x:c>
      <x:c r="L7" s="170" t="str">
        <x:v>FDS §2.3; FT-01, FT-02; UC-01; FE: built, real API; Specified. Role: Guest.   Done means implemented screen scope, not formal UAT approval. | Planned delivery: 2026-10-14 to 2026-10-27. Preparatory code/prototype work may precede delivery. Actual points remain unrecorded.</x:v>
      </x:c>
    </x:row>
    <x:row r="8" ht="144.9499969482422" customHeight="1">
      <x:c r="A8" s="175" t="s">
        <x:v>1369</x:v>
      </x:c>
      <x:c r="B8" s="176" t="s">
        <x:v>1355</x:v>
      </x:c>
      <x:c r="C8" s="176" t="s">
        <x:v>1362</x:v>
      </x:c>
      <x:c r="D8" s="176" t="s">
        <x:v>1370</x:v>
      </x:c>
      <x:c r="E8" s="176" t="s">
        <x:v>1371</x:v>
      </x:c>
      <x:c r="F8" s="171" t="s">
        <x:v>1359</x:v>
      </x:c>
      <x:c r="G8" s="172">
        <x:v>3</x:v>
      </x:c>
      <x:c r="H8" s="174" t="s">
        <x:v>1251</x:v>
      </x:c>
      <x:c r="I8" s="174" t="s">
        <x:v>1360</x:v>
      </x:c>
      <x:c r="J8" s="172"/>
      <x:c r="K8" s="174" t="s">
        <x:v>1215</x:v>
      </x:c>
      <x:c r="L8" s="176" t="str">
        <x:v>FDS §2.4; FT-04; UC-04, UC-05; FE: built, real API; Specified (email delivery: Draft, GAP-06). Role: Guest.   Done means implemented screen scope, not formal UAT approval. | Planned delivery: 2026-10-14 to 2026-10-27. Preparatory code/prototype work may precede delivery. Actual points remain unrecorded.</x:v>
      </x:c>
    </x:row>
    <x:row r="9" ht="144.9499969482422" customHeight="1">
      <x:c r="A9" s="169" t="s">
        <x:v>1372</x:v>
      </x:c>
      <x:c r="B9" s="170" t="s">
        <x:v>1355</x:v>
      </x:c>
      <x:c r="C9" s="170" t="s">
        <x:v>1362</x:v>
      </x:c>
      <x:c r="D9" s="170" t="s">
        <x:v>1370</x:v>
      </x:c>
      <x:c r="E9" s="170" t="s">
        <x:v>1373</x:v>
      </x:c>
      <x:c r="F9" s="171" t="s">
        <x:v>1359</x:v>
      </x:c>
      <x:c r="G9" s="172">
        <x:v>3</x:v>
      </x:c>
      <x:c r="H9" s="173" t="s">
        <x:v>1251</x:v>
      </x:c>
      <x:c r="I9" s="173" t="s">
        <x:v>1360</x:v>
      </x:c>
      <x:c r="J9" s="172"/>
      <x:c r="K9" s="174" t="s">
        <x:v>1215</x:v>
      </x:c>
      <x:c r="L9" s="170" t="str">
        <x:v>FDS §2.5; FT-04; UC-04; FE: built, real API; Specified (link delivery: Draft, GAP-06). Role: Guest.   Done means implemented screen scope, not formal UAT approval. | Planned delivery: 2026-10-14 to 2026-10-27. Preparatory code/prototype work may precede delivery. Actual points remain unrecorded.</x:v>
      </x:c>
    </x:row>
    <x:row r="10" ht="144.9499969482422" customHeight="1">
      <x:c r="A10" s="175" t="s">
        <x:v>1374</x:v>
      </x:c>
      <x:c r="B10" s="176" t="s">
        <x:v>1355</x:v>
      </x:c>
      <x:c r="C10" s="176" t="s">
        <x:v>1362</x:v>
      </x:c>
      <x:c r="D10" s="176" t="s">
        <x:v>1375</x:v>
      </x:c>
      <x:c r="E10" s="176" t="s">
        <x:v>1376</x:v>
      </x:c>
      <x:c r="F10" s="171" t="s">
        <x:v>1359</x:v>
      </x:c>
      <x:c r="G10" s="172">
        <x:v>3</x:v>
      </x:c>
      <x:c r="H10" s="174" t="s">
        <x:v>1253</x:v>
      </x:c>
      <x:c r="I10" s="174" t="s">
        <x:v>1360</x:v>
      </x:c>
      <x:c r="J10" s="172"/>
      <x:c r="K10" s="174" t="s">
        <x:v>1216</x:v>
      </x:c>
      <x:c r="L10" s="176" t="str">
        <x:v>FDS §2.6; FT-05; UC-03; FE: placeholder route; Draft. Role: Guest. | Planned delivery: 2026-11-11 to 2026-11-24. Preparatory code/prototype work may precede delivery. Actual points remain unrecorded.</x:v>
      </x:c>
    </x:row>
    <x:row r="11" ht="144.9499969482422" customHeight="1">
      <x:c r="A11" s="169" t="s">
        <x:v>1377</x:v>
      </x:c>
      <x:c r="B11" s="170" t="s">
        <x:v>1355</x:v>
      </x:c>
      <x:c r="C11" s="170" t="s">
        <x:v>1378</x:v>
      </x:c>
      <x:c r="D11" s="170" t="s">
        <x:v>1379</x:v>
      </x:c>
      <x:c r="E11" s="170" t="s">
        <x:v>1380</x:v>
      </x:c>
      <x:c r="F11" s="171" t="s">
        <x:v>1359</x:v>
      </x:c>
      <x:c r="G11" s="172">
        <x:v>3</x:v>
      </x:c>
      <x:c r="H11" s="173" t="s">
        <x:v>1252</x:v>
      </x:c>
      <x:c r="I11" s="173" t="s">
        <x:v>1381</x:v>
      </x:c>
      <x:c r="J11" s="172"/>
      <x:c r="K11" s="174" t="s">
        <x:v>1215</x:v>
      </x:c>
      <x:c r="L11" s="170" t="str">
        <x:v>FDS §2.7; FT-26, FT-44, FT-45 (intended); UC-19, UC-18; FE: built on mock data; Draft (UI on mock data, OQ-17). Role: Any signed-in user.   Mock UI exists; product implementation is incomplete. | Planned delivery: 2026-10-28 to 2026-11-10. Preparatory code/prototype work may precede delivery. Actual points remain unrecorded.</x:v>
      </x:c>
    </x:row>
    <x:row r="12" ht="144.9499969482422" customHeight="1">
      <x:c r="A12" s="175" t="s">
        <x:v>1382</x:v>
      </x:c>
      <x:c r="B12" s="176" t="s">
        <x:v>1355</x:v>
      </x:c>
      <x:c r="C12" s="176" t="s">
        <x:v>1383</x:v>
      </x:c>
      <x:c r="D12" s="176" t="s">
        <x:v>1384</x:v>
      </x:c>
      <x:c r="E12" s="176" t="s">
        <x:v>1385</x:v>
      </x:c>
      <x:c r="F12" s="171" t="s">
        <x:v>1359</x:v>
      </x:c>
      <x:c r="G12" s="172">
        <x:v>3</x:v>
      </x:c>
      <x:c r="H12" s="174" t="s">
        <x:v>1251</x:v>
      </x:c>
      <x:c r="I12" s="174" t="s">
        <x:v>1360</x:v>
      </x:c>
      <x:c r="J12" s="172"/>
      <x:c r="K12" s="174" t="s">
        <x:v>1215</x:v>
      </x:c>
      <x:c r="L12" s="176" t="str">
        <x:v>FDS §2.8; FT-13, FT-20, FT-28; UC-08; FE: built, real API; Specified (skill grouping: GAP-01; Premium lock: Draft). Role: Signed-in learner.   Done means implemented screen scope, not formal UAT approval. | Planned delivery: 2026-10-14 to 2026-10-27. Preparatory code/prototype work may precede delivery. Actual points remain unrecorded.</x:v>
      </x:c>
    </x:row>
    <x:row r="13" ht="144.9499969482422" customHeight="1">
      <x:c r="A13" s="169" t="s">
        <x:v>1386</x:v>
      </x:c>
      <x:c r="B13" s="170" t="s">
        <x:v>1355</x:v>
      </x:c>
      <x:c r="C13" s="170" t="s">
        <x:v>1383</x:v>
      </x:c>
      <x:c r="D13" s="170" t="s">
        <x:v>1387</x:v>
      </x:c>
      <x:c r="E13" s="170" t="s">
        <x:v>1388</x:v>
      </x:c>
      <x:c r="F13" s="171" t="s">
        <x:v>1365</x:v>
      </x:c>
      <x:c r="G13" s="172">
        <x:v>5</x:v>
      </x:c>
      <x:c r="H13" s="173" t="s">
        <x:v>1251</x:v>
      </x:c>
      <x:c r="I13" s="173" t="s">
        <x:v>1360</x:v>
      </x:c>
      <x:c r="J13" s="172"/>
      <x:c r="K13" s="174" t="s">
        <x:v>1215</x:v>
      </x:c>
      <x:c r="L13" s="170" t="str">
        <x:v>FDS §2.9; FT-20, FT-21, FT-27, FT-29; UC-08, UC-20; FE: built, real API; Specified. Role: Signed-in learner.   Done means implemented screen scope, not formal UAT approval.  New 07/10 course/multi-skill DTO and gate changes still need FE alignment and fresh browser verification; old FDS acceptance scope is incomplete. | Planned delivery: 2026-10-14 to 2026-10-27. Preparatory code/prototype work may precede delivery. Actual points remain unrecorded.</x:v>
      </x:c>
    </x:row>
    <x:row r="14" ht="144.9499969482422" customHeight="1">
      <x:c r="A14" s="175" t="s">
        <x:v>1389</x:v>
      </x:c>
      <x:c r="B14" s="176" t="s">
        <x:v>1355</x:v>
      </x:c>
      <x:c r="C14" s="176" t="s">
        <x:v>1383</x:v>
      </x:c>
      <x:c r="D14" s="176" t="s">
        <x:v>1390</x:v>
      </x:c>
      <x:c r="E14" s="176" t="s">
        <x:v>1391</x:v>
      </x:c>
      <x:c r="F14" s="171" t="s">
        <x:v>1365</x:v>
      </x:c>
      <x:c r="G14" s="172">
        <x:v>5</x:v>
      </x:c>
      <x:c r="H14" s="174" t="s">
        <x:v>1251</x:v>
      </x:c>
      <x:c r="I14" s="174" t="s">
        <x:v>1360</x:v>
      </x:c>
      <x:c r="J14" s="172"/>
      <x:c r="K14" s="174" t="s">
        <x:v>1215</x:v>
      </x:c>
      <x:c r="L14" s="176" t="str">
        <x:v>FDS §2.10; FT-21, FT-22, FT-23, FT-24, FT-25; UC-09, UC-12, UC-13; FE: built, real API; Specified. Role: Signed-in learner.   Done means implemented screen scope, not formal UAT approval.  New 07/10 course/multi-skill DTO and gate changes still need FE alignment and fresh browser verification; old FDS acceptance scope is incomplete. | Planned delivery: 2026-10-14 to 2026-10-27. Preparatory code/prototype work may precede delivery. Actual points remain unrecorded.</x:v>
      </x:c>
    </x:row>
    <x:row r="15" ht="144.9499969482422" customHeight="1">
      <x:c r="A15" s="169" t="s">
        <x:v>1392</x:v>
      </x:c>
      <x:c r="B15" s="170" t="s">
        <x:v>1355</x:v>
      </x:c>
      <x:c r="C15" s="170" t="s">
        <x:v>1383</x:v>
      </x:c>
      <x:c r="D15" s="170" t="s">
        <x:v>1393</x:v>
      </x:c>
      <x:c r="E15" s="170" t="s">
        <x:v>1394</x:v>
      </x:c>
      <x:c r="F15" s="171" t="s">
        <x:v>1359</x:v>
      </x:c>
      <x:c r="G15" s="172">
        <x:v>3</x:v>
      </x:c>
      <x:c r="H15" s="173" t="s">
        <x:v>1251</x:v>
      </x:c>
      <x:c r="I15" s="173" t="s">
        <x:v>1360</x:v>
      </x:c>
      <x:c r="J15" s="172"/>
      <x:c r="K15" s="174" t="s">
        <x:v>1215</x:v>
      </x:c>
      <x:c r="L15" s="170" t="str">
        <x:v>FDS §2.11; FT-12, FT-25; UC-12, UC-13, UC-27; FE: partly built; Specified (separate page and re-reading a submission: GAP-08). Role: Signed-in learner.   Done means implemented screen scope, not formal UAT approval. | Planned delivery: 2026-10-14 to 2026-10-27. Preparatory code/prototype work may precede delivery. Actual points remain unrecorded.</x:v>
      </x:c>
    </x:row>
    <x:row r="16" ht="144.9499969482422" customHeight="1">
      <x:c r="A16" s="175" t="s">
        <x:v>1395</x:v>
      </x:c>
      <x:c r="B16" s="176" t="s">
        <x:v>1355</x:v>
      </x:c>
      <x:c r="C16" s="176" t="s">
        <x:v>1383</x:v>
      </x:c>
      <x:c r="D16" s="176" t="s">
        <x:v>1396</x:v>
      </x:c>
      <x:c r="E16" s="176" t="s">
        <x:v>1397</x:v>
      </x:c>
      <x:c r="F16" s="171" t="s">
        <x:v>1359</x:v>
      </x:c>
      <x:c r="G16" s="172">
        <x:v>3</x:v>
      </x:c>
      <x:c r="H16" s="174" t="s">
        <x:v>1251</x:v>
      </x:c>
      <x:c r="I16" s="174" t="s">
        <x:v>1360</x:v>
      </x:c>
      <x:c r="J16" s="172"/>
      <x:c r="K16" s="174" t="s">
        <x:v>1215</x:v>
      </x:c>
      <x:c r="L16" s="176" t="str">
        <x:v>FDS §2.12; FT-23, FT-24, FT-26, FT-27; UC-10; FE: built, real API; Specified (Premium sets disabled: GAP-05). Role: Signed-in learner.   Done means implemented screen scope, not formal UAT approval.  New 07/10 course/multi-skill DTO and gate changes still need FE alignment and fresh browser verification; old FDS acceptance scope is incomplete. | Planned delivery: 2026-10-14 to 2026-10-27. Preparatory code/prototype work may precede delivery. Actual points remain unrecorded.</x:v>
      </x:c>
    </x:row>
    <x:row r="17" ht="144.9499969482422" customHeight="1">
      <x:c r="A17" s="169" t="s">
        <x:v>1398</x:v>
      </x:c>
      <x:c r="B17" s="170" t="s">
        <x:v>1355</x:v>
      </x:c>
      <x:c r="C17" s="170" t="s">
        <x:v>1383</x:v>
      </x:c>
      <x:c r="D17" s="170" t="s">
        <x:v>1399</x:v>
      </x:c>
      <x:c r="E17" s="170" t="s">
        <x:v>1400</x:v>
      </x:c>
      <x:c r="F17" s="171" t="s">
        <x:v>1359</x:v>
      </x:c>
      <x:c r="G17" s="172">
        <x:v>3</x:v>
      </x:c>
      <x:c r="H17" s="173" t="s">
        <x:v>1252</x:v>
      </x:c>
      <x:c r="I17" s="173" t="s">
        <x:v>1360</x:v>
      </x:c>
      <x:c r="J17" s="172"/>
      <x:c r="K17" s="174" t="s">
        <x:v>1216</x:v>
      </x:c>
      <x:c r="L17" s="170" t="str">
        <x:v>FDS §2.13; FT-28; UC-11; FE: not built; Specified (backend); screen not built (GAP-07). Role: CUSTOMER. | Planned delivery: 2026-10-28 to 2026-11-10. Preparatory code/prototype work may precede delivery. Actual points remain unrecorded.</x:v>
      </x:c>
    </x:row>
    <x:row r="18" ht="144.9499969482422" customHeight="1">
      <x:c r="A18" s="175" t="s">
        <x:v>1401</x:v>
      </x:c>
      <x:c r="B18" s="176" t="s">
        <x:v>1355</x:v>
      </x:c>
      <x:c r="C18" s="176" t="s">
        <x:v>1383</x:v>
      </x:c>
      <x:c r="D18" s="176" t="s">
        <x:v>1402</x:v>
      </x:c>
      <x:c r="E18" s="176" t="s">
        <x:v>1403</x:v>
      </x:c>
      <x:c r="F18" s="171" t="s">
        <x:v>1365</x:v>
      </x:c>
      <x:c r="G18" s="172">
        <x:v>5</x:v>
      </x:c>
      <x:c r="H18" s="174" t="s">
        <x:v>1251</x:v>
      </x:c>
      <x:c r="I18" s="174" t="s">
        <x:v>1360</x:v>
      </x:c>
      <x:c r="J18" s="172"/>
      <x:c r="K18" s="174" t="s">
        <x:v>1215</x:v>
      </x:c>
      <x:c r="L18" s="176" t="str">
        <x:v>FDS §2.14; FT-23, FT-24, FT-26, FT-28; UC-11; FE: built, real API; Specified (empty quick-check: GAP-12). Role: Signed-in learner.   Done means implemented screen scope, not formal UAT approval.  New 07/10 course/multi-skill DTO and gate changes still need FE alignment and fresh browser verification; old FDS acceptance scope is incomplete. | Planned delivery: 2026-10-14 to 2026-10-27. Preparatory code/prototype work may precede delivery. Actual points remain unrecorded.</x:v>
      </x:c>
    </x:row>
    <x:row r="19" ht="144.9499969482422" customHeight="1">
      <x:c r="A19" s="169" t="s">
        <x:v>1404</x:v>
      </x:c>
      <x:c r="B19" s="170" t="s">
        <x:v>1355</x:v>
      </x:c>
      <x:c r="C19" s="170" t="s">
        <x:v>1383</x:v>
      </x:c>
      <x:c r="D19" s="170" t="s">
        <x:v>1405</x:v>
      </x:c>
      <x:c r="E19" s="170" t="s">
        <x:v>1406</x:v>
      </x:c>
      <x:c r="F19" s="171" t="s">
        <x:v>1359</x:v>
      </x:c>
      <x:c r="G19" s="172">
        <x:v>3</x:v>
      </x:c>
      <x:c r="H19" s="173" t="s">
        <x:v>1252</x:v>
      </x:c>
      <x:c r="I19" s="173" t="s">
        <x:v>1360</x:v>
      </x:c>
      <x:c r="J19" s="172"/>
      <x:c r="K19" s="174" t="s">
        <x:v>1216</x:v>
      </x:c>
      <x:c r="L19" s="170" t="str">
        <x:v>FDS §2.15; FT-26; UC-18; FE: not built; Specified (backend); screen not built (GAP-07). Role: CUSTOMER. | Planned delivery: 2026-10-28 to 2026-11-10. Preparatory code/prototype work may precede delivery. Actual points remain unrecorded.</x:v>
      </x:c>
    </x:row>
    <x:row r="20" ht="144.9499969482422" customHeight="1">
      <x:c r="A20" s="175" t="s">
        <x:v>1407</x:v>
      </x:c>
      <x:c r="B20" s="176" t="s">
        <x:v>1355</x:v>
      </x:c>
      <x:c r="C20" s="176" t="s">
        <x:v>1383</x:v>
      </x:c>
      <x:c r="D20" s="176" t="s">
        <x:v>1408</x:v>
      </x:c>
      <x:c r="E20" s="176" t="s">
        <x:v>1409</x:v>
      </x:c>
      <x:c r="F20" s="171" t="s">
        <x:v>1359</x:v>
      </x:c>
      <x:c r="G20" s="172">
        <x:v>3</x:v>
      </x:c>
      <x:c r="H20" s="174" t="s">
        <x:v>1251</x:v>
      </x:c>
      <x:c r="I20" s="174" t="s">
        <x:v>1360</x:v>
      </x:c>
      <x:c r="J20" s="172"/>
      <x:c r="K20" s="174" t="s">
        <x:v>1215</x:v>
      </x:c>
      <x:c r="L20" s="176" t="str">
        <x:v>FDS §2.16; FT-24, FT-30, FT-31; UC-20; FE: built, real API; Specified (text answers saved at submit; no timer: GAP-09). Role: Signed-in learner.   Done means implemented screen scope, not formal UAT approval.  New 07/10 course/multi-skill DTO and gate changes still need FE alignment and fresh browser verification; old FDS acceptance scope is incomplete. | Planned delivery: 2026-10-14 to 2026-10-27. Preparatory code/prototype work may precede delivery. Actual points remain unrecorded.</x:v>
      </x:c>
    </x:row>
    <x:row r="21" ht="144.9499969482422" customHeight="1">
      <x:c r="A21" s="169" t="s">
        <x:v>1410</x:v>
      </x:c>
      <x:c r="B21" s="170" t="s">
        <x:v>1355</x:v>
      </x:c>
      <x:c r="C21" s="170" t="s">
        <x:v>1383</x:v>
      </x:c>
      <x:c r="D21" s="170" t="s">
        <x:v>1411</x:v>
      </x:c>
      <x:c r="E21" s="170" t="s">
        <x:v>1412</x:v>
      </x:c>
      <x:c r="F21" s="171" t="s">
        <x:v>1365</x:v>
      </x:c>
      <x:c r="G21" s="172">
        <x:v>5</x:v>
      </x:c>
      <x:c r="H21" s="173" t="s">
        <x:v>1251</x:v>
      </x:c>
      <x:c r="I21" s="173" t="s">
        <x:v>1360</x:v>
      </x:c>
      <x:c r="J21" s="172"/>
      <x:c r="K21" s="174" t="s">
        <x:v>1215</x:v>
      </x:c>
      <x:c r="L21" s="170" t="str">
        <x:v>FDS §2.17; FT-14, FT-24, FT-29, FT-31, FT-33; UC-22, UC-16, UC-25; FE: built, real API; Specified (examiner and AI grading requests: Draft). Role: Signed-in learner.   Done means implemented screen scope, not formal UAT approval.  New 07/10 course/multi-skill DTO and gate changes still need FE alignment and fresh browser verification; old FDS acceptance scope is incomplete. | Planned delivery: 2026-10-14 to 2026-10-27. Preparatory code/prototype work may precede delivery. Actual points remain unrecorded.</x:v>
      </x:c>
    </x:row>
    <x:row r="22" ht="144.9499969482422" customHeight="1">
      <x:c r="A22" s="175" t="s">
        <x:v>1413</x:v>
      </x:c>
      <x:c r="B22" s="176" t="s">
        <x:v>1355</x:v>
      </x:c>
      <x:c r="C22" s="176" t="s">
        <x:v>1383</x:v>
      </x:c>
      <x:c r="D22" s="176" t="s">
        <x:v>1414</x:v>
      </x:c>
      <x:c r="E22" s="176" t="s">
        <x:v>1415</x:v>
      </x:c>
      <x:c r="F22" s="171" t="s">
        <x:v>1359</x:v>
      </x:c>
      <x:c r="G22" s="172">
        <x:v>3</x:v>
      </x:c>
      <x:c r="H22" s="174" t="s">
        <x:v>1253</x:v>
      </x:c>
      <x:c r="I22" s="174" t="s">
        <x:v>1360</x:v>
      </x:c>
      <x:c r="J22" s="172"/>
      <x:c r="K22" s="174" t="str">
        <x:v>In Progress</x:v>
      </x:c>
      <x:c r="L22" s="176" t="str">
        <x:v>FE 08/10 course/placement work includes placement APIs/UI. Full mock-test scope and complete placement acceptance remain open; planned delivery Iteration 3.</x:v>
      </x:c>
    </x:row>
    <x:row r="23" ht="144.9499969482422" customHeight="1">
      <x:c r="A23" s="169" t="s">
        <x:v>1416</x:v>
      </x:c>
      <x:c r="B23" s="170" t="s">
        <x:v>1355</x:v>
      </x:c>
      <x:c r="C23" s="170" t="s">
        <x:v>1378</x:v>
      </x:c>
      <x:c r="D23" s="170" t="str">
        <x:v>Prototype only — no committed SRS feature</x:v>
      </x:c>
      <x:c r="E23" s="170" t="s">
        <x:v>1417</x:v>
      </x:c>
      <x:c r="F23" s="171" t="s">
        <x:v>1359</x:v>
      </x:c>
      <x:c r="G23" s="172">
        <x:v>3</x:v>
      </x:c>
      <x:c r="H23" s="173" t="s">
        <x:v>1252</x:v>
      </x:c>
      <x:c r="I23" s="173" t="s">
        <x:v>1381</x:v>
      </x:c>
      <x:c r="J23" s="172"/>
      <x:c r="K23" s="174" t="s">
        <x:v>1215</x:v>
      </x:c>
      <x:c r="L23" s="170" t="str">
        <x:v>FDS §2.19; — (no SRS feature; closest FT-34 Mock test); No UC assigned; FE: built on mock data; Prototype (mock data, OQ-17). Role: Any signed-in user.   Mock UI exists; product implementation is incomplete. | Planned delivery: 2026-10-28 to 2026-11-10. Preparatory code/prototype work may precede delivery. Actual points remain unrecorded.</x:v>
      </x:c>
    </x:row>
    <x:row r="24" ht="144.9499969482422" customHeight="1">
      <x:c r="A24" s="175" t="s">
        <x:v>1418</x:v>
      </x:c>
      <x:c r="B24" s="176" t="s">
        <x:v>1355</x:v>
      </x:c>
      <x:c r="C24" s="176" t="s">
        <x:v>1378</x:v>
      </x:c>
      <x:c r="D24" s="176" t="str">
        <x:v>Prototype only — no committed SRS feature</x:v>
      </x:c>
      <x:c r="E24" s="176" t="s">
        <x:v>1419</x:v>
      </x:c>
      <x:c r="F24" s="171" t="s">
        <x:v>1420</x:v>
      </x:c>
      <x:c r="G24" s="172">
        <x:v>8</x:v>
      </x:c>
      <x:c r="H24" s="174" t="s">
        <x:v>1252</x:v>
      </x:c>
      <x:c r="I24" s="174" t="s">
        <x:v>1381</x:v>
      </x:c>
      <x:c r="J24" s="172"/>
      <x:c r="K24" s="174" t="s">
        <x:v>1215</x:v>
      </x:c>
      <x:c r="L24" s="176" t="str">
        <x:v>FDS §2.20; — (closest FT-25, FT-39, FT-42, FT-43); No UC assigned; FE: built on mock data; Prototype (mock data and browser storage, OQ-17). Role: Any signed-in user.   Mock UI exists; product implementation is incomplete. | Planned delivery: 2026-10-28 to 2026-11-10. Preparatory code/prototype work may precede delivery. Actual points remain unrecorded.</x:v>
      </x:c>
    </x:row>
    <x:row r="25" ht="144.9499969482422" customHeight="1">
      <x:c r="A25" s="169" t="s">
        <x:v>1421</x:v>
      </x:c>
      <x:c r="B25" s="170" t="s">
        <x:v>1355</x:v>
      </x:c>
      <x:c r="C25" s="170" t="s">
        <x:v>1378</x:v>
      </x:c>
      <x:c r="D25" s="170" t="s">
        <x:v>1422</x:v>
      </x:c>
      <x:c r="E25" s="170" t="s">
        <x:v>1423</x:v>
      </x:c>
      <x:c r="F25" s="171" t="s">
        <x:v>1359</x:v>
      </x:c>
      <x:c r="G25" s="172">
        <x:v>3</x:v>
      </x:c>
      <x:c r="H25" s="173" t="s">
        <x:v>1252</x:v>
      </x:c>
      <x:c r="I25" s="173" t="s">
        <x:v>1381</x:v>
      </x:c>
      <x:c r="J25" s="172"/>
      <x:c r="K25" s="174" t="s">
        <x:v>1215</x:v>
      </x:c>
      <x:c r="L25" s="170" t="str">
        <x:v>Historical Classroom mock prototype. Excluded from the current centre-operations/live-class scope (Report 1 LI-04/LI-05); no new classroom delivery is planned.</x:v>
      </x:c>
    </x:row>
    <x:row r="26" ht="144.9499969482422" customHeight="1">
      <x:c r="A26" s="175" t="s">
        <x:v>1424</x:v>
      </x:c>
      <x:c r="B26" s="176" t="s">
        <x:v>1355</x:v>
      </x:c>
      <x:c r="C26" s="176" t="s">
        <x:v>1378</x:v>
      </x:c>
      <x:c r="D26" s="176" t="str">
        <x:v>Prototype only — no committed SRS feature</x:v>
      </x:c>
      <x:c r="E26" s="176" t="s">
        <x:v>1425</x:v>
      </x:c>
      <x:c r="F26" s="171" t="s">
        <x:v>1359</x:v>
      </x:c>
      <x:c r="G26" s="172">
        <x:v>3</x:v>
      </x:c>
      <x:c r="H26" s="174" t="s">
        <x:v>1252</x:v>
      </x:c>
      <x:c r="I26" s="174" t="s">
        <x:v>1381</x:v>
      </x:c>
      <x:c r="J26" s="172"/>
      <x:c r="K26" s="174" t="s">
        <x:v>1215</x:v>
      </x:c>
      <x:c r="L26" s="176" t="str">
        <x:v>Historical classroom workspace prototype; reuse only approved vocabulary/flashcard components. Classroom operations and live classes are excluded by Report 1 LI-04/LI-05.</x:v>
      </x:c>
    </x:row>
    <x:row r="27" ht="144.9499969482422" customHeight="1">
      <x:c r="A27" s="169" t="s">
        <x:v>1426</x:v>
      </x:c>
      <x:c r="B27" s="170" t="s">
        <x:v>1355</x:v>
      </x:c>
      <x:c r="C27" s="170" t="s">
        <x:v>1427</x:v>
      </x:c>
      <x:c r="D27" s="170" t="s">
        <x:v>1428</x:v>
      </x:c>
      <x:c r="E27" s="170" t="s">
        <x:v>1429</x:v>
      </x:c>
      <x:c r="F27" s="171" t="s">
        <x:v>1365</x:v>
      </x:c>
      <x:c r="G27" s="172">
        <x:v>5</x:v>
      </x:c>
      <x:c r="H27" s="173" t="s">
        <x:v>1252</x:v>
      </x:c>
      <x:c r="I27" s="173" t="s">
        <x:v>1381</x:v>
      </x:c>
      <x:c r="J27" s="172"/>
      <x:c r="K27" s="174" t="s">
        <x:v>1216</x:v>
      </x:c>
      <x:c r="L27" s="170" t="str">
        <x:v>FDS §2.23; FT-05, FT-06; UC-06; FE: not built; Specified (OAuth linking: Draft). Role: Any signed-in role. | Planned delivery: 2026-10-28 to 2026-11-10. Preparatory code/prototype work may precede delivery. Actual points remain unrecorded.</x:v>
      </x:c>
    </x:row>
    <x:row r="28" ht="144.9499969482422" customHeight="1">
      <x:c r="A28" s="175" t="s">
        <x:v>1430</x:v>
      </x:c>
      <x:c r="B28" s="176" t="s">
        <x:v>1355</x:v>
      </x:c>
      <x:c r="C28" s="176" t="s">
        <x:v>1427</x:v>
      </x:c>
      <x:c r="D28" s="176" t="s">
        <x:v>1431</x:v>
      </x:c>
      <x:c r="E28" s="176" t="s">
        <x:v>1432</x:v>
      </x:c>
      <x:c r="F28" s="171" t="s">
        <x:v>1365</x:v>
      </x:c>
      <x:c r="G28" s="172">
        <x:v>5</x:v>
      </x:c>
      <x:c r="H28" s="174" t="s">
        <x:v>1252</x:v>
      </x:c>
      <x:c r="I28" s="174" t="s">
        <x:v>1381</x:v>
      </x:c>
      <x:c r="J28" s="172"/>
      <x:c r="K28" s="174" t="s">
        <x:v>1216</x:v>
      </x:c>
      <x:c r="L28" s="176" t="str">
        <x:v>FDS §2.24; FT-09, FT-35; UC-06, UC-23; FE: not built; Specified (edit of the active goal: Draft). Role: CUSTOMER. | Planned delivery: 2026-10-28 to 2026-11-10. Preparatory code/prototype work may precede delivery. Actual points remain unrecorded.</x:v>
      </x:c>
    </x:row>
    <x:row r="29" ht="144.9499969482422" customHeight="1">
      <x:c r="A29" s="169" t="s">
        <x:v>1433</x:v>
      </x:c>
      <x:c r="B29" s="170" t="s">
        <x:v>1355</x:v>
      </x:c>
      <x:c r="C29" s="170" t="s">
        <x:v>1427</x:v>
      </x:c>
      <x:c r="D29" s="170" t="s">
        <x:v>1434</x:v>
      </x:c>
      <x:c r="E29" s="170" t="s">
        <x:v>1435</x:v>
      </x:c>
      <x:c r="F29" s="171" t="s">
        <x:v>1365</x:v>
      </x:c>
      <x:c r="G29" s="172">
        <x:v>5</x:v>
      </x:c>
      <x:c r="H29" s="173" t="s">
        <x:v>1251</x:v>
      </x:c>
      <x:c r="I29" s="173" t="s">
        <x:v>1360</x:v>
      </x:c>
      <x:c r="J29" s="172"/>
      <x:c r="K29" s="174" t="s">
        <x:v>1215</x:v>
      </x:c>
      <x:c r="L29" s="170" t="str">
        <x:v>FDS §2.25; FT-10, FT-11, FT-12, FT-14; UC-30, UC-27, UC-26; FE: partly built; Specified. Role: CUSTOMER.   Done means implemented screen scope, not formal UAT approval. | Planned delivery: 2026-10-14 to 2026-10-27. Preparatory code/prototype work may precede delivery. Actual points remain unrecorded.</x:v>
      </x:c>
    </x:row>
    <x:row r="30" ht="144.9499969482422" customHeight="1">
      <x:c r="A30" s="175" t="s">
        <x:v>1436</x:v>
      </x:c>
      <x:c r="B30" s="176" t="s">
        <x:v>1355</x:v>
      </x:c>
      <x:c r="C30" s="176" t="s">
        <x:v>1427</x:v>
      </x:c>
      <x:c r="D30" s="176" t="s">
        <x:v>1437</x:v>
      </x:c>
      <x:c r="E30" s="176" t="s">
        <x:v>1438</x:v>
      </x:c>
      <x:c r="F30" s="171" t="s">
        <x:v>1365</x:v>
      </x:c>
      <x:c r="G30" s="172">
        <x:v>5</x:v>
      </x:c>
      <x:c r="H30" s="174" t="s">
        <x:v>1252</x:v>
      </x:c>
      <x:c r="I30" s="174" t="s">
        <x:v>1381</x:v>
      </x:c>
      <x:c r="J30" s="172"/>
      <x:c r="K30" s="174" t="s">
        <x:v>1216</x:v>
      </x:c>
      <x:c r="L30" s="176" t="str">
        <x:v>FDS §2.26; FT-44, FT-45; UC-19; FE: not built; Specified (server-side streak: Draft). Role: Any signed-in role. | Planned delivery: 2026-10-28 to 2026-11-10. Preparatory code/prototype work may precede delivery. Actual points remain unrecorded.</x:v>
      </x:c>
    </x:row>
    <x:row r="31" ht="144.9499969482422" customHeight="1">
      <x:c r="A31" s="169" t="s">
        <x:v>1439</x:v>
      </x:c>
      <x:c r="B31" s="170" t="s">
        <x:v>1355</x:v>
      </x:c>
      <x:c r="C31" s="170" t="s">
        <x:v>1427</x:v>
      </x:c>
      <x:c r="D31" s="170" t="s">
        <x:v>1440</x:v>
      </x:c>
      <x:c r="E31" s="170" t="s">
        <x:v>1441</x:v>
      </x:c>
      <x:c r="F31" s="171" t="s">
        <x:v>1365</x:v>
      </x:c>
      <x:c r="G31" s="172">
        <x:v>5</x:v>
      </x:c>
      <x:c r="H31" s="173" t="s">
        <x:v>1253</x:v>
      </x:c>
      <x:c r="I31" s="173" t="s">
        <x:v>1360</x:v>
      </x:c>
      <x:c r="J31" s="172"/>
      <x:c r="K31" s="174" t="s">
        <x:v>1216</x:v>
      </x:c>
      <x:c r="L31" s="170" t="str">
        <x:v>FDS §2.27; FT-51, FT-52, FT-53, FT-54; UC-32, UC-31; FE: not built; Draft. Role: CUSTOMER. | Planned delivery: 2026-11-11 to 2026-11-24. Preparatory code/prototype work may precede delivery. Actual points remain unrecorded.</x:v>
      </x:c>
    </x:row>
    <x:row r="32" ht="144.9499969482422" customHeight="1">
      <x:c r="A32" s="175" t="s">
        <x:v>1442</x:v>
      </x:c>
      <x:c r="B32" s="176" t="s">
        <x:v>1355</x:v>
      </x:c>
      <x:c r="C32" s="176" t="s">
        <x:v>1427</x:v>
      </x:c>
      <x:c r="D32" s="176" t="s">
        <x:v>1443</x:v>
      </x:c>
      <x:c r="E32" s="176" t="s">
        <x:v>1444</x:v>
      </x:c>
      <x:c r="F32" s="171" t="s">
        <x:v>1365</x:v>
      </x:c>
      <x:c r="G32" s="172">
        <x:v>5</x:v>
      </x:c>
      <x:c r="H32" s="174" t="s">
        <x:v>1252</x:v>
      </x:c>
      <x:c r="I32" s="174" t="s">
        <x:v>1381</x:v>
      </x:c>
      <x:c r="J32" s="172"/>
      <x:c r="K32" s="174" t="s">
        <x:v>1215</x:v>
      </x:c>
      <x:c r="L32" s="176" t="str">
        <x:v>FDS §2.28; FT-36, FT-43; UC-37, UC-33; FE: built on mock data; Specified (backend); frontend on mock data (GAP-10). Role: Guest and any signed-in user.   Mock UI exists; product implementation is incomplete. | Planned delivery: 2026-10-28 to 2026-11-10. Preparatory code/prototype work may precede delivery. Actual points remain unrecorded.</x:v>
      </x:c>
    </x:row>
    <x:row r="33" ht="144.9499969482422" customHeight="1">
      <x:c r="A33" s="169" t="s">
        <x:v>1445</x:v>
      </x:c>
      <x:c r="B33" s="170" t="s">
        <x:v>1355</x:v>
      </x:c>
      <x:c r="C33" s="170" t="s">
        <x:v>1427</x:v>
      </x:c>
      <x:c r="D33" s="170" t="s">
        <x:v>1446</x:v>
      </x:c>
      <x:c r="E33" s="170" t="s">
        <x:v>1447</x:v>
      </x:c>
      <x:c r="F33" s="171" t="s">
        <x:v>1359</x:v>
      </x:c>
      <x:c r="G33" s="172">
        <x:v>3</x:v>
      </x:c>
      <x:c r="H33" s="173" t="s">
        <x:v>1252</x:v>
      </x:c>
      <x:c r="I33" s="173" t="s">
        <x:v>1381</x:v>
      </x:c>
      <x:c r="J33" s="172"/>
      <x:c r="K33" s="174" t="s">
        <x:v>1216</x:v>
      </x:c>
      <x:c r="L33" s="170" t="str">
        <x:v>FDS §2.29; FT-37, FT-38; UC-37; FE: not built; Specified. Role: CUSTOMER, EXAMINER, CONTENT_AUTHOR, ADMIN. | Planned delivery: 2026-10-28 to 2026-11-10. Preparatory code/prototype work may precede delivery. Actual points remain unrecorded.</x:v>
      </x:c>
    </x:row>
    <x:row r="34" ht="144.9499969482422" customHeight="1">
      <x:c r="A34" s="175" t="s">
        <x:v>1448</x:v>
      </x:c>
      <x:c r="B34" s="176" t="s">
        <x:v>1355</x:v>
      </x:c>
      <x:c r="C34" s="176" t="s">
        <x:v>1427</x:v>
      </x:c>
      <x:c r="D34" s="176" t="s">
        <x:v>1449</x:v>
      </x:c>
      <x:c r="E34" s="176" t="s">
        <x:v>1450</x:v>
      </x:c>
      <x:c r="F34" s="171" t="s">
        <x:v>1420</x:v>
      </x:c>
      <x:c r="G34" s="172">
        <x:v>8</x:v>
      </x:c>
      <x:c r="H34" s="174" t="s">
        <x:v>1252</x:v>
      </x:c>
      <x:c r="I34" s="174" t="s">
        <x:v>1381</x:v>
      </x:c>
      <x:c r="J34" s="172"/>
      <x:c r="K34" s="174" t="s">
        <x:v>1216</x:v>
      </x:c>
      <x:c r="L34" s="176" t="str">
        <x:v>FDS §2.30; FT-37, FT-38, FT-39, FT-40, FT-41; UC-38, UC-17, UC-39, UC-14, UC-15; FE: not built; Specified (shadowing / dictation scoring: Draft). Role: CUSTOMER. | Planned delivery: 2026-10-28 to 2026-11-10. Preparatory code/prototype work may precede delivery. Actual points remain unrecorded.</x:v>
      </x:c>
    </x:row>
    <x:row r="35" ht="144.9499969482422" customHeight="1">
      <x:c r="A35" s="169" t="s">
        <x:v>1451</x:v>
      </x:c>
      <x:c r="B35" s="170" t="s">
        <x:v>1355</x:v>
      </x:c>
      <x:c r="C35" s="170" t="s">
        <x:v>1427</x:v>
      </x:c>
      <x:c r="D35" s="170" t="s">
        <x:v>1452</x:v>
      </x:c>
      <x:c r="E35" s="170" t="s">
        <x:v>1453</x:v>
      </x:c>
      <x:c r="F35" s="171" t="s">
        <x:v>1365</x:v>
      </x:c>
      <x:c r="G35" s="172">
        <x:v>5</x:v>
      </x:c>
      <x:c r="H35" s="173" t="s">
        <x:v>1252</x:v>
      </x:c>
      <x:c r="I35" s="173" t="s">
        <x:v>1381</x:v>
      </x:c>
      <x:c r="J35" s="172"/>
      <x:c r="K35" s="174" t="s">
        <x:v>1216</x:v>
      </x:c>
      <x:c r="L35" s="170" t="str">
        <x:v>FDS §2.31; FT-42; UC-33; FE: not built; Specified. Role: Any signed-in role. | Planned delivery: 2026-10-28 to 2026-11-10. Preparatory code/prototype work may precede delivery. Actual points remain unrecorded.</x:v>
      </x:c>
    </x:row>
    <x:row r="36" ht="144.9499969482422" customHeight="1">
      <x:c r="A36" s="175" t="s">
        <x:v>1454</x:v>
      </x:c>
      <x:c r="B36" s="176" t="s">
        <x:v>1355</x:v>
      </x:c>
      <x:c r="C36" s="176" t="s">
        <x:v>1427</x:v>
      </x:c>
      <x:c r="D36" s="176" t="s">
        <x:v>1455</x:v>
      </x:c>
      <x:c r="E36" s="176" t="s">
        <x:v>1456</x:v>
      </x:c>
      <x:c r="F36" s="171" t="s">
        <x:v>1420</x:v>
      </x:c>
      <x:c r="G36" s="172">
        <x:v>8</x:v>
      </x:c>
      <x:c r="H36" s="174" t="s">
        <x:v>1252</x:v>
      </x:c>
      <x:c r="I36" s="174" t="s">
        <x:v>1381</x:v>
      </x:c>
      <x:c r="J36" s="172"/>
      <x:c r="K36" s="174" t="s">
        <x:v>1216</x:v>
      </x:c>
      <x:c r="L36" s="176" t="str">
        <x:v>FDS §2.32; FT-43; UC-33; FE: not built; Specified. Role: Any signed-in role. | Planned delivery: 2026-10-28 to 2026-11-10. Preparatory code/prototype work may precede delivery. Actual points remain unrecorded.</x:v>
      </x:c>
    </x:row>
    <x:row r="37" ht="144.9499969482422" customHeight="1">
      <x:c r="A37" s="169" t="s">
        <x:v>1457</x:v>
      </x:c>
      <x:c r="B37" s="170" t="s">
        <x:v>1355</x:v>
      </x:c>
      <x:c r="C37" s="170" t="s">
        <x:v>1427</x:v>
      </x:c>
      <x:c r="D37" s="170" t="s">
        <x:v>1458</x:v>
      </x:c>
      <x:c r="E37" s="170" t="s">
        <x:v>1459</x:v>
      </x:c>
      <x:c r="F37" s="171" t="s">
        <x:v>1365</x:v>
      </x:c>
      <x:c r="G37" s="172">
        <x:v>5</x:v>
      </x:c>
      <x:c r="H37" s="173" t="s">
        <x:v>1253</x:v>
      </x:c>
      <x:c r="I37" s="173" t="s">
        <x:v>1360</x:v>
      </x:c>
      <x:c r="J37" s="172"/>
      <x:c r="K37" s="174" t="s">
        <x:v>1216</x:v>
      </x:c>
      <x:c r="L37" s="170" t="str">
        <x:v>FDS §2.33; FT-46, FT-47, FT-48; UC-34; FE: not built; Specified (matchmaking: Draft). Role: Any signed-in role. | Planned delivery: 2026-11-11 to 2026-11-24. Preparatory code/prototype work may precede delivery. Actual points remain unrecorded.</x:v>
      </x:c>
    </x:row>
    <x:row r="38" ht="144.9499969482422" customHeight="1">
      <x:c r="A38" s="175" t="s">
        <x:v>1460</x:v>
      </x:c>
      <x:c r="B38" s="176" t="s">
        <x:v>1355</x:v>
      </x:c>
      <x:c r="C38" s="176" t="s">
        <x:v>1427</x:v>
      </x:c>
      <x:c r="D38" s="176" t="s">
        <x:v>1461</x:v>
      </x:c>
      <x:c r="E38" s="176" t="s">
        <x:v>1462</x:v>
      </x:c>
      <x:c r="F38" s="171" t="s">
        <x:v>1359</x:v>
      </x:c>
      <x:c r="G38" s="172">
        <x:v>3</x:v>
      </x:c>
      <x:c r="H38" s="174" t="s">
        <x:v>1253</x:v>
      </x:c>
      <x:c r="I38" s="174" t="s">
        <x:v>1381</x:v>
      </x:c>
      <x:c r="J38" s="172"/>
      <x:c r="K38" s="174" t="s">
        <x:v>1216</x:v>
      </x:c>
      <x:c r="L38" s="176" t="str">
        <x:v>FDS §2.34; FT-46; UC-34; FE: not built; Specified. Role: Any signed-in role. | Planned delivery: 2026-11-11 to 2026-11-24. Preparatory code/prototype work may precede delivery. Actual points remain unrecorded.</x:v>
      </x:c>
    </x:row>
    <x:row r="39" ht="144.9499969482422" customHeight="1">
      <x:c r="A39" s="169" t="s">
        <x:v>1463</x:v>
      </x:c>
      <x:c r="B39" s="170" t="s">
        <x:v>1355</x:v>
      </x:c>
      <x:c r="C39" s="170" t="s">
        <x:v>1427</x:v>
      </x:c>
      <x:c r="D39" s="170" t="s">
        <x:v>1464</x:v>
      </x:c>
      <x:c r="E39" s="170" t="s">
        <x:v>1465</x:v>
      </x:c>
      <x:c r="F39" s="171" t="s">
        <x:v>1365</x:v>
      </x:c>
      <x:c r="G39" s="172">
        <x:v>5</x:v>
      </x:c>
      <x:c r="H39" s="173" t="s">
        <x:v>1253</x:v>
      </x:c>
      <x:c r="I39" s="173" t="s">
        <x:v>1360</x:v>
      </x:c>
      <x:c r="J39" s="172"/>
      <x:c r="K39" s="174" t="s">
        <x:v>1216</x:v>
      </x:c>
      <x:c r="L39" s="170" t="str">
        <x:v>FDS §2.35; FT-47; UC-34; FE: not built; Specified. Role: Any signed-in role. | Planned delivery: 2026-11-11 to 2026-11-24. Preparatory code/prototype work may precede delivery. Actual points remain unrecorded.</x:v>
      </x:c>
    </x:row>
    <x:row r="40" ht="144.9499969482422" customHeight="1">
      <x:c r="A40" s="175" t="s">
        <x:v>1466</x:v>
      </x:c>
      <x:c r="B40" s="176" t="s">
        <x:v>1355</x:v>
      </x:c>
      <x:c r="C40" s="176" t="s">
        <x:v>1427</x:v>
      </x:c>
      <x:c r="D40" s="176" t="s">
        <x:v>1467</x:v>
      </x:c>
      <x:c r="E40" s="176" t="s">
        <x:v>1468</x:v>
      </x:c>
      <x:c r="F40" s="171" t="s">
        <x:v>1365</x:v>
      </x:c>
      <x:c r="G40" s="172">
        <x:v>5</x:v>
      </x:c>
      <x:c r="H40" s="174" t="s">
        <x:v>1253</x:v>
      </x:c>
      <x:c r="I40" s="174" t="s">
        <x:v>1381</x:v>
      </x:c>
      <x:c r="J40" s="172"/>
      <x:c r="K40" s="174" t="s">
        <x:v>1216</x:v>
      </x:c>
      <x:c r="L40" s="176" t="str">
        <x:v>FDS §2.36; FT-49, FT-50; UC-35, UC-36; FE: not built; Specified. Role: Any signed-in role. | Planned delivery: 2026-11-11 to 2026-11-24. Preparatory code/prototype work may precede delivery. Actual points remain unrecorded.</x:v>
      </x:c>
    </x:row>
    <x:row r="41" ht="144.9499969482422" customHeight="1">
      <x:c r="A41" s="169" t="s">
        <x:v>1469</x:v>
      </x:c>
      <x:c r="B41" s="170" t="s">
        <x:v>1355</x:v>
      </x:c>
      <x:c r="C41" s="170" t="s">
        <x:v>1427</x:v>
      </x:c>
      <x:c r="D41" s="170" t="s">
        <x:v>1467</x:v>
      </x:c>
      <x:c r="E41" s="170" t="s">
        <x:v>1470</x:v>
      </x:c>
      <x:c r="F41" s="171" t="s">
        <x:v>1420</x:v>
      </x:c>
      <x:c r="G41" s="172">
        <x:v>8</x:v>
      </x:c>
      <x:c r="H41" s="173" t="s">
        <x:v>1253</x:v>
      </x:c>
      <x:c r="I41" s="173" t="s">
        <x:v>1381</x:v>
      </x:c>
      <x:c r="J41" s="172"/>
      <x:c r="K41" s="174" t="s">
        <x:v>1216</x:v>
      </x:c>
      <x:c r="L41" s="170" t="str">
        <x:v>FDS §2.37; FT-49, FT-50; UC-35, UC-36; FE: not built; Specified. Role: Any signed-in role. | Planned delivery: 2026-11-11 to 2026-11-24. Preparatory code/prototype work may precede delivery. Actual points remain unrecorded.</x:v>
      </x:c>
    </x:row>
    <x:row r="42" ht="144.9499969482422" customHeight="1">
      <x:c r="A42" s="175" t="s">
        <x:v>1471</x:v>
      </x:c>
      <x:c r="B42" s="176" t="s">
        <x:v>1355</x:v>
      </x:c>
      <x:c r="C42" s="176" t="s">
        <x:v>1472</x:v>
      </x:c>
      <x:c r="D42" s="176" t="s">
        <x:v>1473</x:v>
      </x:c>
      <x:c r="E42" s="176" t="s">
        <x:v>1474</x:v>
      </x:c>
      <x:c r="F42" s="171" t="s">
        <x:v>1359</x:v>
      </x:c>
      <x:c r="G42" s="172">
        <x:v>3</x:v>
      </x:c>
      <x:c r="H42" s="174" t="s">
        <x:v>1253</x:v>
      </x:c>
      <x:c r="I42" s="174" t="s">
        <x:v>1360</x:v>
      </x:c>
      <x:c r="J42" s="172"/>
      <x:c r="K42" s="174" t="s">
        <x:v>1216</x:v>
      </x:c>
      <x:c r="L42" s="176" t="str">
        <x:v>FDS §2.38; FT-07, FT-08; UC-07; FE: not built; Specified (paging and search: Draft). Role: ADMIN. | Planned delivery: 2026-11-11 to 2026-11-24. Preparatory code/prototype work may precede delivery. Actual points remain unrecorded.</x:v>
      </x:c>
    </x:row>
    <x:row r="43" ht="144.9499969482422" customHeight="1">
      <x:c r="A43" s="169" t="s">
        <x:v>1475</x:v>
      </x:c>
      <x:c r="B43" s="170" t="s">
        <x:v>1355</x:v>
      </x:c>
      <x:c r="C43" s="170" t="s">
        <x:v>1472</x:v>
      </x:c>
      <x:c r="D43" s="170" t="s">
        <x:v>1476</x:v>
      </x:c>
      <x:c r="E43" s="170" t="s">
        <x:v>1477</x:v>
      </x:c>
      <x:c r="F43" s="171" t="s">
        <x:v>1420</x:v>
      </x:c>
      <x:c r="G43" s="172">
        <x:v>8</x:v>
      </x:c>
      <x:c r="H43" s="173" t="s">
        <x:v>1253</x:v>
      </x:c>
      <x:c r="I43" s="173" t="s">
        <x:v>1360</x:v>
      </x:c>
      <x:c r="J43" s="172"/>
      <x:c r="K43" s="174" t="s">
        <x:v>1216</x:v>
      </x:c>
      <x:c r="L43" s="170" t="str">
        <x:v>FDS §2.39; FT-04, FT-05, FT-08, FT-09, FT-10, FT-12, FT-13; UC-07; FE: not built; Specified. Role: ADMIN. | Planned delivery: 2026-11-11 to 2026-11-24. Preparatory code/prototype work may precede delivery. Actual points remain unrecorded.</x:v>
      </x:c>
    </x:row>
    <x:row r="44" ht="144.9499969482422" customHeight="1">
      <x:c r="A44" s="175" t="s">
        <x:v>1478</x:v>
      </x:c>
      <x:c r="B44" s="176" t="s">
        <x:v>1355</x:v>
      </x:c>
      <x:c r="C44" s="176" t="s">
        <x:v>1472</x:v>
      </x:c>
      <x:c r="D44" s="176" t="s">
        <x:v>1479</x:v>
      </x:c>
      <x:c r="E44" s="176" t="s">
        <x:v>1480</x:v>
      </x:c>
      <x:c r="F44" s="171" t="s">
        <x:v>1365</x:v>
      </x:c>
      <x:c r="G44" s="172">
        <x:v>5</x:v>
      </x:c>
      <x:c r="H44" s="174" t="s">
        <x:v>1253</x:v>
      </x:c>
      <x:c r="I44" s="174" t="s">
        <x:v>1360</x:v>
      </x:c>
      <x:c r="J44" s="172"/>
      <x:c r="K44" s="174" t="s">
        <x:v>1216</x:v>
      </x:c>
      <x:c r="L44" s="176" t="str">
        <x:v>FDS §2.40; FT-10, FT-14; UC-29; FE: not built; Specified. Role: ADMIN. | Planned delivery: 2026-11-11 to 2026-11-24. Preparatory code/prototype work may precede delivery. Actual points remain unrecorded.</x:v>
      </x:c>
    </x:row>
    <x:row r="45" ht="144.9499969482422" customHeight="1">
      <x:c r="A45" s="169" t="s">
        <x:v>1481</x:v>
      </x:c>
      <x:c r="B45" s="170" t="s">
        <x:v>1355</x:v>
      </x:c>
      <x:c r="C45" s="170" t="s">
        <x:v>1472</x:v>
      </x:c>
      <x:c r="D45" s="170" t="s">
        <x:v>1482</x:v>
      </x:c>
      <x:c r="E45" s="170" t="s">
        <x:v>1483</x:v>
      </x:c>
      <x:c r="F45" s="171" t="s">
        <x:v>1365</x:v>
      </x:c>
      <x:c r="G45" s="172">
        <x:v>5</x:v>
      </x:c>
      <x:c r="H45" s="173" t="s">
        <x:v>1253</x:v>
      </x:c>
      <x:c r="I45" s="173" t="s">
        <x:v>1360</x:v>
      </x:c>
      <x:c r="J45" s="172"/>
      <x:c r="K45" s="174" t="s">
        <x:v>1216</x:v>
      </x:c>
      <x:c r="L45" s="170" t="str">
        <x:v>FDS §2.41; FT-11; UC-28; FE: not built; Specified for ADMIN (SALES_STAFF access and key list: Draft). Role: ADMIN, SALES_STAFF. | Planned delivery: 2026-11-11 to 2026-11-24. Preparatory code/prototype work may precede delivery. Actual points remain unrecorded.</x:v>
      </x:c>
    </x:row>
    <x:row r="46" ht="144.9499969482422" customHeight="1">
      <x:c r="A46" s="175" t="s">
        <x:v>1484</x:v>
      </x:c>
      <x:c r="B46" s="176" t="s">
        <x:v>1355</x:v>
      </x:c>
      <x:c r="C46" s="176" t="s">
        <x:v>1472</x:v>
      </x:c>
      <x:c r="D46" s="176" t="s">
        <x:v>1485</x:v>
      </x:c>
      <x:c r="E46" s="176" t="s">
        <x:v>1486</x:v>
      </x:c>
      <x:c r="F46" s="171" t="s">
        <x:v>1365</x:v>
      </x:c>
      <x:c r="G46" s="172">
        <x:v>5</x:v>
      </x:c>
      <x:c r="H46" s="174" t="s">
        <x:v>1253</x:v>
      </x:c>
      <x:c r="I46" s="174" t="s">
        <x:v>1360</x:v>
      </x:c>
      <x:c r="J46" s="172"/>
      <x:c r="K46" s="174" t="s">
        <x:v>1216</x:v>
      </x:c>
      <x:c r="L46" s="176" t="str">
        <x:v>FDS §2.42; FT-10, FT-12, FT-14; UC-29; FE: not built; Specified. Role: ADMIN. | Planned delivery: 2026-11-11 to 2026-11-24. Preparatory code/prototype work may precede delivery. Actual points remain unrecorded.</x:v>
      </x:c>
    </x:row>
    <x:row r="47" ht="144.9499969482422" customHeight="1">
      <x:c r="A47" s="169" t="s">
        <x:v>1487</x:v>
      </x:c>
      <x:c r="B47" s="170" t="s">
        <x:v>1355</x:v>
      </x:c>
      <x:c r="C47" s="170" t="s">
        <x:v>1472</x:v>
      </x:c>
      <x:c r="D47" s="170" t="s">
        <x:v>1488</x:v>
      </x:c>
      <x:c r="E47" s="170" t="s">
        <x:v>1489</x:v>
      </x:c>
      <x:c r="F47" s="171" t="s">
        <x:v>1365</x:v>
      </x:c>
      <x:c r="G47" s="172">
        <x:v>5</x:v>
      </x:c>
      <x:c r="H47" s="173" t="s">
        <x:v>1253</x:v>
      </x:c>
      <x:c r="I47" s="173" t="s">
        <x:v>1360</x:v>
      </x:c>
      <x:c r="J47" s="172"/>
      <x:c r="K47" s="174" t="s">
        <x:v>1216</x:v>
      </x:c>
      <x:c r="L47" s="170" t="str">
        <x:v>FDS §2.43; FT-15; UC-40; FE: not built; Specified. Role: ADMIN, CONTENT_AUTHOR. | Planned delivery: 2026-11-11 to 2026-11-24. Preparatory code/prototype work may precede delivery. Actual points remain unrecorded.</x:v>
      </x:c>
    </x:row>
    <x:row r="48" ht="144.9499969482422" customHeight="1">
      <x:c r="A48" s="175" t="s">
        <x:v>1490</x:v>
      </x:c>
      <x:c r="B48" s="176" t="s">
        <x:v>1355</x:v>
      </x:c>
      <x:c r="C48" s="176" t="s">
        <x:v>1472</x:v>
      </x:c>
      <x:c r="D48" s="176" t="s">
        <x:v>1491</x:v>
      </x:c>
      <x:c r="E48" s="176" t="s">
        <x:v>1492</x:v>
      </x:c>
      <x:c r="F48" s="171" t="s">
        <x:v>1365</x:v>
      </x:c>
      <x:c r="G48" s="172">
        <x:v>5</x:v>
      </x:c>
      <x:c r="H48" s="174" t="s">
        <x:v>1253</x:v>
      </x:c>
      <x:c r="I48" s="174" t="s">
        <x:v>1360</x:v>
      </x:c>
      <x:c r="J48" s="172"/>
      <x:c r="K48" s="174" t="s">
        <x:v>1216</x:v>
      </x:c>
      <x:c r="L48" s="176" t="str">
        <x:v>FDS §2.44; FT-16; UC-40; FE: not built; Specified. Role: ADMIN, CONTENT_AUTHOR. | Planned delivery: 2026-11-11 to 2026-11-24. Preparatory code/prototype work may precede delivery. Actual points remain unrecorded.</x:v>
      </x:c>
    </x:row>
    <x:row r="49" ht="144.9499969482422" customHeight="1">
      <x:c r="A49" s="169" t="s">
        <x:v>1493</x:v>
      </x:c>
      <x:c r="B49" s="170" t="s">
        <x:v>1355</x:v>
      </x:c>
      <x:c r="C49" s="170" t="s">
        <x:v>1472</x:v>
      </x:c>
      <x:c r="D49" s="170" t="s">
        <x:v>1494</x:v>
      </x:c>
      <x:c r="E49" s="170" t="s">
        <x:v>1495</x:v>
      </x:c>
      <x:c r="F49" s="171" t="s">
        <x:v>1365</x:v>
      </x:c>
      <x:c r="G49" s="172">
        <x:v>5</x:v>
      </x:c>
      <x:c r="H49" s="173" t="s">
        <x:v>1253</x:v>
      </x:c>
      <x:c r="I49" s="173" t="s">
        <x:v>1360</x:v>
      </x:c>
      <x:c r="J49" s="172"/>
      <x:c r="K49" s="174" t="s">
        <x:v>1216</x:v>
      </x:c>
      <x:c r="L49" s="170" t="str">
        <x:v>FDS §2.45; FT-17, FT-34, FT-35; UC-40; FE: not built; Specified (TOPIC_TEST creation: Draft). Role: ADMIN, CONTENT_AUTHOR. | Planned delivery: 2026-11-11 to 2026-11-24. Preparatory code/prototype work may precede delivery. Actual points remain unrecorded.</x:v>
      </x:c>
    </x:row>
    <x:row r="50" ht="144.9499969482422" customHeight="1">
      <x:c r="A50" s="175" t="s">
        <x:v>1496</x:v>
      </x:c>
      <x:c r="B50" s="176" t="s">
        <x:v>1355</x:v>
      </x:c>
      <x:c r="C50" s="176" t="s">
        <x:v>1472</x:v>
      </x:c>
      <x:c r="D50" s="176" t="s">
        <x:v>1497</x:v>
      </x:c>
      <x:c r="E50" s="176" t="s">
        <x:v>1498</x:v>
      </x:c>
      <x:c r="F50" s="171" t="s">
        <x:v>1365</x:v>
      </x:c>
      <x:c r="G50" s="172">
        <x:v>5</x:v>
      </x:c>
      <x:c r="H50" s="174" t="s">
        <x:v>1253</x:v>
      </x:c>
      <x:c r="I50" s="174" t="s">
        <x:v>1360</x:v>
      </x:c>
      <x:c r="J50" s="172"/>
      <x:c r="K50" s="174" t="s">
        <x:v>1216</x:v>
      </x:c>
      <x:c r="L50" s="176" t="str">
        <x:v>FDS §2.46; FT-18, FT-24; UC-40, UC-41; FE: not built; Specified (upload: Draft). Role: ADMIN, CONTENT_AUTHOR. | Planned delivery: 2026-11-11 to 2026-11-24. Preparatory code/prototype work may precede delivery. Actual points remain unrecorded.</x:v>
      </x:c>
    </x:row>
    <x:row r="51" ht="144.9499969482422" customHeight="1">
      <x:c r="A51" s="169" t="s">
        <x:v>1499</x:v>
      </x:c>
      <x:c r="B51" s="170" t="s">
        <x:v>1355</x:v>
      </x:c>
      <x:c r="C51" s="170" t="s">
        <x:v>1472</x:v>
      </x:c>
      <x:c r="D51" s="170" t="s">
        <x:v>1500</x:v>
      </x:c>
      <x:c r="E51" s="170" t="s">
        <x:v>1501</x:v>
      </x:c>
      <x:c r="F51" s="171" t="s">
        <x:v>1359</x:v>
      </x:c>
      <x:c r="G51" s="172">
        <x:v>3</x:v>
      </x:c>
      <x:c r="H51" s="173" t="s">
        <x:v>1253</x:v>
      </x:c>
      <x:c r="I51" s="173" t="s">
        <x:v>1360</x:v>
      </x:c>
      <x:c r="J51" s="172"/>
      <x:c r="K51" s="174" t="s">
        <x:v>1216</x:v>
      </x:c>
      <x:c r="L51" s="170" t="str">
        <x:v>FDS §2.47; FT-19; UC-42; FE: not built; Draft. Role: ADMIN, CONTENT_AUTHOR. | Planned delivery: 2026-11-11 to 2026-11-24. Preparatory code/prototype work may precede delivery. Actual points remain unrecorded.</x:v>
      </x:c>
    </x:row>
    <x:row r="52" ht="144.9499969482422" customHeight="1">
      <x:c r="A52" s="175" t="s">
        <x:v>1502</x:v>
      </x:c>
      <x:c r="B52" s="176" t="s">
        <x:v>1355</x:v>
      </x:c>
      <x:c r="C52" s="176" t="s">
        <x:v>1472</x:v>
      </x:c>
      <x:c r="D52" s="176" t="s">
        <x:v>1503</x:v>
      </x:c>
      <x:c r="E52" s="176" t="s">
        <x:v>1504</x:v>
      </x:c>
      <x:c r="F52" s="171" t="s">
        <x:v>1365</x:v>
      </x:c>
      <x:c r="G52" s="172">
        <x:v>5</x:v>
      </x:c>
      <x:c r="H52" s="174" t="s">
        <x:v>1253</x:v>
      </x:c>
      <x:c r="I52" s="174" t="s">
        <x:v>1360</x:v>
      </x:c>
      <x:c r="J52" s="172"/>
      <x:c r="K52" s="174" t="s">
        <x:v>1216</x:v>
      </x:c>
      <x:c r="L52" s="176" t="str">
        <x:v>FDS §2.48; FT-36; UC-40; FE: not built; Specified. Role: ADMIN, CONTENT_AUTHOR. | Planned delivery: 2026-11-11 to 2026-11-24. Preparatory code/prototype work may precede delivery. Actual points remain unrecorded.</x:v>
      </x:c>
    </x:row>
    <x:row r="53" ht="144.9499969482422" customHeight="1">
      <x:c r="A53" s="169" t="s">
        <x:v>1505</x:v>
      </x:c>
      <x:c r="B53" s="170" t="s">
        <x:v>1355</x:v>
      </x:c>
      <x:c r="C53" s="170" t="s">
        <x:v>1472</x:v>
      </x:c>
      <x:c r="D53" s="170" t="s">
        <x:v>1506</x:v>
      </x:c>
      <x:c r="E53" s="170" t="s">
        <x:v>1507</x:v>
      </x:c>
      <x:c r="F53" s="171" t="s">
        <x:v>1365</x:v>
      </x:c>
      <x:c r="G53" s="172">
        <x:v>5</x:v>
      </x:c>
      <x:c r="H53" s="173" t="s">
        <x:v>1253</x:v>
      </x:c>
      <x:c r="I53" s="173" t="s">
        <x:v>1360</x:v>
      </x:c>
      <x:c r="J53" s="172"/>
      <x:c r="K53" s="174" t="s">
        <x:v>1216</x:v>
      </x:c>
      <x:c r="L53" s="170" t="str">
        <x:v>FDS §2.49; FT-37; UC-40; FE: not built; Specified. Role: ADMIN, CONTENT_AUTHOR. | Planned delivery: 2026-11-11 to 2026-11-24. Preparatory code/prototype work may precede delivery. Actual points remain unrecorded.</x:v>
      </x:c>
    </x:row>
    <x:row r="54" ht="144.9499969482422" customHeight="1">
      <x:c r="A54" s="175" t="s">
        <x:v>1508</x:v>
      </x:c>
      <x:c r="B54" s="176" t="s">
        <x:v>1355</x:v>
      </x:c>
      <x:c r="C54" s="176" t="s">
        <x:v>1472</x:v>
      </x:c>
      <x:c r="D54" s="176" t="s">
        <x:v>1509</x:v>
      </x:c>
      <x:c r="E54" s="176" t="s">
        <x:v>1510</x:v>
      </x:c>
      <x:c r="F54" s="171" t="s">
        <x:v>1365</x:v>
      </x:c>
      <x:c r="G54" s="172">
        <x:v>5</x:v>
      </x:c>
      <x:c r="H54" s="174" t="s">
        <x:v>1253</x:v>
      </x:c>
      <x:c r="I54" s="174" t="s">
        <x:v>1360</x:v>
      </x:c>
      <x:c r="J54" s="172"/>
      <x:c r="K54" s="174" t="s">
        <x:v>1216</x:v>
      </x:c>
      <x:c r="L54" s="176" t="str">
        <x:v>FDS §2.50; FT-32, FT-52; UC-24; FE: not built; Specified (work queue and response view: Draft). Role: ADMIN, EXAMINER. | Planned delivery: 2026-11-11 to 2026-11-24. Preparatory code/prototype work may precede delivery. Actual points remain unrecorded.</x:v>
      </x:c>
    </x:row>
    <x:row r="55" ht="144.9499969482422" customHeight="1">
      <x:c r="A55" s="169" t="s">
        <x:v>1511</x:v>
      </x:c>
      <x:c r="B55" s="170" t="s">
        <x:v>1512</x:v>
      </x:c>
      <x:c r="C55" s="170" t="s">
        <x:v>1513</x:v>
      </x:c>
      <x:c r="D55" s="170" t="s">
        <x:v>1514</x:v>
      </x:c>
      <x:c r="E55" s="170" t="s">
        <x:v>1515</x:v>
      </x:c>
      <x:c r="F55" s="171" t="s">
        <x:v>1365</x:v>
      </x:c>
      <x:c r="G55" s="172">
        <x:v>5</x:v>
      </x:c>
      <x:c r="H55" s="173" t="s">
        <x:v>1251</x:v>
      </x:c>
      <x:c r="I55" s="173" t="s">
        <x:v>1516</x:v>
      </x:c>
      <x:c r="J55" s="172"/>
      <x:c r="K55" s="174" t="s">
        <x:v>1249</x:v>
      </x:c>
      <x:c r="L55" s="170" t="str">
        <x:v>Git backend 218e071. Foundation supporting FDS §2.0; implementation evidence, not UAT. | Planned delivery: 2026-10-14 to 2026-10-27. Preparatory code/prototype work may precede delivery. Actual points remain unrecorded.</x:v>
      </x:c>
    </x:row>
    <x:row r="56" ht="144.9499969482422" customHeight="1">
      <x:c r="A56" s="175" t="s">
        <x:v>1517</x:v>
      </x:c>
      <x:c r="B56" s="176" t="s">
        <x:v>1512</x:v>
      </x:c>
      <x:c r="C56" s="176" t="s">
        <x:v>1513</x:v>
      </x:c>
      <x:c r="D56" s="176" t="s">
        <x:v>1514</x:v>
      </x:c>
      <x:c r="E56" s="176" t="s">
        <x:v>1518</x:v>
      </x:c>
      <x:c r="F56" s="171" t="s">
        <x:v>1365</x:v>
      </x:c>
      <x:c r="G56" s="172">
        <x:v>5</x:v>
      </x:c>
      <x:c r="H56" s="174" t="s">
        <x:v>1251</x:v>
      </x:c>
      <x:c r="I56" s="174" t="s">
        <x:v>1519</x:v>
      </x:c>
      <x:c r="J56" s="172"/>
      <x:c r="K56" s="174" t="s">
        <x:v>1249</x:v>
      </x:c>
      <x:c r="L56" s="176" t="str">
        <x:v>Git backend 218e071, dac8b03; backend/README.md. | Planned delivery: 2026-10-14 to 2026-10-27. Preparatory code/prototype work may precede delivery. Actual points remain unrecorded.</x:v>
      </x:c>
    </x:row>
    <x:row r="57" ht="144.9499969482422" customHeight="1">
      <x:c r="A57" s="169" t="s">
        <x:v>1520</x:v>
      </x:c>
      <x:c r="B57" s="170" t="s">
        <x:v>1512</x:v>
      </x:c>
      <x:c r="C57" s="170" t="s">
        <x:v>1521</x:v>
      </x:c>
      <x:c r="D57" s="170" t="s">
        <x:v>1514</x:v>
      </x:c>
      <x:c r="E57" s="170" t="s">
        <x:v>1522</x:v>
      </x:c>
      <x:c r="F57" s="171" t="s">
        <x:v>1420</x:v>
      </x:c>
      <x:c r="G57" s="172">
        <x:v>8</x:v>
      </x:c>
      <x:c r="H57" s="173" t="s">
        <x:v>1251</x:v>
      </x:c>
      <x:c r="I57" s="173" t="s">
        <x:v>1516</x:v>
      </x:c>
      <x:c r="J57" s="172"/>
      <x:c r="K57" s="174" t="s">
        <x:v>1249</x:v>
      </x:c>
      <x:c r="L57" s="170" t="str">
        <x:v>FDS §2.0; FT-07; Git backend 218e071, a18a44e, 34335aa. | Planned delivery: 2026-10-14 to 2026-10-27. Preparatory code/prototype work may precede delivery. Actual points remain unrecorded.</x:v>
      </x:c>
    </x:row>
    <x:row r="58" ht="144.9499969482422" customHeight="1">
      <x:c r="A58" s="175" t="s">
        <x:v>1523</x:v>
      </x:c>
      <x:c r="B58" s="176" t="s">
        <x:v>1512</x:v>
      </x:c>
      <x:c r="C58" s="176" t="s">
        <x:v>1513</x:v>
      </x:c>
      <x:c r="D58" s="176" t="s">
        <x:v>1514</x:v>
      </x:c>
      <x:c r="E58" s="176" t="s">
        <x:v>1524</x:v>
      </x:c>
      <x:c r="F58" s="171" t="s">
        <x:v>1420</x:v>
      </x:c>
      <x:c r="G58" s="172">
        <x:v>8</x:v>
      </x:c>
      <x:c r="H58" s="174" t="s">
        <x:v>1251</x:v>
      </x:c>
      <x:c r="I58" s="174" t="s">
        <x:v>1519</x:v>
      </x:c>
      <x:c r="J58" s="172"/>
      <x:c r="K58" s="174" t="s">
        <x:v>1249</x:v>
      </x:c>
      <x:c r="L58" s="176" t="str">
        <x:v>Git backend 218e071, dac8b03. Runtime reliability still requires test evidence. | Planned delivery: 2026-10-14 to 2026-10-27. Preparatory code/prototype work may precede delivery. Actual points remain unrecorded.</x:v>
      </x:c>
    </x:row>
    <x:row r="59" ht="144.9499969482422" customHeight="1">
      <x:c r="A59" s="169" t="s">
        <x:v>1525</x:v>
      </x:c>
      <x:c r="B59" s="170" t="s">
        <x:v>1512</x:v>
      </x:c>
      <x:c r="C59" s="170" t="s">
        <x:v>1526</x:v>
      </x:c>
      <x:c r="D59" s="170" t="s">
        <x:v>1514</x:v>
      </x:c>
      <x:c r="E59" s="170" t="s">
        <x:v>1527</x:v>
      </x:c>
      <x:c r="F59" s="171" t="s">
        <x:v>1365</x:v>
      </x:c>
      <x:c r="G59" s="172">
        <x:v>5</x:v>
      </x:c>
      <x:c r="H59" s="173" t="s">
        <x:v>1251</x:v>
      </x:c>
      <x:c r="I59" s="173" t="s">
        <x:v>1360</x:v>
      </x:c>
      <x:c r="J59" s="172"/>
      <x:c r="K59" s="174" t="s">
        <x:v>1249</x:v>
      </x:c>
      <x:c r="L59" s="170" t="str">
        <x:v>Git frontend 241abca, 8581a72, 015701d. Baseline work supporting all FDS screens. | Planned delivery: 2026-10-14 to 2026-10-27. Preparatory code/prototype work may precede delivery. Actual points remain unrecorded.</x:v>
      </x:c>
    </x:row>
    <x:row r="60" ht="144.9499969482422" customHeight="1">
      <x:c r="A60" s="175" t="s">
        <x:v>1528</x:v>
      </x:c>
      <x:c r="B60" s="176" t="s">
        <x:v>1512</x:v>
      </x:c>
      <x:c r="C60" s="176" t="s">
        <x:v>1362</x:v>
      </x:c>
      <x:c r="D60" s="176" t="s">
        <x:v>1514</x:v>
      </x:c>
      <x:c r="E60" s="176" t="s">
        <x:v>1529</x:v>
      </x:c>
      <x:c r="F60" s="171" t="s">
        <x:v>1420</x:v>
      </x:c>
      <x:c r="G60" s="172">
        <x:v>8</x:v>
      </x:c>
      <x:c r="H60" s="174" t="s">
        <x:v>1251</x:v>
      </x:c>
      <x:c r="I60" s="174" t="s">
        <x:v>1360</x:v>
      </x:c>
      <x:c r="J60" s="172"/>
      <x:c r="K60" s="174" t="s">
        <x:v>1249</x:v>
      </x:c>
      <x:c r="L60" s="176" t="str">
        <x:v>FDS §2.0 common conventions; FT-03, FT-07; frontend/src/lib/httpClient.ts. Role-based staff routing remains future work. | Planned delivery: 2026-10-14 to 2026-10-27. Preparatory code/prototype work may precede delivery. Actual points remain unrecorded.</x:v>
      </x:c>
    </x:row>
    <x:row r="61" ht="144.9499969482422" customHeight="1">
      <x:c r="A61" s="169" t="s">
        <x:v>1530</x:v>
      </x:c>
      <x:c r="B61" s="170" t="s">
        <x:v>1512</x:v>
      </x:c>
      <x:c r="C61" s="170" t="s">
        <x:v>1383</x:v>
      </x:c>
      <x:c r="D61" s="170" t="s">
        <x:v>1514</x:v>
      </x:c>
      <x:c r="E61" s="170" t="s">
        <x:v>1531</x:v>
      </x:c>
      <x:c r="F61" s="171" t="s">
        <x:v>1420</x:v>
      </x:c>
      <x:c r="G61" s="172">
        <x:v>8</x:v>
      </x:c>
      <x:c r="H61" s="173" t="s">
        <x:v>1251</x:v>
      </x:c>
      <x:c r="I61" s="173" t="s">
        <x:v>1516</x:v>
      </x:c>
      <x:c r="J61" s="172"/>
      <x:c r="K61" s="174" t="s">
        <x:v>1215</x:v>
      </x:c>
      <x:c r="L61" s="170" t="str">
        <x:v>FDS §2.10–2.17; FT-26–FT-28; BR-21–BR-25, BR-30. Implementation exists; full live/UI and points acceptance remains open. | Planned delivery: 2026-10-14 to 2026-10-27. Preparatory code/prototype work may precede delivery. Actual points remain unrecorded.</x:v>
      </x:c>
    </x:row>
    <x:row r="62" ht="144.9499969482422" customHeight="1">
      <x:c r="A62" s="175" t="s">
        <x:v>1532</x:v>
      </x:c>
      <x:c r="B62" s="176" t="s">
        <x:v>1512</x:v>
      </x:c>
      <x:c r="C62" s="176" t="s">
        <x:v>1533</x:v>
      </x:c>
      <x:c r="D62" s="176" t="s">
        <x:v>1534</x:v>
      </x:c>
      <x:c r="E62" s="176" t="s">
        <x:v>1535</x:v>
      </x:c>
      <x:c r="F62" s="171" t="s">
        <x:v>1420</x:v>
      </x:c>
      <x:c r="G62" s="172">
        <x:v>8</x:v>
      </x:c>
      <x:c r="H62" s="174" t="s">
        <x:v>1251</x:v>
      </x:c>
      <x:c r="I62" s="174" t="s">
        <x:v>1536</x:v>
      </x:c>
      <x:c r="J62" s="172"/>
      <x:c r="K62" s="174" t="s">
        <x:v>1249</x:v>
      </x:c>
      <x:c r="L62" s="176" t="str">
        <x:v>FDS Part 3 JOB-01; FT-29, FT-31, FT-32 · BR-25, BR-26, BR-30; Specified (implemented). Implemented runtime, separate operational acceptance required. | Planned delivery: 2026-10-14 to 2026-10-27. Preparatory code/prototype work may precede delivery. Actual points remain unrecorded.</x:v>
      </x:c>
    </x:row>
    <x:row r="63" ht="144.9499969482422" customHeight="1">
      <x:c r="A63" s="169" t="s">
        <x:v>1537</x:v>
      </x:c>
      <x:c r="B63" s="170" t="s">
        <x:v>1512</x:v>
      </x:c>
      <x:c r="C63" s="170" t="s">
        <x:v>1533</x:v>
      </x:c>
      <x:c r="D63" s="170" t="s">
        <x:v>1538</x:v>
      </x:c>
      <x:c r="E63" s="170" t="s">
        <x:v>1539</x:v>
      </x:c>
      <x:c r="F63" s="171" t="s">
        <x:v>1420</x:v>
      </x:c>
      <x:c r="G63" s="172">
        <x:v>8</x:v>
      </x:c>
      <x:c r="H63" s="173" t="s">
        <x:v>1251</x:v>
      </x:c>
      <x:c r="I63" s="173" t="s">
        <x:v>1516</x:v>
      </x:c>
      <x:c r="J63" s="172"/>
      <x:c r="K63" s="174" t="s">
        <x:v>1249</x:v>
      </x:c>
      <x:c r="L63" s="170" t="str">
        <x:v>FDS Part 3 JOB-02; FT-26, FT-29, FT-34, FT-35 · BR-22, BR-23, BR-25; Specified (implemented). Implemented runtime, separate operational acceptance required. | Planned delivery: 2026-10-14 to 2026-10-27. Preparatory code/prototype work may precede delivery. Actual points remain unrecorded.</x:v>
      </x:c>
    </x:row>
    <x:row r="64" ht="144.9499969482422" customHeight="1">
      <x:c r="A64" s="175" t="s">
        <x:v>1540</x:v>
      </x:c>
      <x:c r="B64" s="176" t="s">
        <x:v>1512</x:v>
      </x:c>
      <x:c r="C64" s="176" t="s">
        <x:v>1533</x:v>
      </x:c>
      <x:c r="D64" s="176" t="s">
        <x:v>1541</x:v>
      </x:c>
      <x:c r="E64" s="176" t="s">
        <x:v>1542</x:v>
      </x:c>
      <x:c r="F64" s="171" t="s">
        <x:v>1420</x:v>
      </x:c>
      <x:c r="G64" s="172">
        <x:v>8</x:v>
      </x:c>
      <x:c r="H64" s="174" t="s">
        <x:v>1251</x:v>
      </x:c>
      <x:c r="I64" s="174" t="s">
        <x:v>1536</x:v>
      </x:c>
      <x:c r="J64" s="172"/>
      <x:c r="K64" s="174" t="s">
        <x:v>1249</x:v>
      </x:c>
      <x:c r="L64" s="176" t="str">
        <x:v>BE multi-skill merge 8d2d2bb (07/10); plan 261006-2309 phase 6 records Docker-backed tests. AI gate essays implemented; Speaking excluded and live-provider acceptance remains open. | Planned delivery: 2026-10-14 to 2026-10-27. Preparatory code/prototype work may precede delivery. Actual points remain unrecorded.</x:v>
      </x:c>
    </x:row>
    <x:row r="65" ht="144.9499969482422" customHeight="1">
      <x:c r="A65" s="169" t="s">
        <x:v>1543</x:v>
      </x:c>
      <x:c r="B65" s="170" t="s">
        <x:v>1512</x:v>
      </x:c>
      <x:c r="C65" s="170" t="s">
        <x:v>1533</x:v>
      </x:c>
      <x:c r="D65" s="170" t="s">
        <x:v>1544</x:v>
      </x:c>
      <x:c r="E65" s="170" t="s">
        <x:v>1545</x:v>
      </x:c>
      <x:c r="F65" s="171" t="s">
        <x:v>1420</x:v>
      </x:c>
      <x:c r="G65" s="172">
        <x:v>8</x:v>
      </x:c>
      <x:c r="H65" s="173" t="s">
        <x:v>1253</x:v>
      </x:c>
      <x:c r="I65" s="173" t="s">
        <x:v>1519</x:v>
      </x:c>
      <x:c r="J65" s="172"/>
      <x:c r="K65" s="174" t="s">
        <x:v>1216</x:v>
      </x:c>
      <x:c r="L65" s="170" t="str">
        <x:v>FDS Part 3 JOB-04; FT-51, FT-52 · BR-27, BR-32; Draft. Draft/future iteration proposal, not Phase 1 delivered scope. | Planned delivery: 2026-11-11 to 2026-11-24. Preparatory code/prototype work may precede delivery. Actual points remain unrecorded.</x:v>
      </x:c>
    </x:row>
    <x:row r="66" ht="144.9499969482422" customHeight="1">
      <x:c r="A66" s="175" t="s">
        <x:v>1546</x:v>
      </x:c>
      <x:c r="B66" s="176" t="s">
        <x:v>1512</x:v>
      </x:c>
      <x:c r="C66" s="176" t="s">
        <x:v>1533</x:v>
      </x:c>
      <x:c r="D66" s="176" t="s">
        <x:v>1547</x:v>
      </x:c>
      <x:c r="E66" s="176" t="s">
        <x:v>1548</x:v>
      </x:c>
      <x:c r="F66" s="171" t="s">
        <x:v>1420</x:v>
      </x:c>
      <x:c r="G66" s="172">
        <x:v>8</x:v>
      </x:c>
      <x:c r="H66" s="174" t="s">
        <x:v>1253</x:v>
      </x:c>
      <x:c r="I66" s="174" t="s">
        <x:v>1519</x:v>
      </x:c>
      <x:c r="J66" s="172"/>
      <x:c r="K66" s="174" t="s">
        <x:v>1216</x:v>
      </x:c>
      <x:c r="L66" s="176" t="str">
        <x:v>FDS Part 3 JOB-05; FT-44, FT-51, FT-53 · BR-32; Draft. Draft/future iteration proposal, not Phase 1 delivered scope. | Planned delivery: 2026-11-11 to 2026-11-24. Preparatory code/prototype work may precede delivery. Actual points remain unrecorded.</x:v>
      </x:c>
    </x:row>
    <x:row r="67" ht="144.9499969482422" customHeight="1">
      <x:c r="A67" s="169" t="s">
        <x:v>1549</x:v>
      </x:c>
      <x:c r="B67" s="170" t="s">
        <x:v>1512</x:v>
      </x:c>
      <x:c r="C67" s="170" t="s">
        <x:v>1533</x:v>
      </x:c>
      <x:c r="D67" s="170" t="s">
        <x:v>1550</x:v>
      </x:c>
      <x:c r="E67" s="170" t="s">
        <x:v>1551</x:v>
      </x:c>
      <x:c r="F67" s="171" t="s">
        <x:v>1420</x:v>
      </x:c>
      <x:c r="G67" s="172">
        <x:v>8</x:v>
      </x:c>
      <x:c r="H67" s="173" t="s">
        <x:v>1253</x:v>
      </x:c>
      <x:c r="I67" s="173" t="s">
        <x:v>1519</x:v>
      </x:c>
      <x:c r="J67" s="172"/>
      <x:c r="K67" s="174" t="s">
        <x:v>1216</x:v>
      </x:c>
      <x:c r="L67" s="170" t="str">
        <x:v>FDS Part 3 JOB-06; FT-52, FT-53, FT-54 · BR-32; Draft. Draft/future iteration proposal, not Phase 1 delivered scope. | Planned delivery: 2026-11-11 to 2026-11-24. Preparatory code/prototype work may precede delivery. Actual points remain unrecorded.</x:v>
      </x:c>
    </x:row>
    <x:row r="68" ht="144.9499969482422" customHeight="1">
      <x:c r="A68" s="175" t="s">
        <x:v>1552</x:v>
      </x:c>
      <x:c r="B68" s="176" t="s">
        <x:v>1512</x:v>
      </x:c>
      <x:c r="C68" s="176" t="s">
        <x:v>1533</x:v>
      </x:c>
      <x:c r="D68" s="176" t="s">
        <x:v>1553</x:v>
      </x:c>
      <x:c r="E68" s="176" t="s">
        <x:v>1554</x:v>
      </x:c>
      <x:c r="F68" s="171" t="s">
        <x:v>1420</x:v>
      </x:c>
      <x:c r="G68" s="172">
        <x:v>8</x:v>
      </x:c>
      <x:c r="H68" s="174" t="s">
        <x:v>1253</x:v>
      </x:c>
      <x:c r="I68" s="174" t="s">
        <x:v>1381</x:v>
      </x:c>
      <x:c r="J68" s="172"/>
      <x:c r="K68" s="174" t="s">
        <x:v>1216</x:v>
      </x:c>
      <x:c r="L68" s="176" t="str">
        <x:v>FDS Part 3 JOB-07; FT-47, FT-48 · BR-29; Draft. Draft/future iteration proposal, not Phase 1 delivered scope. | Planned delivery: 2026-11-11 to 2026-11-24. Preparatory code/prototype work may precede delivery. Actual points remain unrecorded.</x:v>
      </x:c>
    </x:row>
    <x:row r="69" ht="144.9499969482422" customHeight="1">
      <x:c r="A69" s="175" t="s">
        <x:v>1555</x:v>
      </x:c>
      <x:c r="B69" s="176" t="s">
        <x:v>1512</x:v>
      </x:c>
      <x:c r="C69" s="176" t="s">
        <x:v>1556</x:v>
      </x:c>
      <x:c r="D69" s="176" t="s">
        <x:v>1557</x:v>
      </x:c>
      <x:c r="E69" s="176" t="s">
        <x:v>1558</x:v>
      </x:c>
      <x:c r="F69" s="171" t="s">
        <x:v>1420</x:v>
      </x:c>
      <x:c r="G69" s="172">
        <x:v>8</x:v>
      </x:c>
      <x:c r="H69" s="174" t="s">
        <x:v>1251</x:v>
      </x:c>
      <x:c r="I69" s="174" t="s">
        <x:v>1516</x:v>
      </x:c>
      <x:c r="J69" s="172"/>
      <x:c r="K69" s="174" t="s">
        <x:v>1215</x:v>
      </x:c>
      <x:c r="L69" s="176" t="str">
        <x:v>Report 1 v1.0.0 approved 09/10 by LinhNDM. Latest SRS has 55 FT features; RTW/FDS/Test Plan synchronization remains open (I-005). Target 27/10.</x:v>
      </x:c>
    </x:row>
    <x:row r="70" ht="144.9499969482422" customHeight="1">
      <x:c r="A70" s="175" t="s">
        <x:v>1559</x:v>
      </x:c>
      <x:c r="B70" s="176" t="s">
        <x:v>1512</x:v>
      </x:c>
      <x:c r="C70" s="176" t="s">
        <x:v>1560</x:v>
      </x:c>
      <x:c r="D70" s="176" t="s">
        <x:v>1561</x:v>
      </x:c>
      <x:c r="E70" s="176" t="s">
        <x:v>1562</x:v>
      </x:c>
      <x:c r="F70" s="171" t="s">
        <x:v>1420</x:v>
      </x:c>
      <x:c r="G70" s="172">
        <x:v>8</x:v>
      </x:c>
      <x:c r="H70" s="174" t="s">
        <x:v>1251</x:v>
      </x:c>
      <x:c r="I70" s="174" t="s">
        <x:v>1519</x:v>
      </x:c>
      <x:c r="J70" s="172"/>
      <x:c r="K70" s="174" t="s">
        <x:v>1249</x:v>
      </x:c>
      <x:c r="L70" s="176" t="str">
        <x:v>BE 11a78fa / 20bed3b / 34335aa; implementation evidence. TungVPH is proposed accountable owner, not inferred Git author. | Planned delivery: 2026-10-14 to 2026-10-27. Preparatory code/prototype work may precede delivery. Actual points remain unrecorded.</x:v>
      </x:c>
    </x:row>
    <x:row r="71" ht="144.9499969482422" customHeight="1">
      <x:c r="A71" s="175" t="s">
        <x:v>1563</x:v>
      </x:c>
      <x:c r="B71" s="176" t="s">
        <x:v>1512</x:v>
      </x:c>
      <x:c r="C71" s="176" t="s">
        <x:v>1560</x:v>
      </x:c>
      <x:c r="D71" s="176" t="s">
        <x:v>1564</x:v>
      </x:c>
      <x:c r="E71" s="176" t="s">
        <x:v>1565</x:v>
      </x:c>
      <x:c r="F71" s="171" t="s">
        <x:v>1420</x:v>
      </x:c>
      <x:c r="G71" s="172">
        <x:v>8</x:v>
      </x:c>
      <x:c r="H71" s="174" t="s">
        <x:v>1251</x:v>
      </x:c>
      <x:c r="I71" s="174" t="s">
        <x:v>1536</x:v>
      </x:c>
      <x:c r="J71" s="172"/>
      <x:c r="K71" s="174" t="s">
        <x:v>1249</x:v>
      </x:c>
      <x:c r="L71" s="176" t="str">
        <x:v>BE c087a3f (PhuPham70) scaffold; c2ed0f4 objective grading. Git authorship does not establish all hours/ownership. | Planned delivery: 2026-10-14 to 2026-10-27. Preparatory code/prototype work may precede delivery. Actual points remain unrecorded.</x:v>
      </x:c>
    </x:row>
    <x:row r="72" ht="144.9499969482422" customHeight="1">
      <x:c r="A72" s="175" t="s">
        <x:v>1566</x:v>
      </x:c>
      <x:c r="B72" s="176" t="s">
        <x:v>1512</x:v>
      </x:c>
      <x:c r="C72" s="176" t="s">
        <x:v>1560</x:v>
      </x:c>
      <x:c r="D72" s="176" t="s">
        <x:v>1434</x:v>
      </x:c>
      <x:c r="E72" s="176" t="s">
        <x:v>1567</x:v>
      </x:c>
      <x:c r="F72" s="171" t="s">
        <x:v>1365</x:v>
      </x:c>
      <x:c r="G72" s="172">
        <x:v>5</x:v>
      </x:c>
      <x:c r="H72" s="174" t="s">
        <x:v>1251</x:v>
      </x:c>
      <x:c r="I72" s="174" t="s">
        <x:v>1519</x:v>
      </x:c>
      <x:c r="J72" s="172"/>
      <x:c r="K72" s="174" t="s">
        <x:v>1249</x:v>
      </x:c>
      <x:c r="L72" s="176" t="str">
        <x:v>BE 99b7d4f / 3678274; access implementation. Proposed owner; learning entitlement release decision remains I-006. | Planned delivery: 2026-10-14 to 2026-10-27. Preparatory code/prototype work may precede delivery. Actual points remain unrecorded.</x:v>
      </x:c>
    </x:row>
    <x:row r="73" ht="144.9499969482422" customHeight="1">
      <x:c r="A73" s="175" t="s">
        <x:v>1568</x:v>
      </x:c>
      <x:c r="B73" s="176" t="s">
        <x:v>1512</x:v>
      </x:c>
      <x:c r="C73" s="176" t="s">
        <x:v>1560</x:v>
      </x:c>
      <x:c r="D73" s="176" t="s">
        <x:v>1569</x:v>
      </x:c>
      <x:c r="E73" s="176" t="s">
        <x:v>1570</x:v>
      </x:c>
      <x:c r="F73" s="171" t="s">
        <x:v>1365</x:v>
      </x:c>
      <x:c r="G73" s="172">
        <x:v>5</x:v>
      </x:c>
      <x:c r="H73" s="174" t="s">
        <x:v>1251</x:v>
      </x:c>
      <x:c r="I73" s="174" t="s">
        <x:v>1536</x:v>
      </x:c>
      <x:c r="J73" s="172"/>
      <x:c r="K73" s="174" t="s">
        <x:v>1249</x:v>
      </x:c>
      <x:c r="L73" s="176" t="str">
        <x:v>BE 115c36d / 2c9d37f; scope limited to implemented APIs. PhuPD is proposed owner; recovery delivery/OAuth remain I-009. | Planned delivery: 2026-10-14 to 2026-10-27. Preparatory code/prototype work may precede delivery. Actual points remain unrecorded.</x:v>
      </x:c>
    </x:row>
    <x:row r="74" ht="144.9499969482422" customHeight="1">
      <x:c r="A74" s="175" t="s">
        <x:v>1571</x:v>
      </x:c>
      <x:c r="B74" s="176" t="s">
        <x:v>1512</x:v>
      </x:c>
      <x:c r="C74" s="176" t="s">
        <x:v>1560</x:v>
      </x:c>
      <x:c r="D74" s="176" t="s">
        <x:v>1572</x:v>
      </x:c>
      <x:c r="E74" s="176" t="s">
        <x:v>1573</x:v>
      </x:c>
      <x:c r="F74" s="171" t="s">
        <x:v>1420</x:v>
      </x:c>
      <x:c r="G74" s="172">
        <x:v>8</x:v>
      </x:c>
      <x:c r="H74" s="174" t="s">
        <x:v>1251</x:v>
      </x:c>
      <x:c r="I74" s="174" t="s">
        <x:v>1516</x:v>
      </x:c>
      <x:c r="J74" s="172"/>
      <x:c r="K74" s="174" t="s">
        <x:v>1249</x:v>
      </x:c>
      <x:c r="L74" s="176" t="str">
        <x:v>BE d96ab9e / 8195982 / 23904e8; historical Python work retained in TimeLogs, not counted as another active product deliverable. | Planned delivery: 2026-10-14 to 2026-10-27. Preparatory code/prototype work may precede delivery. Actual points remain unrecorded.</x:v>
      </x:c>
    </x:row>
    <x:row r="75" ht="144.9499969482422" customHeight="1">
      <x:c r="A75" s="175" t="s">
        <x:v>1574</x:v>
      </x:c>
      <x:c r="B75" s="176" t="s">
        <x:v>1512</x:v>
      </x:c>
      <x:c r="C75" s="176" t="s">
        <x:v>1560</x:v>
      </x:c>
      <x:c r="D75" s="176" t="s">
        <x:v>1575</x:v>
      </x:c>
      <x:c r="E75" s="176" t="s">
        <x:v>1576</x:v>
      </x:c>
      <x:c r="F75" s="171" t="s">
        <x:v>1420</x:v>
      </x:c>
      <x:c r="G75" s="172">
        <x:v>8</x:v>
      </x:c>
      <x:c r="H75" s="174" t="s">
        <x:v>1251</x:v>
      </x:c>
      <x:c r="I75" s="174" t="s">
        <x:v>1381</x:v>
      </x:c>
      <x:c r="J75" s="172"/>
      <x:c r="K75" s="174" t="s">
        <x:v>1249</x:v>
      </x:c>
      <x:c r="L75" s="176" t="str">
        <x:v>BE 465f543 / d762660 / fec5d14 / ab613b1; implementation evidence, not all FE screens complete. Proposed accountable owner. | Planned delivery: 2026-10-14 to 2026-10-27. Preparatory code/prototype work may precede delivery. Actual points remain unrecorded.</x:v>
      </x:c>
    </x:row>
    <x:row r="76" ht="144.9499969482422" customHeight="1">
      <x:c r="A76" s="175" t="s">
        <x:v>1577</x:v>
      </x:c>
      <x:c r="B76" s="176" t="s">
        <x:v>1512</x:v>
      </x:c>
      <x:c r="C76" s="176" t="s">
        <x:v>1560</x:v>
      </x:c>
      <x:c r="D76" s="176" t="s">
        <x:v>1578</x:v>
      </x:c>
      <x:c r="E76" s="176" t="s">
        <x:v>1579</x:v>
      </x:c>
      <x:c r="F76" s="171" t="s">
        <x:v>1420</x:v>
      </x:c>
      <x:c r="G76" s="172">
        <x:v>8</x:v>
      </x:c>
      <x:c r="H76" s="174" t="s">
        <x:v>1251</x:v>
      </x:c>
      <x:c r="I76" s="174" t="s">
        <x:v>1516</x:v>
      </x:c>
      <x:c r="J76" s="172"/>
      <x:c r="K76" s="174" t="s">
        <x:v>1249</x:v>
      </x:c>
      <x:c r="L76" s="176" t="str">
        <x:v>C-006; merge df6c57f / plan 261006-2228. Reported Docker tests; manual full stack course smoke not run. | Planned delivery: 2026-10-14 to 2026-10-27. Preparatory code/prototype work may precede delivery. Actual points remain unrecorded.</x:v>
      </x:c>
    </x:row>
    <x:row r="77" ht="144.9499969482422" customHeight="1">
      <x:c r="A77" s="175" t="s">
        <x:v>1580</x:v>
      </x:c>
      <x:c r="B77" s="176" t="s">
        <x:v>1355</x:v>
      </x:c>
      <x:c r="C77" s="176" t="s">
        <x:v>1383</x:v>
      </x:c>
      <x:c r="D77" s="176" t="s">
        <x:v>1581</x:v>
      </x:c>
      <x:c r="E77" s="176" t="s">
        <x:v>1582</x:v>
      </x:c>
      <x:c r="F77" s="171" t="s">
        <x:v>1420</x:v>
      </x:c>
      <x:c r="G77" s="172">
        <x:v>8</x:v>
      </x:c>
      <x:c r="H77" s="174" t="s">
        <x:v>1252</x:v>
      </x:c>
      <x:c r="I77" s="174" t="s">
        <x:v>1360</x:v>
      </x:c>
      <x:c r="J77" s="172"/>
      <x:c r="K77" s="174" t="str">
        <x:v>In Progress</x:v>
      </x:c>
      <x:c r="L77" s="176" t="str">
        <x:v>FE 08/10 adds course listing and placement integration (caa5726 / 59cd29d). Course final-test UI and full fresh-browser acceptance remain open; target 28/10–10/11.</x:v>
      </x:c>
    </x:row>
    <x:row r="78" ht="144.9499969482422" customHeight="1">
      <x:c r="A78" s="175" t="s">
        <x:v>1583</x:v>
      </x:c>
      <x:c r="B78" s="176" t="s">
        <x:v>1512</x:v>
      </x:c>
      <x:c r="C78" s="176" t="s">
        <x:v>1560</x:v>
      </x:c>
      <x:c r="D78" s="176" t="s">
        <x:v>1584</x:v>
      </x:c>
      <x:c r="E78" s="176" t="s">
        <x:v>1585</x:v>
      </x:c>
      <x:c r="F78" s="171" t="s">
        <x:v>1420</x:v>
      </x:c>
      <x:c r="G78" s="172">
        <x:v>8</x:v>
      </x:c>
      <x:c r="H78" s="174" t="s">
        <x:v>1251</x:v>
      </x:c>
      <x:c r="I78" s="174" t="s">
        <x:v>1516</x:v>
      </x:c>
      <x:c r="J78" s="172"/>
      <x:c r="K78" s="174" t="s">
        <x:v>1249</x:v>
      </x:c>
      <x:c r="L78" s="176" t="str">
        <x:v>C-008; merge 8d2d2bb (07/10). Plan records tests and explicit concerns; this BE implementation is not full UI/live-provider acceptance. | Planned delivery: 2026-10-14 to 2026-10-27. Preparatory code/prototype work may precede delivery. Actual points remain unrecorded.</x:v>
      </x:c>
    </x:row>
    <x:row r="79" ht="144.9499969482422" customHeight="1">
      <x:c r="A79" s="175" t="s">
        <x:v>1586</x:v>
      </x:c>
      <x:c r="B79" s="176" t="s">
        <x:v>1512</x:v>
      </x:c>
      <x:c r="C79" s="176" t="s">
        <x:v>1587</x:v>
      </x:c>
      <x:c r="D79" s="176" t="s">
        <x:v>1588</x:v>
      </x:c>
      <x:c r="E79" s="176" t="s">
        <x:v>1589</x:v>
      </x:c>
      <x:c r="F79" s="171" t="s">
        <x:v>1420</x:v>
      </x:c>
      <x:c r="G79" s="172">
        <x:v>8</x:v>
      </x:c>
      <x:c r="H79" s="174" t="s">
        <x:v>1252</x:v>
      </x:c>
      <x:c r="I79" s="174" t="s">
        <x:v>1360</x:v>
      </x:c>
      <x:c r="J79" s="172"/>
      <x:c r="K79" s="174" t="str">
        <x:v>In Progress</x:v>
      </x:c>
      <x:c r="L79" s="176" t="str">
        <x:v>FE course/placement API alignment started 08/10. Full mixed-skill Practice, assessment-essay and gate regression remains open; target 28/10–10/11.</x:v>
      </x:c>
    </x:row>
    <x:row r="80" ht="144.9499969482422" customHeight="1">
      <x:c r="A80" s="175" t="s">
        <x:v>1590</x:v>
      </x:c>
      <x:c r="B80" s="176" t="s">
        <x:v>1512</x:v>
      </x:c>
      <x:c r="C80" s="176" t="s">
        <x:v>1591</x:v>
      </x:c>
      <x:c r="D80" s="176" t="str">
        <x:v>Test Plan / priority scenarios (SC-01–SC-04 in current SRS)</x:v>
      </x:c>
      <x:c r="E80" s="176" t="s">
        <x:v>1592</x:v>
      </x:c>
      <x:c r="F80" s="171" t="s">
        <x:v>1420</x:v>
      </x:c>
      <x:c r="G80" s="172">
        <x:v>8</x:v>
      </x:c>
      <x:c r="H80" s="174" t="s">
        <x:v>1252</x:v>
      </x:c>
      <x:c r="I80" s="174" t="s">
        <x:v>1381</x:v>
      </x:c>
      <x:c r="J80" s="172"/>
      <x:c r="K80" s="174" t="s">
        <x:v>1215</x:v>
      </x:c>
      <x:c r="L80" s="176" t="str">
        <x:v>FE 05/10 reports: API-assisted lessons/Practice, review N/A; later full flow not evidenced. No UAT approval or new executed test result invented. | Planned delivery: 2026-10-28 to 2026-11-10. Preparatory code/prototype work may precede delivery. Actual points remain unrecorded.</x:v>
      </x:c>
    </x:row>
    <x:row r="81" ht="144.9499969482422" customHeight="1">
      <x:c r="A81" s="175" t="s">
        <x:v>1593</x:v>
      </x:c>
      <x:c r="B81" s="176" t="s">
        <x:v>1512</x:v>
      </x:c>
      <x:c r="C81" s="176" t="s">
        <x:v>1556</x:v>
      </x:c>
      <x:c r="D81" s="176" t="s">
        <x:v>1594</x:v>
      </x:c>
      <x:c r="E81" s="176" t="s">
        <x:v>1595</x:v>
      </x:c>
      <x:c r="F81" s="171" t="s">
        <x:v>1420</x:v>
      </x:c>
      <x:c r="G81" s="172">
        <x:v>8</x:v>
      </x:c>
      <x:c r="H81" s="174" t="s">
        <x:v>1251</x:v>
      </x:c>
      <x:c r="I81" s="174" t="s">
        <x:v>1381</x:v>
      </x:c>
      <x:c r="J81" s="172"/>
      <x:c r="K81" s="174" t="s">
        <x:v>1215</x:v>
      </x:c>
      <x:c r="L81" s="176" t="str">
        <x:v>FDS v0.4 derives from earlier SRS baseline. Course/multi-skill and centre-student-only scope require reconciliation with the SRS updated 09/10. Target 27/10.</x:v>
      </x:c>
    </x:row>
    <x:row r="82" ht="144.9499969482422" customHeight="1">
      <x:c r="A82" s="175" t="s">
        <x:v>1596</x:v>
      </x:c>
      <x:c r="B82" s="176" t="s">
        <x:v>1512</x:v>
      </x:c>
      <x:c r="C82" s="176" t="s">
        <x:v>1513</x:v>
      </x:c>
      <x:c r="D82" s="176" t="s">
        <x:v>1597</x:v>
      </x:c>
      <x:c r="E82" s="176" t="s">
        <x:v>1598</x:v>
      </x:c>
      <x:c r="F82" s="171" t="s">
        <x:v>1365</x:v>
      </x:c>
      <x:c r="G82" s="172">
        <x:v>5</x:v>
      </x:c>
      <x:c r="H82" s="174" t="s">
        <x:v>1251</x:v>
      </x:c>
      <x:c r="I82" s="174" t="s">
        <x:v>1519</x:v>
      </x:c>
      <x:c r="J82" s="172"/>
      <x:c r="K82" s="174" t="s">
        <x:v>1215</x:v>
      </x:c>
      <x:c r="L82" s="176" t="str">
        <x:v>Compose baseline exists; environment validation and performance are not inferred from compile success. R-007, R-010. | Planned delivery: 2026-10-14 to 2026-10-27. Preparatory code/prototype work may precede delivery. Actual points remain unrecorded.</x:v>
      </x:c>
    </x:row>
    <x:row r="83" ht="144.9499969482422" customHeight="1">
      <x:c r="A83" s="175" t="s">
        <x:v>1599</x:v>
      </x:c>
      <x:c r="B83" s="176" t="s">
        <x:v>1512</x:v>
      </x:c>
      <x:c r="C83" s="176" t="s">
        <x:v>1378</x:v>
      </x:c>
      <x:c r="D83" s="176" t="s">
        <x:v>1600</x:v>
      </x:c>
      <x:c r="E83" s="176" t="s">
        <x:v>1601</x:v>
      </x:c>
      <x:c r="F83" s="171" t="s">
        <x:v>1365</x:v>
      </x:c>
      <x:c r="G83" s="172">
        <x:v>5</x:v>
      </x:c>
      <x:c r="H83" s="174" t="s">
        <x:v>1251</x:v>
      </x:c>
      <x:c r="I83" s="174" t="s">
        <x:v>1381</x:v>
      </x:c>
      <x:c r="J83" s="172"/>
      <x:c r="K83" s="174" t="s">
        <x:v>1249</x:v>
      </x:c>
      <x:c r="L83" s="176" t="str">
        <x:v>FE 6ffb8a4 / b8d3f3f / 015701d / b93604b / 43f537b. Done means prototype work product only; Screen rows stay In Progress. | Planned delivery: 2026-10-14 to 2026-10-27. Preparatory code/prototype work may precede delivery. Actual points remain unrecorded.</x:v>
      </x:c>
    </x:row>
    <x:row r="84" ht="90" customHeight="1">
      <x:c r="A84" s="177" t="s">
        <x:v>1602</x:v>
      </x:c>
      <x:c r="B84" s="177" t="s">
        <x:v>1512</x:v>
      </x:c>
      <x:c r="C84" s="177" t="s">
        <x:v>1603</x:v>
      </x:c>
      <x:c r="D84" s="177" t="s">
        <x:v>1553</x:v>
      </x:c>
      <x:c r="E84" s="177" t="s">
        <x:v>1604</x:v>
      </x:c>
      <x:c r="F84" s="177" t="s">
        <x:v>1365</x:v>
      </x:c>
      <x:c r="G84" s="177">
        <x:v>5</x:v>
      </x:c>
      <x:c r="H84" s="177" t="s">
        <x:v>1251</x:v>
      </x:c>
      <x:c r="I84" s="177" t="s">
        <x:v>1536</x:v>
      </x:c>
      <x:c r="J84" s="177"/>
      <x:c r="K84" s="177" t="s">
        <x:v>1249</x:v>
      </x:c>
      <x:c r="L84" s="177" t="str">
        <x:v>Git backend c12541b6 / c2561e23. Done applies only to the narrow initialization package, not a completed user feature. | Planned delivery: 2026-10-14 to 2026-10-27. Preparatory code/prototype work may precede delivery. Actual points remain unrecorded.</x:v>
      </x:c>
    </x:row>
    <x:row r="85" ht="90" customHeight="1">
      <x:c r="A85" s="177" t="s">
        <x:v>1605</x:v>
      </x:c>
      <x:c r="B85" s="177" t="s">
        <x:v>1512</x:v>
      </x:c>
      <x:c r="C85" s="177" t="s">
        <x:v>1606</x:v>
      </x:c>
      <x:c r="D85" s="177" t="s">
        <x:v>1607</x:v>
      </x:c>
      <x:c r="E85" s="177" t="s">
        <x:v>1608</x:v>
      </x:c>
      <x:c r="F85" s="177" t="s">
        <x:v>1365</x:v>
      </x:c>
      <x:c r="G85" s="177">
        <x:v>5</x:v>
      </x:c>
      <x:c r="H85" s="177" t="s">
        <x:v>1251</x:v>
      </x:c>
      <x:c r="I85" s="177" t="s">
        <x:v>1519</x:v>
      </x:c>
      <x:c r="J85" s="177"/>
      <x:c r="K85" s="177" t="s">
        <x:v>1249</x:v>
      </x:c>
      <x:c r="L85" s="177" t="str">
        <x:v>Git backend 559718a4 / 10433389. Done applies only to the narrow initialization package, not a completed user feature. | Planned delivery: 2026-10-14 to 2026-10-27. Preparatory code/prototype work may precede delivery. Actual points remain unrecorded.</x:v>
      </x:c>
    </x:row>
    <x:row r="86" ht="90" customHeight="1">
      <x:c r="A86" s="177" t="s">
        <x:v>1609</x:v>
      </x:c>
      <x:c r="B86" s="177" t="s">
        <x:v>1512</x:v>
      </x:c>
      <x:c r="C86" s="177" t="s">
        <x:v>1610</x:v>
      </x:c>
      <x:c r="D86" s="177" t="s">
        <x:v>1440</x:v>
      </x:c>
      <x:c r="E86" s="177" t="s">
        <x:v>1611</x:v>
      </x:c>
      <x:c r="F86" s="177" t="s">
        <x:v>1365</x:v>
      </x:c>
      <x:c r="G86" s="177">
        <x:v>5</x:v>
      </x:c>
      <x:c r="H86" s="177" t="s">
        <x:v>1251</x:v>
      </x:c>
      <x:c r="I86" s="177" t="s">
        <x:v>1519</x:v>
      </x:c>
      <x:c r="J86" s="177"/>
      <x:c r="K86" s="177" t="s">
        <x:v>1249</x:v>
      </x:c>
      <x:c r="L86" s="177" t="str">
        <x:v>Git backend 11a78fa6. Done applies only to the narrow initialization package, not a completed user feature. | Planned delivery: 2026-10-14 to 2026-10-27. Preparatory code/prototype work may precede delivery. Actual points remain unrecorded.</x:v>
      </x:c>
    </x:row>
    <x:row r="87">
      <x:c r="A87" s="154"/>
      <x:c r="B87" s="154"/>
      <x:c r="C87" s="154"/>
      <x:c r="D87" s="154"/>
      <x:c r="E87" s="154"/>
      <x:c r="F87" s="154"/>
      <x:c r="G87" s="154"/>
      <x:c r="H87" s="154"/>
      <x:c r="I87" s="154"/>
      <x:c r="J87" s="154"/>
      <x:c r="K87" s="154"/>
      <x:c r="L87" s="154"/>
    </x:row>
    <x:row r="88" ht="24.950000762939453" customHeight="1">
      <x:c r="A88" s="127" t="s">
        <x:v>1612</x:v>
      </x:c>
      <x:c r="B88" s="127"/>
      <x:c r="C88" s="127"/>
      <x:c r="D88" s="127"/>
      <x:c r="E88" s="127"/>
      <x:c r="F88" s="127"/>
      <x:c r="G88" s="127"/>
      <x:c r="H88" s="154"/>
      <x:c r="I88" s="154"/>
      <x:c r="J88" s="154"/>
      <x:c r="K88" s="154"/>
      <x:c r="L88" s="154"/>
    </x:row>
    <x:row r="89" ht="30">
      <x:c r="A89" s="178" t="s">
        <x:v>1246</x:v>
      </x:c>
      <x:c r="B89" s="178" t="s">
        <x:v>1613</x:v>
      </x:c>
      <x:c r="C89" s="178" t="s">
        <x:v>1614</x:v>
      </x:c>
      <x:c r="D89" s="178" t="s">
        <x:v>1249</x:v>
      </x:c>
      <x:c r="E89" s="178" t="s">
        <x:v>1215</x:v>
      </x:c>
      <x:c r="F89" s="178" t="s">
        <x:v>1216</x:v>
      </x:c>
      <x:c r="G89" s="178" t="s">
        <x:v>1615</x:v>
      </x:c>
      <x:c r="H89" s="154"/>
      <x:c r="I89" s="154"/>
      <x:c r="J89" s="154"/>
      <x:c r="K89" s="154"/>
      <x:c r="L89" s="154"/>
    </x:row>
    <x:row r="90">
      <x:c r="A90" s="177" t="s">
        <x:v>1251</x:v>
      </x:c>
      <x:c r="B90" s="177" t="n">
        <x:f>COUNTIF($H$5:$H$86,A90)</x:f>
        <x:v>39</x:v>
      </x:c>
      <x:c r="C90" s="177" t="n">
        <x:f>SUMIF($H$5:$H$86,A90,$G$5:$G$86)</x:f>
        <x:v>224</x:v>
      </x:c>
      <x:c r="D90" s="177" t="n">
        <x:f>COUNTIFS($H$5:$H$86,A90,$K$5:$K$86,"Done")</x:f>
        <x:v>22</x:v>
      </x:c>
      <x:c r="E90" s="177" t="n">
        <x:f>COUNTIFS($H$5:$H$86,A90,$K$5:$K$86,"In Progress")</x:f>
        <x:v>17</x:v>
      </x:c>
      <x:c r="F90" s="177" t="n">
        <x:f>COUNTIFS($H$5:$H$86,A90,$K$5:$K$86,"Not Started")</x:f>
        <x:v>0</x:v>
      </x:c>
      <x:c r="G90" s="177" t="n">
        <x:f>COUNTIFS($H$5:$H$86,A90,$K$5:$K$86,"Blocked")</x:f>
        <x:v>0</x:v>
      </x:c>
      <x:c r="H90" s="154"/>
      <x:c r="I90" s="154"/>
      <x:c r="J90" s="154"/>
      <x:c r="K90" s="154"/>
      <x:c r="L90" s="154"/>
    </x:row>
    <x:row r="91">
      <x:c r="A91" s="177" t="s">
        <x:v>1252</x:v>
      </x:c>
      <x:c r="B91" s="177" t="n">
        <x:f>COUNTIF($H$5:$H$86,A91)</x:f>
        <x:v>18</x:v>
      </x:c>
      <x:c r="C91" s="177" t="n">
        <x:f>SUMIF($H$5:$H$86,A91,$G$5:$G$86)</x:f>
        <x:v>94</x:v>
      </x:c>
      <x:c r="D91" s="177" t="n">
        <x:f>COUNTIFS($H$5:$H$86,A91,$K$5:$K$86,"Done")</x:f>
        <x:v>0</x:v>
      </x:c>
      <x:c r="E91" s="177" t="n">
        <x:f>COUNTIFS($H$5:$H$86,A91,$K$5:$K$86,"In Progress")</x:f>
        <x:v>9</x:v>
      </x:c>
      <x:c r="F91" s="177" t="n">
        <x:f>COUNTIFS($H$5:$H$86,A91,$K$5:$K$86,"Not Started")</x:f>
        <x:v>9</x:v>
      </x:c>
      <x:c r="G91" s="177" t="n">
        <x:f>COUNTIFS($H$5:$H$86,A91,$K$5:$K$86,"Blocked")</x:f>
        <x:v>0</x:v>
      </x:c>
      <x:c r="H91" s="154"/>
      <x:c r="I91" s="154"/>
      <x:c r="J91" s="154"/>
      <x:c r="K91" s="154"/>
      <x:c r="L91" s="154"/>
    </x:row>
    <x:row r="92">
      <x:c r="A92" s="177" t="s">
        <x:v>1253</x:v>
      </x:c>
      <x:c r="B92" s="177" t="n">
        <x:f>COUNTIF($H$5:$H$86,A92)</x:f>
        <x:v>25</x:v>
      </x:c>
      <x:c r="C92" s="177" t="n">
        <x:f>SUMIF($H$5:$H$86,A92,$G$5:$G$86)</x:f>
        <x:v>133</x:v>
      </x:c>
      <x:c r="D92" s="177" t="n">
        <x:f>COUNTIFS($H$5:$H$86,A92,$K$5:$K$86,"Done")</x:f>
        <x:v>0</x:v>
      </x:c>
      <x:c r="E92" s="177" t="n">
        <x:f>COUNTIFS($H$5:$H$86,A92,$K$5:$K$86,"In Progress")</x:f>
        <x:v>1</x:v>
      </x:c>
      <x:c r="F92" s="177" t="n">
        <x:f>COUNTIFS($H$5:$H$86,A92,$K$5:$K$86,"Not Started")</x:f>
        <x:v>24</x:v>
      </x:c>
      <x:c r="G92" s="177" t="n">
        <x:f>COUNTIFS($H$5:$H$86,A92,$K$5:$K$86,"Blocked")</x:f>
        <x:v>0</x:v>
      </x:c>
      <x:c r="H92" s="154"/>
      <x:c r="I92" s="154"/>
      <x:c r="J92" s="154"/>
      <x:c r="K92" s="154"/>
      <x:c r="L92" s="154"/>
    </x:row>
    <x:row r="93">
      <x:c r="A93" s="177" t="s">
        <x:v>1616</x:v>
      </x:c>
      <x:c r="B93" s="177" t="n">
        <x:f>SUM(B90:B92)</x:f>
        <x:v>82</x:v>
      </x:c>
      <x:c r="C93" s="177" t="n">
        <x:f>SUM(C90:C92)</x:f>
        <x:v>451</x:v>
      </x:c>
      <x:c r="D93" s="177" t="n">
        <x:f>SUM(D90:D92)</x:f>
        <x:v>22</x:v>
      </x:c>
      <x:c r="E93" s="177" t="n">
        <x:f>SUM(E90:E92)</x:f>
        <x:v>27</x:v>
      </x:c>
      <x:c r="F93" s="177" t="n">
        <x:f>SUM(F90:F92)</x:f>
        <x:v>33</x:v>
      </x:c>
      <x:c r="G93" s="177" t="n">
        <x:f>IF(B93=0,0,D93/B93*100)</x:f>
        <x:v>26.82926829268293</x:v>
      </x:c>
      <x:c r="H93" s="154"/>
      <x:c r="I93" s="154"/>
      <x:c r="J93" s="154"/>
      <x:c r="K93" s="154"/>
      <x:c r="L93" s="154"/>
    </x:row>
    <x:row r="94">
      <x:c r="A94" s="154"/>
      <x:c r="B94" s="154"/>
      <x:c r="C94" s="154"/>
      <x:c r="D94" s="154"/>
      <x:c r="E94" s="154"/>
      <x:c r="F94" s="154"/>
      <x:c r="G94" s="154"/>
      <x:c r="H94" s="154"/>
      <x:c r="I94" s="154"/>
      <x:c r="J94" s="154"/>
      <x:c r="K94" s="154"/>
      <x:c r="L94" s="154"/>
    </x:row>
    <x:row r="95">
      <x:c r="A95" s="154"/>
      <x:c r="B95" s="154"/>
      <x:c r="C95" s="154"/>
      <x:c r="D95" s="154"/>
      <x:c r="E95" s="154"/>
      <x:c r="F95" s="154"/>
      <x:c r="G95" s="154"/>
      <x:c r="H95" s="154"/>
      <x:c r="I95" s="154"/>
      <x:c r="J95" s="154"/>
      <x:c r="K95" s="154"/>
      <x:c r="L95" s="154"/>
    </x:row>
    <x:row r="96">
      <x:c r="A96" s="154"/>
      <x:c r="B96" s="154"/>
      <x:c r="C96" s="154"/>
      <x:c r="D96" s="154"/>
      <x:c r="E96" s="154"/>
      <x:c r="F96" s="154"/>
      <x:c r="G96" s="154"/>
      <x:c r="H96" s="154"/>
      <x:c r="I96" s="154"/>
      <x:c r="J96" s="154"/>
      <x:c r="K96" s="154"/>
      <x:c r="L96" s="154"/>
    </x:row>
    <x:row r="97" ht="24.950000762939453" customHeight="1">
      <x:c r="A97" s="127" t="s">
        <x:v>1617</x:v>
      </x:c>
      <x:c r="B97" s="127"/>
      <x:c r="C97" s="127"/>
      <x:c r="D97" s="127"/>
      <x:c r="E97" s="127"/>
      <x:c r="F97" s="127"/>
      <x:c r="G97" s="127"/>
      <x:c r="H97" s="154"/>
      <x:c r="I97" s="154"/>
      <x:c r="J97" s="154"/>
      <x:c r="K97" s="154"/>
      <x:c r="L97" s="154"/>
    </x:row>
    <x:row r="98">
      <x:c r="A98" s="178" t="s">
        <x:v>1246</x:v>
      </x:c>
      <x:c r="B98" s="178" t="s">
        <x:v>1618</x:v>
      </x:c>
      <x:c r="C98" s="178" t="s">
        <x:v>1619</x:v>
      </x:c>
      <x:c r="D98" s="178" t="s">
        <x:v>1620</x:v>
      </x:c>
      <x:c r="E98" s="178" t="s">
        <x:v>1621</x:v>
      </x:c>
      <x:c r="F98" s="178" t="s">
        <x:v>1622</x:v>
      </x:c>
      <x:c r="G98" s="178" t="s">
        <x:v>1623</x:v>
      </x:c>
      <x:c r="H98" s="154"/>
      <x:c r="I98" s="154"/>
      <x:c r="J98" s="154"/>
      <x:c r="K98" s="154"/>
      <x:c r="L98" s="154"/>
    </x:row>
    <x:row r="99" ht="129.9499969482422" customHeight="1">
      <x:c r="A99" s="177" t="s">
        <x:v>1251</x:v>
      </x:c>
      <x:c r="B99" s="179" t="n">
        <x:v>46309</x:v>
      </x:c>
      <x:c r="C99" s="179" t="n">
        <x:v>46322</x:v>
      </x:c>
      <x:c r="D99" s="177" t="str">
        <x:v>Iteration 1 delivery: design, core code/unit reports, integration cases/results and release v1. Preparatory work began 09/09.</x:v>
      </x:c>
      <x:c r="E99" s="177" t="s">
        <x:v>1624</x:v>
      </x:c>
      <x:c r="F99" s="177" t="str">
        <x:v>Complete documented core flows and review remaining findings. Earlier commits and smoke checks do not imply full acceptance.</x:v>
      </x:c>
      <x:c r="G99" s="177" t="s">
        <x:v>1516</x:v>
      </x:c>
      <x:c r="H99" s="154"/>
      <x:c r="I99" s="154"/>
      <x:c r="J99" s="154"/>
      <x:c r="K99" s="154"/>
      <x:c r="L99" s="154"/>
    </x:row>
    <x:row r="100" ht="129.9499969482422" customHeight="1">
      <x:c r="A100" s="177" t="s">
        <x:v>1252</x:v>
      </x:c>
      <x:c r="B100" s="179" t="n">
        <x:v>46323</x:v>
      </x:c>
      <x:c r="C100" s="179" t="n">
        <x:v>46336</x:v>
      </x:c>
      <x:c r="D100" s="177" t="s">
        <x:v>1625</x:v>
      </x:c>
      <x:c r="E100" s="177" t="s">
        <x:v>1626</x:v>
      </x:c>
      <x:c r="F100" s="177" t="s">
        <x:v>1627</x:v>
      </x:c>
      <x:c r="G100" s="177" t="s">
        <x:v>1360</x:v>
      </x:c>
      <x:c r="H100" s="154"/>
      <x:c r="I100" s="154"/>
      <x:c r="J100" s="154"/>
      <x:c r="K100" s="154"/>
      <x:c r="L100" s="154"/>
    </x:row>
    <x:row r="101" ht="129.9499969482422" customHeight="1">
      <x:c r="A101" s="177" t="s">
        <x:v>1253</x:v>
      </x:c>
      <x:c r="B101" s="179" t="n">
        <x:v>46337</x:v>
      </x:c>
      <x:c r="C101" s="179" t="n">
        <x:v>46350</x:v>
      </x:c>
      <x:c r="D101" s="177" t="s">
        <x:v>1628</x:v>
      </x:c>
      <x:c r="E101" s="177" t="s">
        <x:v>1629</x:v>
      </x:c>
      <x:c r="F101" s="177" t="str">
        <x:v>Review the assigned SRS feature population. Classroom operations/live classes stay excluded; mobile/external acceptance requires separate evidence.</x:v>
      </x:c>
      <x:c r="G101" s="177" t="s">
        <x:v>1516</x:v>
      </x:c>
      <x:c r="H101" s="154"/>
      <x:c r="I101" s="154"/>
      <x:c r="J101" s="154"/>
      <x:c r="K101" s="154"/>
      <x:c r="L101" s="154"/>
    </x:row>
    <x:row r="102">
      <x:c r="A102" s="154"/>
      <x:c r="B102" s="154"/>
      <x:c r="C102" s="154"/>
      <x:c r="D102" s="154"/>
      <x:c r="E102" s="154"/>
      <x:c r="F102" s="154"/>
      <x:c r="G102" s="154"/>
      <x:c r="H102" s="154"/>
      <x:c r="I102" s="154"/>
      <x:c r="J102" s="154"/>
      <x:c r="K102" s="154"/>
      <x:c r="L102" s="154"/>
    </x:row>
    <x:row r="103">
      <x:c r="A103" s="154"/>
      <x:c r="B103" s="154"/>
      <x:c r="C103" s="154"/>
      <x:c r="D103" s="154"/>
      <x:c r="E103" s="154"/>
      <x:c r="F103" s="154"/>
      <x:c r="G103" s="154"/>
      <x:c r="H103" s="154"/>
      <x:c r="I103" s="154"/>
      <x:c r="J103" s="154"/>
      <x:c r="K103" s="154"/>
      <x:c r="L103" s="154"/>
    </x:row>
    <x:row r="104">
      <x:c r="A104" s="154"/>
      <x:c r="B104" s="154"/>
      <x:c r="C104" s="154"/>
      <x:c r="D104" s="154"/>
      <x:c r="E104" s="154"/>
      <x:c r="F104" s="154"/>
      <x:c r="G104" s="154"/>
      <x:c r="H104" s="154"/>
      <x:c r="I104" s="154"/>
      <x:c r="J104" s="154"/>
      <x:c r="K104" s="154"/>
      <x:c r="L104" s="154"/>
    </x:row>
    <x:row r="105" ht="24.950000762939453" customHeight="1">
      <x:c r="A105" s="127" t="s">
        <x:v>1630</x:v>
      </x:c>
      <x:c r="B105" s="127"/>
      <x:c r="C105" s="127"/>
      <x:c r="D105" s="127"/>
      <x:c r="E105" s="127"/>
      <x:c r="F105" s="127"/>
      <x:c r="G105" s="127"/>
      <x:c r="H105" s="154"/>
      <x:c r="I105" s="154"/>
      <x:c r="J105" s="154"/>
      <x:c r="K105" s="154"/>
      <x:c r="L105" s="154"/>
    </x:row>
    <x:row r="106" ht="30">
      <x:c r="A106" s="178" t="s">
        <x:v>1631</x:v>
      </x:c>
      <x:c r="B106" s="178" t="s">
        <x:v>1632</x:v>
      </x:c>
      <x:c r="C106" s="178" t="s">
        <x:v>1633</x:v>
      </x:c>
      <x:c r="D106" s="178" t="s">
        <x:v>1634</x:v>
      </x:c>
      <x:c r="E106" s="178" t="s">
        <x:v>1635</x:v>
      </x:c>
      <x:c r="F106" s="178" t="s">
        <x:v>1636</x:v>
      </x:c>
      <x:c r="G106" s="178" t="s">
        <x:v>1637</x:v>
      </x:c>
      <x:c r="H106" s="154"/>
      <x:c r="I106" s="154"/>
      <x:c r="J106" s="154"/>
      <x:c r="K106" s="154"/>
      <x:c r="L106" s="154"/>
    </x:row>
    <x:row r="107" ht="84.94999694824219" customHeight="1">
      <x:c r="A107" s="177" t="s">
        <x:v>1536</x:v>
      </x:c>
      <x:c r="B107" s="177" t="s">
        <x:v>1638</x:v>
      </x:c>
      <x:c r="C107" s="177" t="s">
        <x:v>1639</x:v>
      </x:c>
      <x:c r="D107" s="177" t="s">
        <x:v>1640</x:v>
      </x:c>
      <x:c r="E107" s="177" t="s">
        <x:v>1641</x:v>
      </x:c>
      <x:c r="F107" s="177" t="s">
        <x:v>1642</x:v>
      </x:c>
      <x:c r="G107" s="177" t="s">
        <x:v>1643</x:v>
      </x:c>
      <x:c r="H107" s="154"/>
      <x:c r="I107" s="154"/>
      <x:c r="J107" s="154"/>
      <x:c r="K107" s="154"/>
      <x:c r="L107" s="154"/>
    </x:row>
    <x:row r="108" ht="84.94999694824219" customHeight="1">
      <x:c r="A108" s="177" t="s">
        <x:v>1360</x:v>
      </x:c>
      <x:c r="B108" s="177" t="s">
        <x:v>1644</x:v>
      </x:c>
      <x:c r="C108" s="177" t="s">
        <x:v>1645</x:v>
      </x:c>
      <x:c r="D108" s="177" t="s">
        <x:v>1646</x:v>
      </x:c>
      <x:c r="E108" s="177" t="s">
        <x:v>1647</x:v>
      </x:c>
      <x:c r="F108" s="177" t="s">
        <x:v>1648</x:v>
      </x:c>
      <x:c r="G108" s="177" t="s">
        <x:v>1649</x:v>
      </x:c>
      <x:c r="H108" s="154"/>
      <x:c r="I108" s="154"/>
      <x:c r="J108" s="154"/>
      <x:c r="K108" s="154"/>
      <x:c r="L108" s="154"/>
    </x:row>
    <x:row r="109" ht="84.94999694824219" customHeight="1">
      <x:c r="A109" s="177" t="s">
        <x:v>1381</x:v>
      </x:c>
      <x:c r="B109" s="177" t="s">
        <x:v>1650</x:v>
      </x:c>
      <x:c r="C109" s="177" t="s">
        <x:v>1651</x:v>
      </x:c>
      <x:c r="D109" s="177" t="s">
        <x:v>1652</x:v>
      </x:c>
      <x:c r="E109" s="177" t="s">
        <x:v>1653</x:v>
      </x:c>
      <x:c r="F109" s="177" t="s">
        <x:v>1654</x:v>
      </x:c>
      <x:c r="G109" s="177" t="s">
        <x:v>1655</x:v>
      </x:c>
      <x:c r="H109" s="154"/>
      <x:c r="I109" s="154"/>
      <x:c r="J109" s="154"/>
      <x:c r="K109" s="154"/>
      <x:c r="L109" s="154"/>
    </x:row>
    <x:row r="110" ht="84.94999694824219" customHeight="1">
      <x:c r="A110" s="177" t="s">
        <x:v>1516</x:v>
      </x:c>
      <x:c r="B110" s="177" t="s">
        <x:v>1656</x:v>
      </x:c>
      <x:c r="C110" s="177" t="s">
        <x:v>1657</x:v>
      </x:c>
      <x:c r="D110" s="177" t="s">
        <x:v>1658</x:v>
      </x:c>
      <x:c r="E110" s="177" t="s">
        <x:v>1659</x:v>
      </x:c>
      <x:c r="F110" s="177" t="s">
        <x:v>1660</x:v>
      </x:c>
      <x:c r="G110" s="177" t="s">
        <x:v>1661</x:v>
      </x:c>
      <x:c r="H110" s="154"/>
      <x:c r="I110" s="154"/>
      <x:c r="J110" s="154"/>
      <x:c r="K110" s="154"/>
      <x:c r="L110" s="154"/>
    </x:row>
    <x:row r="111" ht="84.94999694824219" customHeight="1">
      <x:c r="A111" s="177" t="s">
        <x:v>1519</x:v>
      </x:c>
      <x:c r="B111" s="177" t="s">
        <x:v>1638</x:v>
      </x:c>
      <x:c r="C111" s="177" t="s">
        <x:v>1662</x:v>
      </x:c>
      <x:c r="D111" s="177" t="s">
        <x:v>1663</x:v>
      </x:c>
      <x:c r="E111" s="177" t="s">
        <x:v>1664</x:v>
      </x:c>
      <x:c r="F111" s="177" t="s">
        <x:v>1665</x:v>
      </x:c>
      <x:c r="G111" s="177" t="s">
        <x:v>1666</x:v>
      </x:c>
      <x:c r="H111" s="154"/>
      <x:c r="I111" s="154"/>
      <x:c r="J111" s="154"/>
      <x:c r="K111" s="154"/>
      <x:c r="L111" s="154"/>
    </x:row>
    <x:row r="112" ht="51.95000076293945" customHeight="1">
      <x:c r="A112" s="224" t="s">
        <x:v>1667</x:v>
      </x:c>
      <x:c r="B112" s="224" t="s">
        <x:v>1668</x:v>
      </x:c>
      <x:c r="C112" s="224" t="s">
        <x:v>1669</x:v>
      </x:c>
      <x:c r="D112" s="224" t="s">
        <x:v>1670</x:v>
      </x:c>
      <x:c r="E112" s="224" t="s">
        <x:v>1671</x:v>
      </x:c>
      <x:c r="F112" s="224" t="s">
        <x:v>1672</x:v>
      </x:c>
      <x:c r="G112" s="224" t="s">
        <x:v>1673</x:v>
      </x:c>
      <x:c r="H112" s="154"/>
      <x:c r="I112" s="154"/>
      <x:c r="J112" s="154"/>
      <x:c r="K112" s="154"/>
      <x:c r="L112" s="154"/>
    </x:row>
    <x:row r="113">
      <x:c r="A113" s="154"/>
      <x:c r="B113" s="154"/>
      <x:c r="C113" s="154"/>
      <x:c r="D113" s="154"/>
      <x:c r="E113" s="154"/>
      <x:c r="F113" s="154"/>
      <x:c r="G113" s="154"/>
      <x:c r="H113" s="154"/>
      <x:c r="I113" s="154"/>
      <x:c r="J113" s="154"/>
      <x:c r="K113" s="154"/>
      <x:c r="L113" s="154"/>
    </x:row>
    <x:row r="114">
      <x:c r="A114" s="154"/>
      <x:c r="B114" s="154"/>
      <x:c r="C114" s="154"/>
      <x:c r="D114" s="154"/>
      <x:c r="E114" s="154"/>
      <x:c r="F114" s="154"/>
      <x:c r="G114" s="154"/>
      <x:c r="H114" s="154"/>
      <x:c r="I114" s="154"/>
      <x:c r="J114" s="154"/>
      <x:c r="K114" s="154"/>
      <x:c r="L114" s="154"/>
    </x:row>
    <x:row r="115" ht="24.950000762939453" customHeight="1">
      <x:c r="A115" s="127" t="s">
        <x:v>1674</x:v>
      </x:c>
      <x:c r="B115" s="127"/>
      <x:c r="C115" s="127"/>
      <x:c r="D115" s="127"/>
      <x:c r="E115" s="127"/>
      <x:c r="F115" s="127"/>
      <x:c r="G115" s="127"/>
      <x:c r="H115" s="154"/>
      <x:c r="I115" s="154"/>
      <x:c r="J115" s="154"/>
      <x:c r="K115" s="154"/>
      <x:c r="L115" s="154"/>
    </x:row>
    <x:row r="116">
      <x:c r="A116" s="178" t="s">
        <x:v>1675</x:v>
      </x:c>
      <x:c r="B116" s="178" t="s">
        <x:v>1676</x:v>
      </x:c>
      <x:c r="C116" s="178" t="s">
        <x:v>1677</x:v>
      </x:c>
      <x:c r="D116" s="178" t="s">
        <x:v>1678</x:v>
      </x:c>
      <x:c r="E116" s="178" t="s">
        <x:v>1679</x:v>
      </x:c>
      <x:c r="F116" s="178" t="s">
        <x:v>1226</x:v>
      </x:c>
      <x:c r="G116" s="178" t="s">
        <x:v>1680</x:v>
      </x:c>
      <x:c r="H116" s="154"/>
      <x:c r="I116" s="154"/>
      <x:c r="J116" s="154"/>
      <x:c r="K116" s="154"/>
      <x:c r="L116" s="154"/>
    </x:row>
    <x:row r="117" ht="80.0999984741211" customHeight="1">
      <x:c r="A117" s="177" t="s">
        <x:v>1681</x:v>
      </x:c>
      <x:c r="B117" s="177" t="s">
        <x:v>1682</x:v>
      </x:c>
      <x:c r="C117" s="177" t="s">
        <x:v>1683</x:v>
      </x:c>
      <x:c r="D117" s="177" t="str">
        <x:v>Report 1 v1.0.0 / 09/10/2026</x:v>
      </x:c>
      <x:c r="E117" s="177" t="s">
        <x:v>1516</x:v>
      </x:c>
      <x:c r="F117" s="177" t="s">
        <x:v>1684</x:v>
      </x:c>
      <x:c r="G117" s="177" t="s">
        <x:v>1685</x:v>
      </x:c>
      <x:c r="H117" s="154"/>
      <x:c r="I117" s="154"/>
      <x:c r="J117" s="154"/>
      <x:c r="K117" s="154"/>
      <x:c r="L117" s="154"/>
    </x:row>
    <x:row r="118" ht="80.0999984741211" customHeight="1">
      <x:c r="A118" s="177" t="s">
        <x:v>1686</x:v>
      </x:c>
      <x:c r="B118" s="177" t="s">
        <x:v>1687</x:v>
      </x:c>
      <x:c r="C118" s="177" t="s">
        <x:v>1688</x:v>
      </x:c>
      <x:c r="D118" s="177" t="s">
        <x:v>1689</x:v>
      </x:c>
      <x:c r="E118" s="177" t="s">
        <x:v>1516</x:v>
      </x:c>
      <x:c r="F118" s="177" t="s">
        <x:v>1684</x:v>
      </x:c>
      <x:c r="G118" s="177" t="s">
        <x:v>1690</x:v>
      </x:c>
      <x:c r="H118" s="154"/>
      <x:c r="I118" s="154"/>
      <x:c r="J118" s="154"/>
      <x:c r="K118" s="154"/>
      <x:c r="L118" s="154"/>
    </x:row>
    <x:row r="119" ht="80.0999984741211" customHeight="1">
      <x:c r="A119" s="177" t="s">
        <x:v>1691</x:v>
      </x:c>
      <x:c r="B119" s="177" t="str">
        <x:v>09/10/2026</x:v>
      </x:c>
      <x:c r="C119" s="177" t="s">
        <x:v>1692</x:v>
      </x:c>
      <x:c r="D119" s="177" t="str">
        <x:v>BE 17efca8 / FE 59cd29d</x:v>
      </x:c>
      <x:c r="E119" s="177" t="s">
        <x:v>1516</x:v>
      </x:c>
      <x:c r="F119" s="177" t="s">
        <x:v>1693</x:v>
      </x:c>
      <x:c r="G119" s="177" t="s">
        <x:v>1694</x:v>
      </x:c>
      <x:c r="H119" s="154"/>
      <x:c r="I119" s="154"/>
      <x:c r="J119" s="154"/>
      <x:c r="K119" s="154"/>
      <x:c r="L119" s="154"/>
    </x:row>
    <x:row r="120" ht="80.0999984741211" customHeight="1">
      <x:c r="A120" s="177" t="s">
        <x:v>1695</x:v>
      </x:c>
      <x:c r="B120" s="177" t="s">
        <x:v>1696</x:v>
      </x:c>
      <x:c r="C120" s="177" t="s">
        <x:v>1697</x:v>
      </x:c>
      <x:c r="D120" s="177" t="s">
        <x:v>1698</x:v>
      </x:c>
      <x:c r="E120" s="177" t="s">
        <x:v>1658</x:v>
      </x:c>
      <x:c r="F120" s="177" t="s">
        <x:v>1699</x:v>
      </x:c>
      <x:c r="G120" s="177" t="s">
        <x:v>1700</x:v>
      </x:c>
      <x:c r="H120" s="154"/>
      <x:c r="I120" s="154"/>
      <x:c r="J120" s="154"/>
      <x:c r="K120" s="154"/>
      <x:c r="L120" s="154"/>
    </x:row>
    <x:row r="121" ht="80.0999984741211" customHeight="1">
      <x:c r="A121" s="177" t="s">
        <x:v>1249</x:v>
      </x:c>
      <x:c r="B121" s="177" t="s">
        <x:v>1701</x:v>
      </x:c>
      <x:c r="C121" s="177" t="s">
        <x:v>1702</x:v>
      </x:c>
      <x:c r="D121" s="177" t="s">
        <x:v>1703</x:v>
      </x:c>
      <x:c r="E121" s="177" t="s">
        <x:v>1704</x:v>
      </x:c>
      <x:c r="F121" s="177" t="s">
        <x:v>1705</x:v>
      </x:c>
      <x:c r="G121" s="177" t="s">
        <x:v>1706</x:v>
      </x:c>
      <x:c r="H121" s="154"/>
      <x:c r="I121" s="154"/>
      <x:c r="J121" s="154"/>
      <x:c r="K121" s="154"/>
      <x:c r="L121" s="154"/>
    </x:row>
    <x:row r="122" ht="80.0999984741211" customHeight="1">
      <x:c r="A122" s="177" t="s">
        <x:v>1707</x:v>
      </x:c>
      <x:c r="B122" s="177" t="str">
        <x:v>Report 1, SRS, RTW, FDS, TDS, Test Plan and repository code/docs</x:v>
      </x:c>
      <x:c r="C122" s="177" t="s">
        <x:v>1708</x:v>
      </x:c>
      <x:c r="D122" s="177" t="str">
        <x:v>SRS header v1.0.0; history v0.9.24 on 09/10; FDS v0.4</x:v>
      </x:c>
      <x:c r="E122" s="177" t="s">
        <x:v>1516</x:v>
      </x:c>
      <x:c r="F122" s="177" t="s">
        <x:v>1709</x:v>
      </x:c>
      <x:c r="G122" s="177" t="s">
        <x:v>1710</x:v>
      </x:c>
      <x:c r="H122" s="154"/>
      <x:c r="I122" s="154"/>
      <x:c r="J122" s="154"/>
      <x:c r="K122" s="154"/>
      <x:c r="L122" s="154"/>
    </x:row>
    <x:row r="123" ht="80.0999984741211" customHeight="1">
      <x:c r="A123" s="177" t="s">
        <x:v>1711</x:v>
      </x:c>
      <x:c r="B123" s="177" t="str">
        <x:v>Dashboard formulas and Scope assessment repaired</x:v>
      </x:c>
      <x:c r="C123" s="177" t="s">
        <x:v>1712</x:v>
      </x:c>
      <x:c r="D123" s="177" t="s">
        <x:v>1713</x:v>
      </x:c>
      <x:c r="E123" s="177" t="s">
        <x:v>1667</x:v>
      </x:c>
      <x:c r="F123" s="177" t="str">
        <x:v>55 SRS functions; 82 WBS work packages</x:v>
      </x:c>
      <x:c r="G123" s="177" t="s">
        <x:v>1714</x:v>
      </x:c>
      <x:c r="H123" s="154"/>
      <x:c r="I123" s="154"/>
      <x:c r="J123" s="154"/>
      <x:c r="K123" s="154"/>
      <x:c r="L123" s="154"/>
    </x:row>
    <x:row r="125" ht="25" customHeight="1">
      <x:c r="A125" s="267" t="str">
        <x:v>SRS feature allocation — source of Dashboard Planned Functions</x:v>
      </x:c>
      <x:c r="B125" s="267"/>
      <x:c r="C125" s="267"/>
      <x:c r="D125" s="267"/>
      <x:c r="E125" s="267"/>
      <x:c r="F125" s="267"/>
      <x:c r="G125" s="267"/>
    </x:row>
    <x:row r="126" ht="45" customHeight="1">
      <x:c r="A126" s="265" t="str">
        <x:v>Each FT is counted once. Iteration is the latest required mapped WBS delivery. Done requires all mapped product work packages Done; this is implementation tracking, not UAT. Prototype-only rows are excluded.</x:v>
      </x:c>
      <x:c r="B126" s="265"/>
      <x:c r="C126" s="265"/>
      <x:c r="D126" s="265"/>
      <x:c r="E126" s="265"/>
      <x:c r="F126" s="265"/>
      <x:c r="G126" s="265"/>
    </x:row>
    <x:row r="127">
      <x:c r="A127" s="265"/>
      <x:c r="B127" s="265"/>
      <x:c r="C127" s="265"/>
      <x:c r="D127" s="265"/>
      <x:c r="E127" s="265"/>
      <x:c r="F127" s="265"/>
      <x:c r="G127" s="265"/>
    </x:row>
    <x:row r="128" ht="36" customHeight="1">
      <x:c r="A128" s="268" t="str">
        <x:v>Feature ID</x:v>
      </x:c>
      <x:c r="B128" s="268" t="str">
        <x:v>Feature name</x:v>
      </x:c>
      <x:c r="C128" s="268" t="str">
        <x:v>Iteration</x:v>
      </x:c>
      <x:c r="D128" s="268" t="str">
        <x:v>Status</x:v>
      </x:c>
      <x:c r="E128" s="268" t="str">
        <x:v>WBS references</x:v>
      </x:c>
      <x:c r="F128" s="268" t="str">
        <x:v>Owner</x:v>
      </x:c>
      <x:c r="G128" s="268" t="str">
        <x:v>Basis</x:v>
      </x:c>
    </x:row>
    <x:row r="129" ht="125" customHeight="1">
      <x:c r="A129" s="269" t="str">
        <x:v>FT-01</x:v>
      </x:c>
      <x:c r="B129" s="269" t="str">
        <x:v>Account registration</x:v>
      </x:c>
      <x:c r="C129" s="269" t="str">
        <x:f>IF(OR($H$7="Iteration 3",$H$73="Iteration 3"),"Iteration 3",IF(OR($H$7="Iteration 2",$H$73="Iteration 2"),"Iteration 2","Iteration 1"))</x:f>
        <x:v>Iteration 1</x:v>
      </x:c>
      <x:c r="D129" s="269" t="str">
        <x:f>IF(AND($K$7="Done",$K$73="Done"),"Done",IF(OR($K$7="Done",$K$73="Done",$K$7="In Progress",$K$73="In Progress"),"In Progress","Not Started"))</x:f>
        <x:v>Done</x:v>
      </x:c>
      <x:c r="E129" s="269" t="str">
        <x:v>WBS-003, WBS-069</x:v>
      </x:c>
      <x:c r="F129" s="269" t="str">
        <x:v>HoangNV, PhuPD</x:v>
      </x:c>
      <x:c r="G129" s="269" t="str">
        <x:v>SRS FT table; current mapping in WBS D5:D86</x:v>
      </x:c>
    </x:row>
    <x:row r="130" ht="125" customHeight="1">
      <x:c r="A130" s="269" t="str">
        <x:v>FT-02</x:v>
      </x:c>
      <x:c r="B130" s="269" t="str">
        <x:v>Password sign-in</x:v>
      </x:c>
      <x:c r="C130" s="269" t="str">
        <x:f>IF(OR($H$6="Iteration 3",$H$7="Iteration 3",$H$73="Iteration 3"),"Iteration 3",IF(OR($H$6="Iteration 2",$H$7="Iteration 2",$H$73="Iteration 2"),"Iteration 2","Iteration 1"))</x:f>
        <x:v>Iteration 1</x:v>
      </x:c>
      <x:c r="D130" s="269" t="str">
        <x:f>IF(AND($K$6="Done",$K$7="Done",$K$73="Done"),"Done",IF(OR($K$6="Done",$K$7="Done",$K$73="Done",$K$6="In Progress",$K$7="In Progress",$K$73="In Progress"),"In Progress","Not Started"))</x:f>
        <x:v>In Progress</x:v>
      </x:c>
      <x:c r="E130" s="269" t="str">
        <x:v>WBS-002, WBS-003, WBS-069</x:v>
      </x:c>
      <x:c r="F130" s="269" t="str">
        <x:v>HoangNV, PhuPD</x:v>
      </x:c>
      <x:c r="G130" s="269" t="str">
        <x:v>SRS FT table; current mapping in WBS D5:D86</x:v>
      </x:c>
    </x:row>
    <x:row r="131" ht="125" customHeight="1">
      <x:c r="A131" s="269" t="str">
        <x:v>FT-03</x:v>
      </x:c>
      <x:c r="B131" s="269" t="str">
        <x:v>Session refresh &amp; sign-out</x:v>
      </x:c>
      <x:c r="C131" s="269" t="str">
        <x:f>IF(OR($H$6="Iteration 3",$H$73="Iteration 3"),"Iteration 3",IF(OR($H$6="Iteration 2",$H$73="Iteration 2"),"Iteration 2","Iteration 1"))</x:f>
        <x:v>Iteration 1</x:v>
      </x:c>
      <x:c r="D131" s="269" t="str">
        <x:f>IF(AND($K$6="Done",$K$73="Done"),"Done",IF(OR($K$6="Done",$K$73="Done",$K$6="In Progress",$K$73="In Progress"),"In Progress","Not Started"))</x:f>
        <x:v>In Progress</x:v>
      </x:c>
      <x:c r="E131" s="269" t="str">
        <x:v>WBS-002, WBS-069</x:v>
      </x:c>
      <x:c r="F131" s="269" t="str">
        <x:v>HoangNV, PhuPD</x:v>
      </x:c>
      <x:c r="G131" s="269" t="str">
        <x:v>SRS FT table; current mapping in WBS D5:D86</x:v>
      </x:c>
    </x:row>
    <x:row r="132" ht="125" customHeight="1">
      <x:c r="A132" s="269" t="str">
        <x:v>FT-04</x:v>
      </x:c>
      <x:c r="B132" s="269" t="str">
        <x:v>Password recovery by email</x:v>
      </x:c>
      <x:c r="C132" s="269" t="str">
        <x:f>IF(OR($H$8="Iteration 3",$H$9="Iteration 3",$H$43="Iteration 3",$H$73="Iteration 3"),"Iteration 3",IF(OR($H$8="Iteration 2",$H$9="Iteration 2",$H$43="Iteration 2",$H$73="Iteration 2"),"Iteration 2","Iteration 1"))</x:f>
        <x:v>Iteration 3</x:v>
      </x:c>
      <x:c r="D132" s="269" t="str">
        <x:f>IF(AND($K$8="Done",$K$9="Done",$K$43="Done",$K$73="Done"),"Done",IF(OR($K$8="Done",$K$9="Done",$K$43="Done",$K$73="Done",$K$8="In Progress",$K$9="In Progress",$K$43="In Progress",$K$73="In Progress"),"In Progress","Not Started"))</x:f>
        <x:v>In Progress</x:v>
      </x:c>
      <x:c r="E132" s="269" t="str">
        <x:v>WBS-004, WBS-005, WBS-039, WBS-069</x:v>
      </x:c>
      <x:c r="F132" s="269" t="str">
        <x:v>HoangNV, PhuPD</x:v>
      </x:c>
      <x:c r="G132" s="269" t="str">
        <x:v>SRS FT table; current mapping in WBS D5:D86</x:v>
      </x:c>
    </x:row>
    <x:row r="133" ht="125" customHeight="1">
      <x:c r="A133" s="269" t="str">
        <x:v>FT-05</x:v>
      </x:c>
      <x:c r="B133" s="269" t="str">
        <x:v>OAuth sign-in</x:v>
      </x:c>
      <x:c r="C133" s="269" t="str">
        <x:f>IF(OR($H$6="Iteration 3",$H$10="Iteration 3",$H$27="Iteration 3",$H$43="Iteration 3"),"Iteration 3",IF(OR($H$6="Iteration 2",$H$10="Iteration 2",$H$27="Iteration 2",$H$43="Iteration 2"),"Iteration 2","Iteration 1"))</x:f>
        <x:v>Iteration 3</x:v>
      </x:c>
      <x:c r="D133" s="269" t="str">
        <x:f>IF(AND($K$6="Done",$K$10="Done",$K$27="Done",$K$43="Done"),"Done",IF(OR($K$6="Done",$K$10="Done",$K$27="Done",$K$43="Done",$K$6="In Progress",$K$10="In Progress",$K$27="In Progress",$K$43="In Progress"),"In Progress","Not Started"))</x:f>
        <x:v>In Progress</x:v>
      </x:c>
      <x:c r="E133" s="269" t="str">
        <x:v>WBS-002, WBS-006, WBS-023, WBS-039</x:v>
      </x:c>
      <x:c r="F133" s="269" t="str">
        <x:v>HoangNV, SonLT</x:v>
      </x:c>
      <x:c r="G133" s="269" t="str">
        <x:v>SRS FT table; current mapping in WBS D5:D86</x:v>
      </x:c>
    </x:row>
    <x:row r="134" ht="125" customHeight="1">
      <x:c r="A134" s="269" t="str">
        <x:v>FT-06</x:v>
      </x:c>
      <x:c r="B134" s="269" t="str">
        <x:v>Account &amp; learner profile</x:v>
      </x:c>
      <x:c r="C134" s="269" t="str">
        <x:f>IF(OR($H$27="Iteration 3",$H$73="Iteration 3"),"Iteration 3",IF(OR($H$27="Iteration 2",$H$73="Iteration 2"),"Iteration 2","Iteration 1"))</x:f>
        <x:v>Iteration 2</x:v>
      </x:c>
      <x:c r="D134" s="269" t="str">
        <x:f>IF(AND($K$27="Done",$K$73="Done"),"Done",IF(OR($K$27="Done",$K$73="Done",$K$27="In Progress",$K$73="In Progress"),"In Progress","Not Started"))</x:f>
        <x:v>In Progress</x:v>
      </x:c>
      <x:c r="E134" s="269" t="str">
        <x:v>WBS-023, WBS-069</x:v>
      </x:c>
      <x:c r="F134" s="269" t="str">
        <x:v>SonLT, PhuPD</x:v>
      </x:c>
      <x:c r="G134" s="269" t="str">
        <x:v>SRS FT table; current mapping in WBS D5:D86</x:v>
      </x:c>
    </x:row>
    <x:row r="135" ht="125" customHeight="1">
      <x:c r="A135" s="269" t="str">
        <x:v>FT-07</x:v>
      </x:c>
      <x:c r="B135" s="269" t="str">
        <x:v>Role-based authorization</x:v>
      </x:c>
      <x:c r="C135" s="269" t="str">
        <x:f>IF(OR($H$6="Iteration 3",$H$42="Iteration 3"),"Iteration 3",IF(OR($H$6="Iteration 2",$H$42="Iteration 2"),"Iteration 2","Iteration 1"))</x:f>
        <x:v>Iteration 3</x:v>
      </x:c>
      <x:c r="D135" s="269" t="str">
        <x:f>IF(AND($K$6="Done",$K$42="Done"),"Done",IF(OR($K$6="Done",$K$42="Done",$K$6="In Progress",$K$42="In Progress"),"In Progress","Not Started"))</x:f>
        <x:v>In Progress</x:v>
      </x:c>
      <x:c r="E135" s="269" t="str">
        <x:v>WBS-002, WBS-038</x:v>
      </x:c>
      <x:c r="F135" s="269" t="str">
        <x:v>HoangNV</x:v>
      </x:c>
      <x:c r="G135" s="269" t="str">
        <x:v>SRS FT table; current mapping in WBS D5:D86</x:v>
      </x:c>
    </x:row>
    <x:row r="136" ht="125" customHeight="1">
      <x:c r="A136" s="269" t="str">
        <x:v>FT-08</x:v>
      </x:c>
      <x:c r="B136" s="269" t="str">
        <x:v>User administration</x:v>
      </x:c>
      <x:c r="C136" s="269" t="str">
        <x:f>IF(OR($H$42="Iteration 3",$H$43="Iteration 3"),"Iteration 3",IF(OR($H$42="Iteration 2",$H$43="Iteration 2"),"Iteration 2","Iteration 1"))</x:f>
        <x:v>Iteration 3</x:v>
      </x:c>
      <x:c r="D136" s="269" t="str">
        <x:f>IF(AND($K$42="Done",$K$43="Done"),"Done",IF(OR($K$42="Done",$K$43="Done",$K$42="In Progress",$K$43="In Progress"),"In Progress","Not Started"))</x:f>
        <x:v>Not Started</x:v>
      </x:c>
      <x:c r="E136" s="269" t="str">
        <x:v>WBS-038, WBS-039</x:v>
      </x:c>
      <x:c r="F136" s="269" t="str">
        <x:v>HoangNV</x:v>
      </x:c>
      <x:c r="G136" s="269" t="str">
        <x:v>SRS FT table; current mapping in WBS D5:D86</x:v>
      </x:c>
    </x:row>
    <x:row r="137" ht="125" customHeight="1">
      <x:c r="A137" s="269" t="str">
        <x:v>FT-09</x:v>
      </x:c>
      <x:c r="B137" s="269" t="str">
        <x:v>Learning goal</x:v>
      </x:c>
      <x:c r="C137" s="269" t="str">
        <x:f>IF(OR($H$28="Iteration 3",$H$43="Iteration 3"),"Iteration 3",IF(OR($H$28="Iteration 2",$H$43="Iteration 2"),"Iteration 2","Iteration 1"))</x:f>
        <x:v>Iteration 3</x:v>
      </x:c>
      <x:c r="D137" s="269" t="str">
        <x:f>IF(AND($K$28="Done",$K$43="Done"),"Done",IF(OR($K$28="Done",$K$43="Done",$K$28="In Progress",$K$43="In Progress"),"In Progress","Not Started"))</x:f>
        <x:v>Not Started</x:v>
      </x:c>
      <x:c r="E137" s="269" t="str">
        <x:v>WBS-024, WBS-039</x:v>
      </x:c>
      <x:c r="F137" s="269" t="str">
        <x:v>SonLT, HoangNV</x:v>
      </x:c>
      <x:c r="G137" s="269" t="str">
        <x:v>SRS FT table; current mapping in WBS D5:D86</x:v>
      </x:c>
    </x:row>
    <x:row r="138" ht="125" customHeight="1">
      <x:c r="A138" s="269" t="str">
        <x:v>FT-10</x:v>
      </x:c>
      <x:c r="B138" s="269" t="str">
        <x:v>Plans &amp; subscriptions</x:v>
      </x:c>
      <x:c r="C138" s="269" t="str">
        <x:f>IF(OR($H$5="Iteration 3",$H$29="Iteration 3",$H$43="Iteration 3",$H$44="Iteration 3",$H$46="Iteration 3",$H$72="Iteration 3"),"Iteration 3",IF(OR($H$5="Iteration 2",$H$29="Iteration 2",$H$43="Iteration 2",$H$44="Iteration 2",$H$46="Iteration 2",$H$72="Iteration 2"),"Iteration 2","Iteration 1"))</x:f>
        <x:v>Iteration 3</x:v>
      </x:c>
      <x:c r="D138" s="269" t="str">
        <x:f>IF(AND($K$5="Done",$K$29="Done",$K$43="Done",$K$44="Done",$K$46="Done",$K$72="Done"),"Done",IF(OR($K$5="Done",$K$29="Done",$K$43="Done",$K$44="Done",$K$46="Done",$K$72="Done",$K$5="In Progress",$K$29="In Progress",$K$43="In Progress",$K$44="In Progress",$K$46="In Progress",$K$72="In Progress"),"In Progress","Not Started"))</x:f>
        <x:v>In Progress</x:v>
      </x:c>
      <x:c r="E138" s="269" t="str">
        <x:v>WBS-001, WBS-025, WBS-039, WBS-040, WBS-042, WBS-068</x:v>
      </x:c>
      <x:c r="F138" s="269" t="str">
        <x:v>HoangNV, TungVPH</x:v>
      </x:c>
      <x:c r="G138" s="269" t="str">
        <x:v>SRS FT table; current mapping in WBS D5:D86</x:v>
      </x:c>
    </x:row>
    <x:row r="139" ht="125" customHeight="1">
      <x:c r="A139" s="269" t="str">
        <x:v>FT-11</x:v>
      </x:c>
      <x:c r="B139" s="269" t="str">
        <x:v>Activation keys</x:v>
      </x:c>
      <x:c r="C139" s="269" t="str">
        <x:f>IF(OR($H$5="Iteration 3",$H$29="Iteration 3",$H$45="Iteration 3",$H$72="Iteration 3"),"Iteration 3",IF(OR($H$5="Iteration 2",$H$29="Iteration 2",$H$45="Iteration 2",$H$72="Iteration 2"),"Iteration 2","Iteration 1"))</x:f>
        <x:v>Iteration 3</x:v>
      </x:c>
      <x:c r="D139" s="269" t="str">
        <x:f>IF(AND($K$5="Done",$K$29="Done",$K$45="Done",$K$72="Done"),"Done",IF(OR($K$5="Done",$K$29="Done",$K$45="Done",$K$72="Done",$K$5="In Progress",$K$29="In Progress",$K$45="In Progress",$K$72="In Progress"),"In Progress","Not Started"))</x:f>
        <x:v>In Progress</x:v>
      </x:c>
      <x:c r="E139" s="269" t="str">
        <x:v>WBS-001, WBS-025, WBS-041, WBS-068</x:v>
      </x:c>
      <x:c r="F139" s="269" t="str">
        <x:v>HoangNV, TungVPH</x:v>
      </x:c>
      <x:c r="G139" s="269" t="str">
        <x:v>SRS FT table; current mapping in WBS D5:D86</x:v>
      </x:c>
    </x:row>
    <x:row r="140" ht="125" customHeight="1">
      <x:c r="A140" s="269" t="str">
        <x:v>FT-12</x:v>
      </x:c>
      <x:c r="B140" s="269" t="str">
        <x:v>Point wallet</x:v>
      </x:c>
      <x:c r="C140" s="269" t="str">
        <x:f>IF(OR($H$5="Iteration 3",$H$15="Iteration 3",$H$29="Iteration 3",$H$43="Iteration 3",$H$46="Iteration 3",$H$72="Iteration 3"),"Iteration 3",IF(OR($H$5="Iteration 2",$H$15="Iteration 2",$H$29="Iteration 2",$H$43="Iteration 2",$H$46="Iteration 2",$H$72="Iteration 2"),"Iteration 2","Iteration 1"))</x:f>
        <x:v>Iteration 3</x:v>
      </x:c>
      <x:c r="D140" s="269" t="str">
        <x:f>IF(AND($K$5="Done",$K$15="Done",$K$29="Done",$K$43="Done",$K$46="Done",$K$72="Done"),"Done",IF(OR($K$5="Done",$K$15="Done",$K$29="Done",$K$43="Done",$K$46="Done",$K$72="Done",$K$5="In Progress",$K$15="In Progress",$K$29="In Progress",$K$43="In Progress",$K$46="In Progress",$K$72="In Progress"),"In Progress","Not Started"))</x:f>
        <x:v>In Progress</x:v>
      </x:c>
      <x:c r="E140" s="269" t="str">
        <x:v>WBS-001, WBS-011, WBS-025, WBS-039, WBS-042, WBS-068</x:v>
      </x:c>
      <x:c r="F140" s="269" t="str">
        <x:v>HoangNV, TungVPH</x:v>
      </x:c>
      <x:c r="G140" s="269" t="str">
        <x:v>SRS FT table; current mapping in WBS D5:D86</x:v>
      </x:c>
    </x:row>
    <x:row r="141" ht="125" customHeight="1">
      <x:c r="A141" s="269" t="str">
        <x:v>FT-13</x:v>
      </x:c>
      <x:c r="B141" s="269" t="str">
        <x:v>Premium content access</x:v>
      </x:c>
      <x:c r="C141" s="269" t="str">
        <x:f>IF(OR($H$12="Iteration 3",$H$43="Iteration 3"),"Iteration 3",IF(OR($H$12="Iteration 2",$H$43="Iteration 2"),"Iteration 2","Iteration 1"))</x:f>
        <x:v>Iteration 3</x:v>
      </x:c>
      <x:c r="D141" s="269" t="str">
        <x:f>IF(AND($K$12="Done",$K$43="Done"),"Done",IF(OR($K$12="Done",$K$43="Done",$K$12="In Progress",$K$43="In Progress"),"In Progress","Not Started"))</x:f>
        <x:v>In Progress</x:v>
      </x:c>
      <x:c r="E141" s="269" t="str">
        <x:v>WBS-008, WBS-039</x:v>
      </x:c>
      <x:c r="F141" s="269" t="str">
        <x:v>HoangNV</x:v>
      </x:c>
      <x:c r="G141" s="269" t="str">
        <x:v>SRS FT table; current mapping in WBS D5:D86</x:v>
      </x:c>
    </x:row>
    <x:row r="142" ht="125" customHeight="1">
      <x:c r="A142" s="269" t="str">
        <x:v>FT-14</x:v>
      </x:c>
      <x:c r="B142" s="269" t="str">
        <x:v>Examiner grading credits</x:v>
      </x:c>
      <x:c r="C142" s="269" t="str">
        <x:f>IF(OR($H$21="Iteration 3",$H$29="Iteration 3",$H$44="Iteration 3",$H$46="Iteration 3",$H$72="Iteration 3"),"Iteration 3",IF(OR($H$21="Iteration 2",$H$29="Iteration 2",$H$44="Iteration 2",$H$46="Iteration 2",$H$72="Iteration 2"),"Iteration 2","Iteration 1"))</x:f>
        <x:v>Iteration 3</x:v>
      </x:c>
      <x:c r="D142" s="269" t="str">
        <x:f>IF(AND($K$21="Done",$K$29="Done",$K$44="Done",$K$46="Done",$K$72="Done"),"Done",IF(OR($K$21="Done",$K$29="Done",$K$44="Done",$K$46="Done",$K$72="Done",$K$21="In Progress",$K$29="In Progress",$K$44="In Progress",$K$46="In Progress",$K$72="In Progress"),"In Progress","Not Started"))</x:f>
        <x:v>In Progress</x:v>
      </x:c>
      <x:c r="E142" s="269" t="str">
        <x:v>WBS-017, WBS-025, WBS-040, WBS-042, WBS-068</x:v>
      </x:c>
      <x:c r="F142" s="269" t="str">
        <x:v>HoangNV, TungVPH</x:v>
      </x:c>
      <x:c r="G142" s="269" t="str">
        <x:v>SRS FT table; current mapping in WBS D5:D86</x:v>
      </x:c>
    </x:row>
    <x:row r="143" ht="125" customHeight="1">
      <x:c r="A143" s="269" t="str">
        <x:v>FT-15</x:v>
      </x:c>
      <x:c r="B143" s="269" t="str">
        <x:v>Courses, topics &amp; knowledge points</x:v>
      </x:c>
      <x:c r="C143" s="269" t="str">
        <x:f>IF(OR($H$47="Iteration 3",$H$70="Iteration 3",$H$76="Iteration 3"),"Iteration 3",IF(OR($H$47="Iteration 2",$H$70="Iteration 2",$H$76="Iteration 2"),"Iteration 2","Iteration 1"))</x:f>
        <x:v>Iteration 3</x:v>
      </x:c>
      <x:c r="D143" s="269" t="str">
        <x:f>IF(AND($K$47="Done",$K$70="Done",$K$76="Done"),"Done",IF(OR($K$47="Done",$K$70="Done",$K$76="Done",$K$47="In Progress",$K$70="In Progress",$K$76="In Progress"),"In Progress","Not Started"))</x:f>
        <x:v>In Progress</x:v>
      </x:c>
      <x:c r="E143" s="269" t="str">
        <x:v>WBS-043, WBS-066, WBS-072</x:v>
      </x:c>
      <x:c r="F143" s="269" t="str">
        <x:v>HoangNV, TungVPH, HieuLT</x:v>
      </x:c>
      <x:c r="G143" s="269" t="str">
        <x:v>SRS FT table; current mapping in WBS D5:D86</x:v>
      </x:c>
    </x:row>
    <x:row r="144" ht="125" customHeight="1">
      <x:c r="A144" s="269" t="str">
        <x:v>FT-16</x:v>
      </x:c>
      <x:c r="B144" s="269" t="str">
        <x:v>Question bank</x:v>
      </x:c>
      <x:c r="C144" s="269" t="str">
        <x:f>IF(OR($H$48="Iteration 3",$H$70="Iteration 3"),"Iteration 3",IF(OR($H$48="Iteration 2",$H$70="Iteration 2"),"Iteration 2","Iteration 1"))</x:f>
        <x:v>Iteration 3</x:v>
      </x:c>
      <x:c r="D144" s="269" t="str">
        <x:f>IF(AND($K$48="Done",$K$70="Done"),"Done",IF(OR($K$48="Done",$K$70="Done",$K$48="In Progress",$K$70="In Progress"),"In Progress","Not Started"))</x:f>
        <x:v>In Progress</x:v>
      </x:c>
      <x:c r="E144" s="269" t="str">
        <x:v>WBS-044, WBS-066</x:v>
      </x:c>
      <x:c r="F144" s="269" t="str">
        <x:v>HoangNV, TungVPH</x:v>
      </x:c>
      <x:c r="G144" s="269" t="str">
        <x:v>SRS FT table; current mapping in WBS D5:D86</x:v>
      </x:c>
    </x:row>
    <x:row r="145" ht="125" customHeight="1">
      <x:c r="A145" s="269" t="str">
        <x:v>FT-17</x:v>
      </x:c>
      <x:c r="B145" s="269" t="str">
        <x:v>Content packages &amp; publishing</x:v>
      </x:c>
      <x:c r="C145" s="269" t="str">
        <x:f>IF(OR($H$49="Iteration 3",$H$70="Iteration 3"),"Iteration 3",IF(OR($H$49="Iteration 2",$H$70="Iteration 2"),"Iteration 2","Iteration 1"))</x:f>
        <x:v>Iteration 3</x:v>
      </x:c>
      <x:c r="D145" s="269" t="str">
        <x:f>IF(AND($K$49="Done",$K$70="Done"),"Done",IF(OR($K$49="Done",$K$70="Done",$K$49="In Progress",$K$70="In Progress"),"In Progress","Not Started"))</x:f>
        <x:v>In Progress</x:v>
      </x:c>
      <x:c r="E145" s="269" t="str">
        <x:v>WBS-045, WBS-066</x:v>
      </x:c>
      <x:c r="F145" s="269" t="str">
        <x:v>HoangNV, TungVPH</x:v>
      </x:c>
      <x:c r="G145" s="269" t="str">
        <x:v>SRS FT table; current mapping in WBS D5:D86</x:v>
      </x:c>
    </x:row>
    <x:row r="146" ht="125" customHeight="1">
      <x:c r="A146" s="269" t="str">
        <x:v>FT-18</x:v>
      </x:c>
      <x:c r="B146" s="269" t="str">
        <x:v>Media assets</x:v>
      </x:c>
      <x:c r="C146" s="269" t="str">
        <x:f>IF(OR($H$50="Iteration 3",$H$70="Iteration 3"),"Iteration 3",IF(OR($H$50="Iteration 2",$H$70="Iteration 2"),"Iteration 2","Iteration 1"))</x:f>
        <x:v>Iteration 3</x:v>
      </x:c>
      <x:c r="D146" s="269" t="str">
        <x:f>IF(AND($K$50="Done",$K$70="Done"),"Done",IF(OR($K$50="Done",$K$70="Done",$K$50="In Progress",$K$70="In Progress"),"In Progress","Not Started"))</x:f>
        <x:v>In Progress</x:v>
      </x:c>
      <x:c r="E146" s="269" t="str">
        <x:v>WBS-046, WBS-066</x:v>
      </x:c>
      <x:c r="F146" s="269" t="str">
        <x:v>HoangNV, TungVPH</x:v>
      </x:c>
      <x:c r="G146" s="269" t="str">
        <x:v>SRS FT table; current mapping in WBS D5:D86</x:v>
      </x:c>
    </x:row>
    <x:row r="147" ht="125" customHeight="1">
      <x:c r="A147" s="269" t="str">
        <x:v>FT-19</x:v>
      </x:c>
      <x:c r="B147" s="269" t="str">
        <x:v>Lesson authoring</x:v>
      </x:c>
      <x:c r="C147" s="269" t="str">
        <x:f>IF(OR($H$51="Iteration 3"),"Iteration 3",IF(OR($H$51="Iteration 2"),"Iteration 2","Iteration 1"))</x:f>
        <x:v>Iteration 3</x:v>
      </x:c>
      <x:c r="D147" s="269" t="str">
        <x:f>IF(AND($K$51="Done"),"Done",IF(OR($K$51="Done",$K$51="In Progress"),"In Progress","Not Started"))</x:f>
        <x:v>Not Started</x:v>
      </x:c>
      <x:c r="E147" s="269" t="str">
        <x:v>WBS-047</x:v>
      </x:c>
      <x:c r="F147" s="269" t="str">
        <x:v>HoangNV</x:v>
      </x:c>
      <x:c r="G147" s="269" t="str">
        <x:v>SRS FT table; current mapping in WBS D5:D86</x:v>
      </x:c>
    </x:row>
    <x:row r="148" ht="125" customHeight="1">
      <x:c r="A148" s="269" t="str">
        <x:v>FT-20</x:v>
      </x:c>
      <x:c r="B148" s="269" t="str">
        <x:v>Course-based learning path</x:v>
      </x:c>
      <x:c r="C148" s="269" t="str">
        <x:f>IF(OR($H$12="Iteration 3",$H$13="Iteration 3",$H$74="Iteration 3",$H$76="Iteration 3",$H$77="Iteration 3"),"Iteration 3",IF(OR($H$12="Iteration 2",$H$13="Iteration 2",$H$74="Iteration 2",$H$76="Iteration 2",$H$77="Iteration 2"),"Iteration 2","Iteration 1"))</x:f>
        <x:v>Iteration 2</x:v>
      </x:c>
      <x:c r="D148" s="269" t="str">
        <x:f>IF(AND($K$12="Done",$K$13="Done",$K$74="Done",$K$76="Done",$K$77="Done"),"Done",IF(OR($K$12="Done",$K$13="Done",$K$74="Done",$K$76="Done",$K$77="Done",$K$12="In Progress",$K$13="In Progress",$K$74="In Progress",$K$76="In Progress",$K$77="In Progress"),"In Progress","Not Started"))</x:f>
        <x:v>In Progress</x:v>
      </x:c>
      <x:c r="E148" s="269" t="str">
        <x:v>WBS-008, WBS-009, WBS-070, WBS-072, WBS-073</x:v>
      </x:c>
      <x:c r="F148" s="269" t="str">
        <x:v>HoangNV, HieuLT</x:v>
      </x:c>
      <x:c r="G148" s="269" t="str">
        <x:v>SRS FT table; current mapping in WBS D5:D86</x:v>
      </x:c>
    </x:row>
    <x:row r="149" ht="125" customHeight="1">
      <x:c r="A149" s="269" t="str">
        <x:v>FT-21</x:v>
      </x:c>
      <x:c r="B149" s="269" t="str">
        <x:v>Lesson access gates &amp; delivery</x:v>
      </x:c>
      <x:c r="C149" s="269" t="str">
        <x:f>IF(OR($H$13="Iteration 3",$H$14="Iteration 3",$H$74="Iteration 3",$H$78="Iteration 3",$H$79="Iteration 3"),"Iteration 3",IF(OR($H$13="Iteration 2",$H$14="Iteration 2",$H$74="Iteration 2",$H$78="Iteration 2",$H$79="Iteration 2"),"Iteration 2","Iteration 1"))</x:f>
        <x:v>Iteration 2</x:v>
      </x:c>
      <x:c r="D149" s="269" t="str">
        <x:f>IF(AND($K$13="Done",$K$14="Done",$K$74="Done",$K$78="Done",$K$79="Done"),"Done",IF(OR($K$13="Done",$K$14="Done",$K$74="Done",$K$78="Done",$K$79="Done",$K$13="In Progress",$K$14="In Progress",$K$74="In Progress",$K$78="In Progress",$K$79="In Progress"),"In Progress","Not Started"))</x:f>
        <x:v>In Progress</x:v>
      </x:c>
      <x:c r="E149" s="269" t="str">
        <x:v>WBS-009, WBS-010, WBS-070, WBS-074, WBS-075</x:v>
      </x:c>
      <x:c r="F149" s="269" t="str">
        <x:v>HoangNV, HieuLT</x:v>
      </x:c>
      <x:c r="G149" s="269" t="str">
        <x:v>SRS FT table; current mapping in WBS D5:D86</x:v>
      </x:c>
    </x:row>
    <x:row r="150" ht="125" customHeight="1">
      <x:c r="A150" s="269" t="str">
        <x:v>FT-22</x:v>
      </x:c>
      <x:c r="B150" s="269" t="str">
        <x:v>Exercise grading &amp; evidence</x:v>
      </x:c>
      <x:c r="C150" s="269" t="str">
        <x:f>IF(OR($H$14="Iteration 3",$H$74="Iteration 3"),"Iteration 3",IF(OR($H$14="Iteration 2",$H$74="Iteration 2"),"Iteration 2","Iteration 1"))</x:f>
        <x:v>Iteration 1</x:v>
      </x:c>
      <x:c r="D150" s="269" t="str">
        <x:f>IF(AND($K$14="Done",$K$74="Done"),"Done",IF(OR($K$14="Done",$K$74="Done",$K$14="In Progress",$K$74="In Progress"),"In Progress","Not Started"))</x:f>
        <x:v>In Progress</x:v>
      </x:c>
      <x:c r="E150" s="269" t="str">
        <x:v>WBS-010, WBS-070</x:v>
      </x:c>
      <x:c r="F150" s="269" t="str">
        <x:v>HoangNV, HieuLT</x:v>
      </x:c>
      <x:c r="G150" s="269" t="str">
        <x:v>SRS FT table; current mapping in WBS D5:D86</x:v>
      </x:c>
    </x:row>
    <x:row r="151" ht="125" customHeight="1">
      <x:c r="A151" s="269" t="str">
        <x:v>FT-23</x:v>
      </x:c>
      <x:c r="B151" s="269" t="str">
        <x:v>Hints for wrong answers</x:v>
      </x:c>
      <x:c r="C151" s="269" t="str">
        <x:f>IF(OR($H$14="Iteration 3",$H$16="Iteration 3",$H$18="Iteration 3"),"Iteration 3",IF(OR($H$14="Iteration 2",$H$16="Iteration 2",$H$18="Iteration 2"),"Iteration 2","Iteration 1"))</x:f>
        <x:v>Iteration 1</x:v>
      </x:c>
      <x:c r="D151" s="269" t="str">
        <x:f>IF(AND($K$14="Done",$K$16="Done",$K$18="Done"),"Done",IF(OR($K$14="Done",$K$16="Done",$K$18="Done",$K$14="In Progress",$K$16="In Progress",$K$18="In Progress"),"In Progress","Not Started"))</x:f>
        <x:v>In Progress</x:v>
      </x:c>
      <x:c r="E151" s="269" t="str">
        <x:v>WBS-010, WBS-012, WBS-014</x:v>
      </x:c>
      <x:c r="F151" s="269" t="str">
        <x:v>HoangNV</x:v>
      </x:c>
      <x:c r="G151" s="269" t="str">
        <x:v>SRS FT table; current mapping in WBS D5:D86</x:v>
      </x:c>
    </x:row>
    <x:row r="152" ht="125" customHeight="1">
      <x:c r="A152" s="269" t="str">
        <x:v>FT-24</x:v>
      </x:c>
      <x:c r="B152" s="269" t="str">
        <x:v>Listening audio &amp; transcripts</x:v>
      </x:c>
      <x:c r="C152" s="269" t="str">
        <x:f>IF(OR($H$14="Iteration 3",$H$16="Iteration 3",$H$18="Iteration 3",$H$20="Iteration 3",$H$21="Iteration 3",$H$50="Iteration 3"),"Iteration 3",IF(OR($H$14="Iteration 2",$H$16="Iteration 2",$H$18="Iteration 2",$H$20="Iteration 2",$H$21="Iteration 2",$H$50="Iteration 2"),"Iteration 2","Iteration 1"))</x:f>
        <x:v>Iteration 3</x:v>
      </x:c>
      <x:c r="D152" s="269" t="str">
        <x:f>IF(AND($K$14="Done",$K$16="Done",$K$18="Done",$K$20="Done",$K$21="Done",$K$50="Done"),"Done",IF(OR($K$14="Done",$K$16="Done",$K$18="Done",$K$20="Done",$K$21="Done",$K$50="Done",$K$14="In Progress",$K$16="In Progress",$K$18="In Progress",$K$20="In Progress",$K$21="In Progress",$K$50="In Progress"),"In Progress","Not Started"))</x:f>
        <x:v>In Progress</x:v>
      </x:c>
      <x:c r="E152" s="269" t="str">
        <x:v>WBS-010, WBS-012, WBS-014, WBS-016, WBS-017, WBS-046</x:v>
      </x:c>
      <x:c r="F152" s="269" t="str">
        <x:v>HoangNV</x:v>
      </x:c>
      <x:c r="G152" s="269" t="str">
        <x:v>SRS FT table; current mapping in WBS D5:D86</x:v>
      </x:c>
    </x:row>
    <x:row r="153" ht="125" customHeight="1">
      <x:c r="A153" s="269" t="str">
        <x:v>FT-25</x:v>
      </x:c>
      <x:c r="B153" s="269" t="str">
        <x:v>Writing task grading</x:v>
      </x:c>
      <x:c r="C153" s="269" t="str">
        <x:f>IF(OR($H$14="Iteration 3",$H$15="Iteration 3"),"Iteration 3",IF(OR($H$14="Iteration 2",$H$15="Iteration 2"),"Iteration 2","Iteration 1"))</x:f>
        <x:v>Iteration 1</x:v>
      </x:c>
      <x:c r="D153" s="269" t="str">
        <x:f>IF(AND($K$14="Done",$K$15="Done"),"Done",IF(OR($K$14="Done",$K$15="Done",$K$14="In Progress",$K$15="In Progress"),"In Progress","Not Started"))</x:f>
        <x:v>In Progress</x:v>
      </x:c>
      <x:c r="E153" s="269" t="str">
        <x:v>WBS-010, WBS-011</x:v>
      </x:c>
      <x:c r="F153" s="269" t="str">
        <x:v>HoangNV</x:v>
      </x:c>
      <x:c r="G153" s="269" t="str">
        <x:v>SRS FT table; current mapping in WBS D5:D86</x:v>
      </x:c>
    </x:row>
    <x:row r="154" ht="125" customHeight="1">
      <x:c r="A154" s="269" t="str">
        <x:v>FT-26</x:v>
      </x:c>
      <x:c r="B154" s="269" t="str">
        <x:v>Knowledge-point mastery</x:v>
      </x:c>
      <x:c r="C154" s="269" t="str">
        <x:f>IF(OR($H$11="Iteration 3",$H$16="Iteration 3",$H$18="Iteration 3",$H$19="Iteration 3",$H$63="Iteration 3"),"Iteration 3",IF(OR($H$11="Iteration 2",$H$16="Iteration 2",$H$18="Iteration 2",$H$19="Iteration 2",$H$63="Iteration 2"),"Iteration 2","Iteration 1"))</x:f>
        <x:v>Iteration 2</x:v>
      </x:c>
      <x:c r="D154" s="269" t="str">
        <x:f>IF(AND($K$11="Done",$K$16="Done",$K$18="Done",$K$19="Done",$K$63="Done"),"Done",IF(OR($K$11="Done",$K$16="Done",$K$18="Done",$K$19="Done",$K$63="Done",$K$11="In Progress",$K$16="In Progress",$K$18="In Progress",$K$19="In Progress",$K$63="In Progress"),"In Progress","Not Started"))</x:f>
        <x:v>In Progress</x:v>
      </x:c>
      <x:c r="E154" s="269" t="str">
        <x:v>WBS-007, WBS-012, WBS-014, WBS-015, WBS-059</x:v>
      </x:c>
      <x:c r="F154" s="269" t="str">
        <x:v>SonLT, HoangNV, HieuLT</x:v>
      </x:c>
      <x:c r="G154" s="269" t="str">
        <x:v>SRS FT table; current mapping in WBS D5:D86</x:v>
      </x:c>
    </x:row>
    <x:row r="155" ht="125" customHeight="1">
      <x:c r="A155" s="269" t="str">
        <x:v>FT-27</x:v>
      </x:c>
      <x:c r="B155" s="269" t="str">
        <x:v>Lesson practice</x:v>
      </x:c>
      <x:c r="C155" s="269" t="str">
        <x:f>IF(OR($H$13="Iteration 3",$H$16="Iteration 3",$H$78="Iteration 3",$H$79="Iteration 3"),"Iteration 3",IF(OR($H$13="Iteration 2",$H$16="Iteration 2",$H$78="Iteration 2",$H$79="Iteration 2"),"Iteration 2","Iteration 1"))</x:f>
        <x:v>Iteration 2</x:v>
      </x:c>
      <x:c r="D155" s="269" t="str">
        <x:f>IF(AND($K$13="Done",$K$16="Done",$K$78="Done",$K$79="Done"),"Done",IF(OR($K$13="Done",$K$16="Done",$K$78="Done",$K$79="Done",$K$13="In Progress",$K$16="In Progress",$K$78="In Progress",$K$79="In Progress"),"In Progress","Not Started"))</x:f>
        <x:v>In Progress</x:v>
      </x:c>
      <x:c r="E155" s="269" t="str">
        <x:v>WBS-009, WBS-012, WBS-074, WBS-075</x:v>
      </x:c>
      <x:c r="F155" s="269" t="str">
        <x:v>HoangNV, HieuLT</x:v>
      </x:c>
      <x:c r="G155" s="269" t="str">
        <x:v>SRS FT table; current mapping in WBS D5:D86</x:v>
      </x:c>
    </x:row>
    <x:row r="156" ht="125" customHeight="1">
      <x:c r="A156" s="269" t="str">
        <x:v>FT-28</x:v>
      </x:c>
      <x:c r="B156" s="269" t="str">
        <x:v>Review ladder</x:v>
      </x:c>
      <x:c r="C156" s="269" t="str">
        <x:f>IF(OR($H$12="Iteration 3",$H$17="Iteration 3",$H$18="Iteration 3"),"Iteration 3",IF(OR($H$12="Iteration 2",$H$17="Iteration 2",$H$18="Iteration 2"),"Iteration 2","Iteration 1"))</x:f>
        <x:v>Iteration 2</x:v>
      </x:c>
      <x:c r="D156" s="269" t="str">
        <x:f>IF(AND($K$12="Done",$K$17="Done",$K$18="Done"),"Done",IF(OR($K$12="Done",$K$17="Done",$K$18="Done",$K$12="In Progress",$K$17="In Progress",$K$18="In Progress"),"In Progress","Not Started"))</x:f>
        <x:v>In Progress</x:v>
      </x:c>
      <x:c r="E156" s="269" t="str">
        <x:v>WBS-008, WBS-013, WBS-014</x:v>
      </x:c>
      <x:c r="F156" s="269" t="str">
        <x:v>HoangNV</x:v>
      </x:c>
      <x:c r="G156" s="269" t="str">
        <x:v>SRS FT table; current mapping in WBS D5:D86</x:v>
      </x:c>
    </x:row>
    <x:row r="157" ht="125" customHeight="1">
      <x:c r="A157" s="269" t="str">
        <x:v>FT-29</x:v>
      </x:c>
      <x:c r="B157" s="269" t="str">
        <x:v>Topic final test assignment &amp; completion</x:v>
      </x:c>
      <x:c r="C157" s="269" t="str">
        <x:f>IF(OR($H$13="Iteration 3",$H$21="Iteration 3",$H$62="Iteration 3",$H$63="Iteration 3"),"Iteration 3",IF(OR($H$13="Iteration 2",$H$21="Iteration 2",$H$62="Iteration 2",$H$63="Iteration 2"),"Iteration 2","Iteration 1"))</x:f>
        <x:v>Iteration 1</x:v>
      </x:c>
      <x:c r="D157" s="269" t="str">
        <x:f>IF(AND($K$13="Done",$K$21="Done",$K$62="Done",$K$63="Done"),"Done",IF(OR($K$13="Done",$K$21="Done",$K$62="Done",$K$63="Done",$K$13="In Progress",$K$21="In Progress",$K$62="In Progress",$K$63="In Progress"),"In Progress","Not Started"))</x:f>
        <x:v>In Progress</x:v>
      </x:c>
      <x:c r="E157" s="269" t="str">
        <x:v>WBS-009, WBS-017, WBS-058, WBS-059</x:v>
      </x:c>
      <x:c r="F157" s="269" t="str">
        <x:v>HoangNV, PhuPD, HieuLT</x:v>
      </x:c>
      <x:c r="G157" s="269" t="str">
        <x:v>SRS FT table; current mapping in WBS D5:D86</x:v>
      </x:c>
    </x:row>
    <x:row r="158" ht="125" customHeight="1">
      <x:c r="A158" s="269" t="str">
        <x:v>FT-30</x:v>
      </x:c>
      <x:c r="B158" s="269" t="str">
        <x:v>Test attempts &amp; responses</x:v>
      </x:c>
      <x:c r="C158" s="269" t="str">
        <x:f>IF(OR($H$20="Iteration 3",$H$71="Iteration 3"),"Iteration 3",IF(OR($H$20="Iteration 2",$H$71="Iteration 2"),"Iteration 2","Iteration 1"))</x:f>
        <x:v>Iteration 1</x:v>
      </x:c>
      <x:c r="D158" s="269" t="str">
        <x:f>IF(AND($K$20="Done",$K$71="Done"),"Done",IF(OR($K$20="Done",$K$71="Done",$K$20="In Progress",$K$71="In Progress"),"In Progress","Not Started"))</x:f>
        <x:v>In Progress</x:v>
      </x:c>
      <x:c r="E158" s="269" t="str">
        <x:v>WBS-016, WBS-067</x:v>
      </x:c>
      <x:c r="F158" s="269" t="str">
        <x:v>HoangNV, PhuPD</x:v>
      </x:c>
      <x:c r="G158" s="269" t="str">
        <x:v>SRS FT table; current mapping in WBS D5:D86</x:v>
      </x:c>
    </x:row>
    <x:row r="159" ht="125" customHeight="1">
      <x:c r="A159" s="269" t="str">
        <x:v>FT-31</x:v>
      </x:c>
      <x:c r="B159" s="269" t="str">
        <x:v>Auto-grading &amp; results</x:v>
      </x:c>
      <x:c r="C159" s="269" t="str">
        <x:f>IF(OR($H$20="Iteration 3",$H$21="Iteration 3",$H$62="Iteration 3",$H$71="Iteration 3",$H$78="Iteration 3",$H$79="Iteration 3"),"Iteration 3",IF(OR($H$20="Iteration 2",$H$21="Iteration 2",$H$62="Iteration 2",$H$71="Iteration 2",$H$78="Iteration 2",$H$79="Iteration 2"),"Iteration 2","Iteration 1"))</x:f>
        <x:v>Iteration 2</x:v>
      </x:c>
      <x:c r="D159" s="269" t="str">
        <x:f>IF(AND($K$20="Done",$K$21="Done",$K$62="Done",$K$71="Done",$K$78="Done",$K$79="Done"),"Done",IF(OR($K$20="Done",$K$21="Done",$K$62="Done",$K$71="Done",$K$78="Done",$K$79="Done",$K$20="In Progress",$K$21="In Progress",$K$62="In Progress",$K$71="In Progress",$K$78="In Progress",$K$79="In Progress"),"In Progress","Not Started"))</x:f>
        <x:v>In Progress</x:v>
      </x:c>
      <x:c r="E159" s="269" t="str">
        <x:v>WBS-016, WBS-017, WBS-058, WBS-067, WBS-074, WBS-075</x:v>
      </x:c>
      <x:c r="F159" s="269" t="str">
        <x:v>HoangNV, PhuPD, HieuLT</x:v>
      </x:c>
      <x:c r="G159" s="269" t="str">
        <x:v>SRS FT table; current mapping in WBS D5:D86</x:v>
      </x:c>
    </x:row>
    <x:row r="160" ht="125" customHeight="1">
      <x:c r="A160" s="269" t="str">
        <x:v>FT-32</x:v>
      </x:c>
      <x:c r="B160" s="269" t="str">
        <x:v>Examiner grading</x:v>
      </x:c>
      <x:c r="C160" s="269" t="str">
        <x:f>IF(OR($H$54="Iteration 3",$H$62="Iteration 3",$H$71="Iteration 3"),"Iteration 3",IF(OR($H$54="Iteration 2",$H$62="Iteration 2",$H$71="Iteration 2"),"Iteration 2","Iteration 1"))</x:f>
        <x:v>Iteration 3</x:v>
      </x:c>
      <x:c r="D160" s="269" t="str">
        <x:f>IF(AND($K$54="Done",$K$62="Done",$K$71="Done"),"Done",IF(OR($K$54="Done",$K$62="Done",$K$71="Done",$K$54="In Progress",$K$62="In Progress",$K$71="In Progress"),"In Progress","Not Started"))</x:f>
        <x:v>In Progress</x:v>
      </x:c>
      <x:c r="E160" s="269" t="str">
        <x:v>WBS-050, WBS-058, WBS-067</x:v>
      </x:c>
      <x:c r="F160" s="269" t="str">
        <x:v>HoangNV, PhuPD</x:v>
      </x:c>
      <x:c r="G160" s="269" t="str">
        <x:v>SRS FT table; current mapping in WBS D5:D86</x:v>
      </x:c>
    </x:row>
    <x:row r="161" ht="125" customHeight="1">
      <x:c r="A161" s="269" t="str">
        <x:v>FT-33</x:v>
      </x:c>
      <x:c r="B161" s="269" t="str">
        <x:v>AI grading jobs</x:v>
      </x:c>
      <x:c r="C161" s="269" t="str">
        <x:f>IF(OR($H$21="Iteration 3",$H$64="Iteration 3",$H$78="Iteration 3",$H$79="Iteration 3"),"Iteration 3",IF(OR($H$21="Iteration 2",$H$64="Iteration 2",$H$78="Iteration 2",$H$79="Iteration 2"),"Iteration 2","Iteration 1"))</x:f>
        <x:v>Iteration 2</x:v>
      </x:c>
      <x:c r="D161" s="269" t="str">
        <x:f>IF(AND($K$21="Done",$K$64="Done",$K$78="Done",$K$79="Done"),"Done",IF(OR($K$21="Done",$K$64="Done",$K$78="Done",$K$79="Done",$K$21="In Progress",$K$64="In Progress",$K$78="In Progress",$K$79="In Progress"),"In Progress","Not Started"))</x:f>
        <x:v>In Progress</x:v>
      </x:c>
      <x:c r="E161" s="269" t="str">
        <x:v>WBS-017, WBS-060, WBS-074, WBS-075</x:v>
      </x:c>
      <x:c r="F161" s="269" t="str">
        <x:v>HoangNV, PhuPD, HieuLT</x:v>
      </x:c>
      <x:c r="G161" s="269" t="str">
        <x:v>SRS FT table; current mapping in WBS D5:D86</x:v>
      </x:c>
    </x:row>
    <x:row r="162" ht="125" customHeight="1">
      <x:c r="A162" s="269" t="str">
        <x:v>FT-34</x:v>
      </x:c>
      <x:c r="B162" s="269" t="str">
        <x:v>Mock test</x:v>
      </x:c>
      <x:c r="C162" s="269" t="str">
        <x:f>IF(OR($H$22="Iteration 3",$H$49="Iteration 3",$H$63="Iteration 3",$H$64="Iteration 3"),"Iteration 3",IF(OR($H$22="Iteration 2",$H$49="Iteration 2",$H$63="Iteration 2",$H$64="Iteration 2"),"Iteration 2","Iteration 1"))</x:f>
        <x:v>Iteration 3</x:v>
      </x:c>
      <x:c r="D162" s="269" t="str">
        <x:f>IF(AND($K$22="Done",$K$49="Done",$K$63="Done",$K$64="Done"),"Done",IF(OR($K$22="Done",$K$49="Done",$K$63="Done",$K$64="Done",$K$22="In Progress",$K$49="In Progress",$K$63="In Progress",$K$64="In Progress"),"In Progress","Not Started"))</x:f>
        <x:v>In Progress</x:v>
      </x:c>
      <x:c r="E162" s="269" t="str">
        <x:v>WBS-018, WBS-045, WBS-059, WBS-060</x:v>
      </x:c>
      <x:c r="F162" s="269" t="str">
        <x:v>HoangNV, HieuLT, PhuPD</x:v>
      </x:c>
      <x:c r="G162" s="269" t="str">
        <x:v>SRS FT table; current mapping in WBS D5:D86</x:v>
      </x:c>
    </x:row>
    <x:row r="163" ht="125" customHeight="1">
      <x:c r="A163" s="269" t="str">
        <x:v>FT-35</x:v>
      </x:c>
      <x:c r="B163" s="269" t="str">
        <x:v>Placement test</x:v>
      </x:c>
      <x:c r="C163" s="269" t="str">
        <x:f>IF(OR($H$22="Iteration 3",$H$28="Iteration 3",$H$49="Iteration 3",$H$63="Iteration 3"),"Iteration 3",IF(OR($H$22="Iteration 2",$H$28="Iteration 2",$H$49="Iteration 2",$H$63="Iteration 2"),"Iteration 2","Iteration 1"))</x:f>
        <x:v>Iteration 3</x:v>
      </x:c>
      <x:c r="D163" s="269" t="str">
        <x:f>IF(AND($K$22="Done",$K$28="Done",$K$49="Done",$K$63="Done"),"Done",IF(OR($K$22="Done",$K$28="Done",$K$49="Done",$K$63="Done",$K$22="In Progress",$K$28="In Progress",$K$49="In Progress",$K$63="In Progress"),"In Progress","Not Started"))</x:f>
        <x:v>In Progress</x:v>
      </x:c>
      <x:c r="E163" s="269" t="str">
        <x:v>WBS-018, WBS-024, WBS-045, WBS-059</x:v>
      </x:c>
      <x:c r="F163" s="269" t="str">
        <x:v>HoangNV, SonLT, HieuLT</x:v>
      </x:c>
      <x:c r="G163" s="269" t="str">
        <x:v>SRS FT table; current mapping in WBS D5:D86</x:v>
      </x:c>
    </x:row>
    <x:row r="164" ht="125" customHeight="1">
      <x:c r="A164" s="269" t="str">
        <x:v>FT-36</x:v>
      </x:c>
      <x:c r="B164" s="269" t="str">
        <x:v>Vocabulary catalog</x:v>
      </x:c>
      <x:c r="C164" s="269" t="str">
        <x:f>IF(OR($H$32="Iteration 3",$H$52="Iteration 3",$H$75="Iteration 3"),"Iteration 3",IF(OR($H$32="Iteration 2",$H$52="Iteration 2",$H$75="Iteration 2"),"Iteration 2","Iteration 1"))</x:f>
        <x:v>Iteration 3</x:v>
      </x:c>
      <x:c r="D164" s="269" t="str">
        <x:f>IF(AND($K$32="Done",$K$52="Done",$K$75="Done"),"Done",IF(OR($K$32="Done",$K$52="Done",$K$75="Done",$K$32="In Progress",$K$52="In Progress",$K$75="In Progress"),"In Progress","Not Started"))</x:f>
        <x:v>In Progress</x:v>
      </x:c>
      <x:c r="E164" s="269" t="str">
        <x:v>WBS-028, WBS-048, WBS-071</x:v>
      </x:c>
      <x:c r="F164" s="269" t="str">
        <x:v>SonLT, HoangNV</x:v>
      </x:c>
      <x:c r="G164" s="269" t="str">
        <x:v>SRS FT table; current mapping in WBS D5:D86</x:v>
      </x:c>
    </x:row>
    <x:row r="165" ht="125" customHeight="1">
      <x:c r="A165" s="269" t="str">
        <x:v>FT-37</x:v>
      </x:c>
      <x:c r="B165" s="269" t="str">
        <x:v>Video catalog</x:v>
      </x:c>
      <x:c r="C165" s="269" t="str">
        <x:f>IF(OR($H$33="Iteration 3",$H$34="Iteration 3",$H$53="Iteration 3",$H$75="Iteration 3"),"Iteration 3",IF(OR($H$33="Iteration 2",$H$34="Iteration 2",$H$53="Iteration 2",$H$75="Iteration 2"),"Iteration 2","Iteration 1"))</x:f>
        <x:v>Iteration 3</x:v>
      </x:c>
      <x:c r="D165" s="269" t="str">
        <x:f>IF(AND($K$33="Done",$K$34="Done",$K$53="Done",$K$75="Done"),"Done",IF(OR($K$33="Done",$K$34="Done",$K$53="Done",$K$75="Done",$K$33="In Progress",$K$34="In Progress",$K$53="In Progress",$K$75="In Progress"),"In Progress","Not Started"))</x:f>
        <x:v>In Progress</x:v>
      </x:c>
      <x:c r="E165" s="269" t="str">
        <x:v>WBS-029, WBS-030, WBS-049, WBS-071</x:v>
      </x:c>
      <x:c r="F165" s="269" t="str">
        <x:v>SonLT, HoangNV</x:v>
      </x:c>
      <x:c r="G165" s="269" t="str">
        <x:v>SRS FT table; current mapping in WBS D5:D86</x:v>
      </x:c>
    </x:row>
    <x:row r="166" ht="125" customHeight="1">
      <x:c r="A166" s="269" t="str">
        <x:v>FT-38</x:v>
      </x:c>
      <x:c r="B166" s="269" t="str">
        <x:v>Video progress &amp; saved segments</x:v>
      </x:c>
      <x:c r="C166" s="269" t="str">
        <x:f>IF(OR($H$33="Iteration 3",$H$34="Iteration 3"),"Iteration 3",IF(OR($H$33="Iteration 2",$H$34="Iteration 2"),"Iteration 2","Iteration 1"))</x:f>
        <x:v>Iteration 2</x:v>
      </x:c>
      <x:c r="D166" s="269" t="str">
        <x:f>IF(AND($K$33="Done",$K$34="Done"),"Done",IF(OR($K$33="Done",$K$34="Done",$K$33="In Progress",$K$34="In Progress"),"In Progress","Not Started"))</x:f>
        <x:v>Not Started</x:v>
      </x:c>
      <x:c r="E166" s="269" t="str">
        <x:v>WBS-029, WBS-030</x:v>
      </x:c>
      <x:c r="F166" s="269" t="str">
        <x:v>SonLT</x:v>
      </x:c>
      <x:c r="G166" s="269" t="str">
        <x:v>SRS FT table; current mapping in WBS D5:D86</x:v>
      </x:c>
    </x:row>
    <x:row r="167" ht="125" customHeight="1">
      <x:c r="A167" s="269" t="str">
        <x:v>FT-39</x:v>
      </x:c>
      <x:c r="B167" s="269" t="str">
        <x:v>Speaking assessment</x:v>
      </x:c>
      <x:c r="C167" s="269" t="str">
        <x:f>IF(OR($H$34="Iteration 3",$H$64="Iteration 3"),"Iteration 3",IF(OR($H$34="Iteration 2",$H$64="Iteration 2"),"Iteration 2","Iteration 1"))</x:f>
        <x:v>Iteration 2</x:v>
      </x:c>
      <x:c r="D167" s="269" t="str">
        <x:f>IF(AND($K$34="Done",$K$64="Done"),"Done",IF(OR($K$34="Done",$K$64="Done",$K$34="In Progress",$K$64="In Progress"),"In Progress","Not Started"))</x:f>
        <x:v>In Progress</x:v>
      </x:c>
      <x:c r="E167" s="269" t="str">
        <x:v>WBS-030, WBS-060</x:v>
      </x:c>
      <x:c r="F167" s="269" t="str">
        <x:v>SonLT, PhuPD</x:v>
      </x:c>
      <x:c r="G167" s="269" t="str">
        <x:v>SRS FT table; current mapping in WBS D5:D86</x:v>
      </x:c>
    </x:row>
    <x:row r="168" ht="125" customHeight="1">
      <x:c r="A168" s="269" t="str">
        <x:v>FT-40</x:v>
      </x:c>
      <x:c r="B168" s="269" t="str">
        <x:v>Shadowing practice</x:v>
      </x:c>
      <x:c r="C168" s="269" t="str">
        <x:f>IF(OR($H$34="Iteration 3",$H$75="Iteration 3"),"Iteration 3",IF(OR($H$34="Iteration 2",$H$75="Iteration 2"),"Iteration 2","Iteration 1"))</x:f>
        <x:v>Iteration 2</x:v>
      </x:c>
      <x:c r="D168" s="269" t="str">
        <x:f>IF(AND($K$34="Done",$K$75="Done"),"Done",IF(OR($K$34="Done",$K$75="Done",$K$34="In Progress",$K$75="In Progress"),"In Progress","Not Started"))</x:f>
        <x:v>In Progress</x:v>
      </x:c>
      <x:c r="E168" s="269" t="str">
        <x:v>WBS-030, WBS-071</x:v>
      </x:c>
      <x:c r="F168" s="269" t="str">
        <x:v>SonLT</x:v>
      </x:c>
      <x:c r="G168" s="269" t="str">
        <x:v>SRS FT table; current mapping in WBS D5:D86</x:v>
      </x:c>
    </x:row>
    <x:row r="169" ht="125" customHeight="1">
      <x:c r="A169" s="269" t="str">
        <x:v>FT-41</x:v>
      </x:c>
      <x:c r="B169" s="269" t="str">
        <x:v>Dictation practice</x:v>
      </x:c>
      <x:c r="C169" s="269" t="str">
        <x:f>IF(OR($H$34="Iteration 3"),"Iteration 3",IF(OR($H$34="Iteration 2"),"Iteration 2","Iteration 1"))</x:f>
        <x:v>Iteration 2</x:v>
      </x:c>
      <x:c r="D169" s="269" t="str">
        <x:f>IF(AND($K$34="Done"),"Done",IF(OR($K$34="Done",$K$34="In Progress"),"In Progress","Not Started"))</x:f>
        <x:v>Not Started</x:v>
      </x:c>
      <x:c r="E169" s="269" t="str">
        <x:v>WBS-030</x:v>
      </x:c>
      <x:c r="F169" s="269" t="str">
        <x:v>SonLT</x:v>
      </x:c>
      <x:c r="G169" s="269" t="str">
        <x:v>SRS FT table; current mapping in WBS D5:D86</x:v>
      </x:c>
    </x:row>
    <x:row r="170" ht="125" customHeight="1">
      <x:c r="A170" s="269" t="str">
        <x:v>FT-42</x:v>
      </x:c>
      <x:c r="B170" s="269" t="str">
        <x:v>Notes</x:v>
      </x:c>
      <x:c r="C170" s="269" t="str">
        <x:f>IF(OR($H$35="Iteration 3",$H$75="Iteration 3"),"Iteration 3",IF(OR($H$35="Iteration 2",$H$75="Iteration 2"),"Iteration 2","Iteration 1"))</x:f>
        <x:v>Iteration 2</x:v>
      </x:c>
      <x:c r="D170" s="269" t="str">
        <x:f>IF(AND($K$35="Done",$K$75="Done"),"Done",IF(OR($K$35="Done",$K$75="Done",$K$35="In Progress",$K$75="In Progress"),"In Progress","Not Started"))</x:f>
        <x:v>In Progress</x:v>
      </x:c>
      <x:c r="E170" s="269" t="str">
        <x:v>WBS-031, WBS-071</x:v>
      </x:c>
      <x:c r="F170" s="269" t="str">
        <x:v>SonLT</x:v>
      </x:c>
      <x:c r="G170" s="269" t="str">
        <x:v>SRS FT table; current mapping in WBS D5:D86</x:v>
      </x:c>
    </x:row>
    <x:row r="171" ht="125" customHeight="1">
      <x:c r="A171" s="269" t="str">
        <x:v>FT-43</x:v>
      </x:c>
      <x:c r="B171" s="269" t="str">
        <x:v>Flashcards &amp; decks</x:v>
      </x:c>
      <x:c r="C171" s="269" t="str">
        <x:f>IF(OR($H$32="Iteration 3",$H$36="Iteration 3",$H$75="Iteration 3"),"Iteration 3",IF(OR($H$32="Iteration 2",$H$36="Iteration 2",$H$75="Iteration 2"),"Iteration 2","Iteration 1"))</x:f>
        <x:v>Iteration 2</x:v>
      </x:c>
      <x:c r="D171" s="269" t="str">
        <x:f>IF(AND($K$32="Done",$K$36="Done",$K$75="Done"),"Done",IF(OR($K$32="Done",$K$36="Done",$K$75="Done",$K$32="In Progress",$K$36="In Progress",$K$75="In Progress"),"In Progress","Not Started"))</x:f>
        <x:v>In Progress</x:v>
      </x:c>
      <x:c r="E171" s="269" t="str">
        <x:v>WBS-028, WBS-032, WBS-071</x:v>
      </x:c>
      <x:c r="F171" s="269" t="str">
        <x:v>SonLT</x:v>
      </x:c>
      <x:c r="G171" s="269" t="str">
        <x:v>SRS FT table; current mapping in WBS D5:D86</x:v>
      </x:c>
    </x:row>
    <x:row r="172" ht="125" customHeight="1">
      <x:c r="A172" s="269" t="str">
        <x:v>FT-44</x:v>
      </x:c>
      <x:c r="B172" s="269" t="str">
        <x:v>Learning activity log</x:v>
      </x:c>
      <x:c r="C172" s="269" t="str">
        <x:f>IF(OR($H$11="Iteration 3",$H$30="Iteration 3",$H$66="Iteration 3",$H$75="Iteration 3"),"Iteration 3",IF(OR($H$11="Iteration 2",$H$30="Iteration 2",$H$66="Iteration 2",$H$75="Iteration 2"),"Iteration 2","Iteration 1"))</x:f>
        <x:v>Iteration 3</x:v>
      </x:c>
      <x:c r="D172" s="269" t="str">
        <x:f>IF(AND($K$11="Done",$K$30="Done",$K$66="Done",$K$75="Done"),"Done",IF(OR($K$11="Done",$K$30="Done",$K$66="Done",$K$75="Done",$K$11="In Progress",$K$30="In Progress",$K$66="In Progress",$K$75="In Progress"),"In Progress","Not Started"))</x:f>
        <x:v>In Progress</x:v>
      </x:c>
      <x:c r="E172" s="269" t="str">
        <x:v>WBS-007, WBS-026, WBS-062, WBS-071</x:v>
      </x:c>
      <x:c r="F172" s="269" t="str">
        <x:v>SonLT, TungVPH</x:v>
      </x:c>
      <x:c r="G172" s="269" t="str">
        <x:v>SRS FT table; current mapping in WBS D5:D86</x:v>
      </x:c>
    </x:row>
    <x:row r="173" ht="125" customHeight="1">
      <x:c r="A173" s="269" t="str">
        <x:v>FT-45</x:v>
      </x:c>
      <x:c r="B173" s="269" t="str">
        <x:v>Study streak</x:v>
      </x:c>
      <x:c r="C173" s="269" t="str">
        <x:f>IF(OR($H$11="Iteration 3",$H$30="Iteration 3"),"Iteration 3",IF(OR($H$11="Iteration 2",$H$30="Iteration 2"),"Iteration 2","Iteration 1"))</x:f>
        <x:v>Iteration 2</x:v>
      </x:c>
      <x:c r="D173" s="269" t="str">
        <x:f>IF(AND($K$11="Done",$K$30="Done"),"Done",IF(OR($K$11="Done",$K$30="Done",$K$11="In Progress",$K$30="In Progress"),"In Progress","Not Started"))</x:f>
        <x:v>In Progress</x:v>
      </x:c>
      <x:c r="E173" s="269" t="str">
        <x:v>WBS-007, WBS-026</x:v>
      </x:c>
      <x:c r="F173" s="269" t="str">
        <x:v>SonLT</x:v>
      </x:c>
      <x:c r="G173" s="269" t="str">
        <x:v>SRS FT table; current mapping in WBS D5:D86</x:v>
      </x:c>
    </x:row>
    <x:row r="174" ht="125" customHeight="1">
      <x:c r="A174" s="269" t="str">
        <x:v>FT-46</x:v>
      </x:c>
      <x:c r="B174" s="269" t="str">
        <x:v>Single-player game sessions</x:v>
      </x:c>
      <x:c r="C174" s="269" t="str">
        <x:f>IF(OR($H$37="Iteration 3",$H$38="Iteration 3"),"Iteration 3",IF(OR($H$37="Iteration 2",$H$38="Iteration 2"),"Iteration 2","Iteration 1"))</x:f>
        <x:v>Iteration 3</x:v>
      </x:c>
      <x:c r="D174" s="269" t="str">
        <x:f>IF(AND($K$37="Done",$K$38="Done"),"Done",IF(OR($K$37="Done",$K$38="Done",$K$37="In Progress",$K$38="In Progress"),"In Progress","Not Started"))</x:f>
        <x:v>Not Started</x:v>
      </x:c>
      <x:c r="E174" s="269" t="str">
        <x:v>WBS-033, WBS-034</x:v>
      </x:c>
      <x:c r="F174" s="269" t="str">
        <x:v>HoangNV, SonLT</x:v>
      </x:c>
      <x:c r="G174" s="269" t="str">
        <x:v>SRS FT table; current mapping in WBS D5:D86</x:v>
      </x:c>
    </x:row>
    <x:row r="175" ht="125" customHeight="1">
      <x:c r="A175" s="269" t="str">
        <x:v>FT-47</x:v>
      </x:c>
      <x:c r="B175" s="269" t="str">
        <x:v>Multiplayer game rooms</x:v>
      </x:c>
      <x:c r="C175" s="269" t="str">
        <x:f>IF(OR($H$37="Iteration 3",$H$39="Iteration 3",$H$68="Iteration 3",$H$84="Iteration 3"),"Iteration 3",IF(OR($H$37="Iteration 2",$H$39="Iteration 2",$H$68="Iteration 2",$H$84="Iteration 2"),"Iteration 2","Iteration 1"))</x:f>
        <x:v>Iteration 3</x:v>
      </x:c>
      <x:c r="D175" s="269" t="str">
        <x:f>IF(AND($K$37="Done",$K$39="Done",$K$68="Done",$K$84="Done"),"Done",IF(OR($K$37="Done",$K$39="Done",$K$68="Done",$K$84="Done",$K$37="In Progress",$K$39="In Progress",$K$68="In Progress",$K$84="In Progress"),"In Progress","Not Started"))</x:f>
        <x:v>In Progress</x:v>
      </x:c>
      <x:c r="E175" s="269" t="str">
        <x:v>WBS-033, WBS-035, WBS-064, WBS-080</x:v>
      </x:c>
      <x:c r="F175" s="269" t="str">
        <x:v>HoangNV, SonLT, PhuPD</x:v>
      </x:c>
      <x:c r="G175" s="269" t="str">
        <x:v>SRS FT table; current mapping in WBS D5:D86</x:v>
      </x:c>
    </x:row>
    <x:row r="176" ht="125" customHeight="1">
      <x:c r="A176" s="269" t="str">
        <x:v>FT-48</x:v>
      </x:c>
      <x:c r="B176" s="269" t="str">
        <x:v>Matchmaking</x:v>
      </x:c>
      <x:c r="C176" s="269" t="str">
        <x:f>IF(OR($H$37="Iteration 3",$H$68="Iteration 3",$H$84="Iteration 3"),"Iteration 3",IF(OR($H$37="Iteration 2",$H$68="Iteration 2",$H$84="Iteration 2"),"Iteration 2","Iteration 1"))</x:f>
        <x:v>Iteration 3</x:v>
      </x:c>
      <x:c r="D176" s="269" t="str">
        <x:f>IF(AND($K$37="Done",$K$68="Done",$K$84="Done"),"Done",IF(OR($K$37="Done",$K$68="Done",$K$84="Done",$K$37="In Progress",$K$68="In Progress",$K$84="In Progress"),"In Progress","Not Started"))</x:f>
        <x:v>In Progress</x:v>
      </x:c>
      <x:c r="E176" s="269" t="str">
        <x:v>WBS-033, WBS-064, WBS-080</x:v>
      </x:c>
      <x:c r="F176" s="269" t="str">
        <x:v>HoangNV, SonLT, PhuPD</x:v>
      </x:c>
      <x:c r="G176" s="269" t="str">
        <x:v>SRS FT table; current mapping in WBS D5:D86</x:v>
      </x:c>
    </x:row>
    <x:row r="177" ht="125" customHeight="1">
      <x:c r="A177" s="269" t="str">
        <x:v>FT-49</x:v>
      </x:c>
      <x:c r="B177" s="269" t="str">
        <x:v>Posts, comments &amp; reactions</x:v>
      </x:c>
      <x:c r="C177" s="269" t="str">
        <x:f>IF(OR($H$40="Iteration 3",$H$41="Iteration 3"),"Iteration 3",IF(OR($H$40="Iteration 2",$H$41="Iteration 2"),"Iteration 2","Iteration 1"))</x:f>
        <x:v>Iteration 3</x:v>
      </x:c>
      <x:c r="D177" s="269" t="str">
        <x:f>IF(AND($K$40="Done",$K$41="Done"),"Done",IF(OR($K$40="Done",$K$41="Done",$K$40="In Progress",$K$41="In Progress"),"In Progress","Not Started"))</x:f>
        <x:v>Not Started</x:v>
      </x:c>
      <x:c r="E177" s="269" t="str">
        <x:v>WBS-036, WBS-037</x:v>
      </x:c>
      <x:c r="F177" s="269" t="str">
        <x:v>SonLT</x:v>
      </x:c>
      <x:c r="G177" s="269" t="str">
        <x:v>SRS FT table; current mapping in WBS D5:D86</x:v>
      </x:c>
    </x:row>
    <x:row r="178" ht="125" customHeight="1">
      <x:c r="A178" s="269" t="str">
        <x:v>FT-50</x:v>
      </x:c>
      <x:c r="B178" s="269" t="str">
        <x:v>Community moderation</x:v>
      </x:c>
      <x:c r="C178" s="269" t="str">
        <x:f>IF(OR($H$40="Iteration 3",$H$41="Iteration 3"),"Iteration 3",IF(OR($H$40="Iteration 2",$H$41="Iteration 2"),"Iteration 2","Iteration 1"))</x:f>
        <x:v>Iteration 3</x:v>
      </x:c>
      <x:c r="D178" s="269" t="str">
        <x:f>IF(AND($K$40="Done",$K$41="Done"),"Done",IF(OR($K$40="Done",$K$41="Done",$K$40="In Progress",$K$41="In Progress"),"In Progress","Not Started"))</x:f>
        <x:v>Not Started</x:v>
      </x:c>
      <x:c r="E178" s="269" t="str">
        <x:v>WBS-036, WBS-037</x:v>
      </x:c>
      <x:c r="F178" s="269" t="str">
        <x:v>SonLT</x:v>
      </x:c>
      <x:c r="G178" s="269" t="str">
        <x:v>SRS FT table; current mapping in WBS D5:D86</x:v>
      </x:c>
    </x:row>
    <x:row r="179" ht="125" customHeight="1">
      <x:c r="A179" s="269" t="str">
        <x:v>FT-51</x:v>
      </x:c>
      <x:c r="B179" s="269" t="str">
        <x:v>Notification preferences &amp; devices</x:v>
      </x:c>
      <x:c r="C179" s="269" t="str">
        <x:f>IF(OR($H$31="Iteration 3",$H$65="Iteration 3",$H$66="Iteration 3",$H$86="Iteration 3"),"Iteration 3",IF(OR($H$31="Iteration 2",$H$65="Iteration 2",$H$66="Iteration 2",$H$86="Iteration 2"),"Iteration 2","Iteration 1"))</x:f>
        <x:v>Iteration 3</x:v>
      </x:c>
      <x:c r="D179" s="269" t="str">
        <x:f>IF(AND($K$31="Done",$K$65="Done",$K$66="Done",$K$86="Done"),"Done",IF(OR($K$31="Done",$K$65="Done",$K$66="Done",$K$86="Done",$K$31="In Progress",$K$65="In Progress",$K$66="In Progress",$K$86="In Progress"),"In Progress","Not Started"))</x:f>
        <x:v>In Progress</x:v>
      </x:c>
      <x:c r="E179" s="269" t="str">
        <x:v>WBS-027, WBS-061, WBS-062, WBS-082</x:v>
      </x:c>
      <x:c r="F179" s="269" t="str">
        <x:v>HoangNV, TungVPH</x:v>
      </x:c>
      <x:c r="G179" s="269" t="str">
        <x:v>SRS FT table; current mapping in WBS D5:D86</x:v>
      </x:c>
    </x:row>
    <x:row r="180" ht="125" customHeight="1">
      <x:c r="A180" s="269" t="str">
        <x:v>FT-52</x:v>
      </x:c>
      <x:c r="B180" s="269" t="str">
        <x:v>Grading-done alerts</x:v>
      </x:c>
      <x:c r="C180" s="269" t="str">
        <x:f>IF(OR($H$31="Iteration 3",$H$54="Iteration 3",$H$65="Iteration 3",$H$67="Iteration 3",$H$86="Iteration 3"),"Iteration 3",IF(OR($H$31="Iteration 2",$H$54="Iteration 2",$H$65="Iteration 2",$H$67="Iteration 2",$H$86="Iteration 2"),"Iteration 2","Iteration 1"))</x:f>
        <x:v>Iteration 3</x:v>
      </x:c>
      <x:c r="D180" s="269" t="str">
        <x:f>IF(AND($K$31="Done",$K$54="Done",$K$65="Done",$K$67="Done",$K$86="Done"),"Done",IF(OR($K$31="Done",$K$54="Done",$K$65="Done",$K$67="Done",$K$86="Done",$K$31="In Progress",$K$54="In Progress",$K$65="In Progress",$K$67="In Progress",$K$86="In Progress"),"In Progress","Not Started"))</x:f>
        <x:v>In Progress</x:v>
      </x:c>
      <x:c r="E180" s="269" t="str">
        <x:v>WBS-027, WBS-050, WBS-061, WBS-063, WBS-082</x:v>
      </x:c>
      <x:c r="F180" s="269" t="str">
        <x:v>HoangNV, TungVPH</x:v>
      </x:c>
      <x:c r="G180" s="269" t="str">
        <x:v>SRS FT table; current mapping in WBS D5:D86</x:v>
      </x:c>
    </x:row>
    <x:row r="181" ht="125" customHeight="1">
      <x:c r="A181" s="269" t="str">
        <x:v>FT-53</x:v>
      </x:c>
      <x:c r="B181" s="269" t="str">
        <x:v>Study reminders</x:v>
      </x:c>
      <x:c r="C181" s="269" t="str">
        <x:f>IF(OR($H$31="Iteration 3",$H$66="Iteration 3",$H$67="Iteration 3",$H$86="Iteration 3"),"Iteration 3",IF(OR($H$31="Iteration 2",$H$66="Iteration 2",$H$67="Iteration 2",$H$86="Iteration 2"),"Iteration 2","Iteration 1"))</x:f>
        <x:v>Iteration 3</x:v>
      </x:c>
      <x:c r="D181" s="269" t="str">
        <x:f>IF(AND($K$31="Done",$K$66="Done",$K$67="Done",$K$86="Done"),"Done",IF(OR($K$31="Done",$K$66="Done",$K$67="Done",$K$86="Done",$K$31="In Progress",$K$66="In Progress",$K$67="In Progress",$K$86="In Progress"),"In Progress","Not Started"))</x:f>
        <x:v>In Progress</x:v>
      </x:c>
      <x:c r="E181" s="269" t="str">
        <x:v>WBS-027, WBS-062, WBS-063, WBS-082</x:v>
      </x:c>
      <x:c r="F181" s="269" t="str">
        <x:v>HoangNV, TungVPH</x:v>
      </x:c>
      <x:c r="G181" s="269" t="str">
        <x:v>SRS FT table; current mapping in WBS D5:D86</x:v>
      </x:c>
    </x:row>
    <x:row r="182" ht="125" customHeight="1">
      <x:c r="A182" s="269" t="str">
        <x:v>FT-54</x:v>
      </x:c>
      <x:c r="B182" s="269" t="str">
        <x:v>In-app notifications &amp; delivery retry</x:v>
      </x:c>
      <x:c r="C182" s="269" t="str">
        <x:f>IF(OR($H$31="Iteration 3",$H$67="Iteration 3",$H$86="Iteration 3"),"Iteration 3",IF(OR($H$31="Iteration 2",$H$67="Iteration 2",$H$86="Iteration 2"),"Iteration 2","Iteration 1"))</x:f>
        <x:v>Iteration 3</x:v>
      </x:c>
      <x:c r="D182" s="269" t="str">
        <x:f>IF(AND($K$31="Done",$K$67="Done",$K$86="Done"),"Done",IF(OR($K$31="Done",$K$67="Done",$K$86="Done",$K$31="In Progress",$K$67="In Progress",$K$86="In Progress"),"In Progress","Not Started"))</x:f>
        <x:v>In Progress</x:v>
      </x:c>
      <x:c r="E182" s="269" t="str">
        <x:v>WBS-027, WBS-063, WBS-082</x:v>
      </x:c>
      <x:c r="F182" s="269" t="str">
        <x:v>HoangNV, TungVPH</x:v>
      </x:c>
      <x:c r="G182" s="269" t="str">
        <x:v>SRS FT table; current mapping in WBS D5:D86</x:v>
      </x:c>
    </x:row>
    <x:row r="183" ht="125" customHeight="1">
      <x:c r="A183" s="269" t="str">
        <x:v>FT-55</x:v>
      </x:c>
      <x:c r="B183" s="269" t="str">
        <x:v>Course final test</x:v>
      </x:c>
      <x:c r="C183" s="269" t="str">
        <x:f>IF(OR($H$76="Iteration 3",$H$77="Iteration 3",$H$78="Iteration 3"),"Iteration 3",IF(OR($H$76="Iteration 2",$H$77="Iteration 2",$H$78="Iteration 2"),"Iteration 2","Iteration 1"))</x:f>
        <x:v>Iteration 2</x:v>
      </x:c>
      <x:c r="D183" s="269" t="str">
        <x:f>IF(AND($K$76="Done",$K$77="Done",$K$78="Done"),"Done",IF(OR($K$76="Done",$K$77="Done",$K$78="Done",$K$76="In Progress",$K$77="In Progress",$K$78="In Progress"),"In Progress","Not Started"))</x:f>
        <x:v>In Progress</x:v>
      </x:c>
      <x:c r="E183" s="269" t="str">
        <x:v>WBS-072, WBS-073, WBS-074</x:v>
      </x:c>
      <x:c r="F183" s="269" t="str">
        <x:v>HieuLT, HoangNV</x:v>
      </x:c>
      <x:c r="G183" s="269" t="str">
        <x:v>SRS FT table; current mapping in WBS D5:D86</x:v>
      </x:c>
    </x:row>
  </x:sheetData>
  <x:mergeCells>
    <x:mergeCell ref="A2:L2"/>
    <x:mergeCell ref="A88:G88"/>
    <x:mergeCell ref="A97:G97"/>
    <x:mergeCell ref="A105:G105"/>
    <x:mergeCell ref="A115:G115"/>
    <x:mergeCell ref="A125:G125"/>
    <x:mergeCell ref="A126:G126"/>
  </x:mergeCells>
  <x:conditionalFormatting sqref="K5:K83">
    <x:cfRule type="containsText" dxfId="203" priority="2" operator="containsText" text="In Progress"/>
    <x:cfRule type="containsText" dxfId="202" priority="3" operator="containsText" text="Not Started"/>
    <x:cfRule type="containsText" dxfId="201" priority="4" operator="containsText" text="Blocked"/>
  </x:conditionalFormatting>
  <x:conditionalFormatting sqref="K5:K86">
    <x:cfRule type="containsText" dxfId="200" priority="1" operator="containsText" text="Done"/>
  </x:conditionalFormatting>
  <x:conditionalFormatting sqref="D129:D183">
    <x:cfRule type="containsText" dxfId="228" priority="5" operator="containsText" text="Done"/>
    <x:cfRule type="containsText" dxfId="229" priority="6" operator="containsText" text="In Progress"/>
    <x:cfRule type="containsText" dxfId="230" priority="7" operator="containsText" text="Not Started"/>
  </x:conditionalFormatting>
  <x:dataValidations count="4">
    <x:dataValidation type="list" sqref="F5:F86">
      <x:formula1>"Simple,Medium,Complex"</x:formula1>
    </x:dataValidation>
    <x:dataValidation type="list" sqref="H5:H86">
      <x:formula1>"Iteration 1,Iteration 2,Iteration 3"</x:formula1>
    </x:dataValidation>
    <x:dataValidation type="list" sqref="I5:I86">
      <x:formula1>"PhuPD,HoangNV,SonLT,HieuLT,TungVPH"</x:formula1>
    </x:dataValidation>
    <x:dataValidation type="list" sqref="K5:K86">
      <x:formula1>"Not Started,In Progress,Done,Blocked"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7F6000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9" customWidth="1"/>
    <x:col min="2" max="2" width="13" customWidth="1"/>
    <x:col min="3" max="3" width="45" customWidth="1"/>
    <x:col min="4" max="5" width="16" customWidth="1"/>
    <x:col min="6" max="6" width="12" customWidth="1"/>
    <x:col min="7" max="7" width="13" customWidth="1"/>
    <x:col min="8" max="8" width="64" customWidth="1"/>
    <x:col min="9" max="9" width="17" customWidth="1"/>
    <x:col min="10" max="10" width="14" customWidth="1"/>
    <x:col min="11" max="11" width="16" customWidth="1"/>
    <x:col min="12" max="12" width="80" customWidth="1"/>
  </x:cols>
  <x:sheetData>
    <x:row r="1" ht="18">
      <x:c r="A1" s="134" t="s">
        <x:v>1715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</x:row>
    <x:row r="2" ht="20.100000381469727" customHeight="1">
      <x:c r="A2" s="129" t="s">
        <x:v>1716</x:v>
      </x:c>
      <x:c r="B2" s="128"/>
      <x:c r="C2" s="128"/>
      <x:c r="D2" s="128"/>
      <x:c r="E2" s="128"/>
      <x:c r="F2" s="128"/>
      <x:c r="G2" s="128"/>
      <x:c r="H2" s="128"/>
      <x:c r="I2" s="128"/>
      <x:c r="J2" s="128"/>
      <x:c r="K2" s="128"/>
      <x:c r="L2" s="128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  <x:c r="L3" s="154"/>
    </x:row>
    <x:row r="4" ht="35.099998474121094" customHeight="1">
      <x:c r="A4" s="289" t="s">
        <x:v>1257</x:v>
      </x:c>
      <x:c r="B4" s="289" t="s">
        <x:v>1717</x:v>
      </x:c>
      <x:c r="C4" s="289" t="s">
        <x:v>1718</x:v>
      </x:c>
      <x:c r="D4" s="289" t="s">
        <x:v>1719</x:v>
      </x:c>
      <x:c r="E4" s="289" t="s">
        <x:v>1720</x:v>
      </x:c>
      <x:c r="F4" s="289" t="s">
        <x:v>1721</x:v>
      </x:c>
      <x:c r="G4" s="289" t="s">
        <x:v>1722</x:v>
      </x:c>
      <x:c r="H4" s="289" t="s">
        <x:v>1723</x:v>
      </x:c>
      <x:c r="I4" s="289" t="s">
        <x:v>1724</x:v>
      </x:c>
      <x:c r="J4" s="289" t="s">
        <x:v>1725</x:v>
      </x:c>
      <x:c r="K4" s="289" t="s">
        <x:v>1226</x:v>
      </x:c>
      <x:c r="L4" s="289" t="s">
        <x:v>1263</x:v>
      </x:c>
    </x:row>
    <x:row r="5" ht="144.9499969482422" customHeight="1">
      <x:c r="A5" s="290" t="s">
        <x:v>1726</x:v>
      </x:c>
      <x:c r="B5" s="291">
        <x:v>46302</x:v>
      </x:c>
      <x:c r="C5" s="292" t="s">
        <x:v>1727</x:v>
      </x:c>
      <x:c r="D5" s="250" t="s">
        <x:v>1667</x:v>
      </x:c>
      <x:c r="E5" s="250" t="s">
        <x:v>1516</x:v>
      </x:c>
      <x:c r="F5" s="293" t="s">
        <x:v>1728</x:v>
      </x:c>
      <x:c r="G5" s="291">
        <x:v>46304</x:v>
      </x:c>
      <x:c r="H5" s="250" t="str">
        <x:v>Project start 09/09. Preparation Weeks 1–5 precedes formal delivery windows: Iteration 1 14–27/10, Iteration 2 28/10–10/11, Iteration 3 11–24/11. Early commits are recorded as preparation or allocated to their target delivery; acceptance scope requires reviewed feature/test evidence.</x:v>
      </x:c>
      <x:c r="I5" s="251"/>
      <x:c r="J5" s="291"/>
      <x:c r="K5" s="252" t="s">
        <x:v>1729</x:v>
      </x:c>
      <x:c r="L5" s="250" t="str">
        <x:v>capstone-docs/rp_5.0_test_plan/Report 5.0_TestPlan_IELTSPath_v1.docx; original WBS A5:L17. Review question recorded 07/10/2026; not an earlier meeting minute.</x:v>
      </x:c>
    </x:row>
    <x:row r="6" ht="144.9499969482422" customHeight="1">
      <x:c r="A6" s="290" t="s">
        <x:v>1730</x:v>
      </x:c>
      <x:c r="B6" s="294">
        <x:v>46302</x:v>
      </x:c>
      <x:c r="C6" s="295" t="s">
        <x:v>1731</x:v>
      </x:c>
      <x:c r="D6" s="295" t="s">
        <x:v>1667</x:v>
      </x:c>
      <x:c r="E6" s="295" t="s">
        <x:v>1516</x:v>
      </x:c>
      <x:c r="F6" s="293" t="s">
        <x:v>1365</x:v>
      </x:c>
      <x:c r="G6" s="294">
        <x:v>46302</x:v>
      </x:c>
      <x:c r="H6" s="295" t="str">
        <x:v>The system serves IELTS Space's current and waiting-list students for self-practice between classes, personalized pathways and their own progress. Prospective-student trials, enrolment and teacher monitoring are excluded (Report 1 LI-01/LI-02).</x:v>
      </x:c>
      <x:c r="I6" s="295" t="s">
        <x:v>1516</x:v>
      </x:c>
      <x:c r="J6" s="294" t="n">
        <x:v>46304</x:v>
      </x:c>
      <x:c r="K6" s="296" t="s">
        <x:v>1732</x:v>
      </x:c>
      <x:c r="L6" s="295" t="str">
        <x:v>backend/capstone-docs/rp_1_vision-scope/Report 1_Vision_Scope_IeltsPath.docx §1, §3, §5</x:v>
      </x:c>
    </x:row>
    <x:row r="7" ht="144.9499969482422" customHeight="1">
      <x:c r="A7" s="290" t="s">
        <x:v>1733</x:v>
      </x:c>
      <x:c r="B7" s="297">
        <x:v>46302</x:v>
      </x:c>
      <x:c r="C7" s="298" t="s">
        <x:v>1734</x:v>
      </x:c>
      <x:c r="D7" s="298" t="s">
        <x:v>1667</x:v>
      </x:c>
      <x:c r="E7" s="298" t="s">
        <x:v>1516</x:v>
      </x:c>
      <x:c r="F7" s="293" t="s">
        <x:v>1728</x:v>
      </x:c>
      <x:c r="G7" s="297">
        <x:v>46302</x:v>
      </x:c>
      <x:c r="H7" s="298" t="s">
        <x:v>1735</x:v>
      </x:c>
      <x:c r="I7" s="298" t="s">
        <x:v>1516</x:v>
      </x:c>
      <x:c r="J7" s="297">
        <x:v>46302</x:v>
      </x:c>
      <x:c r="K7" s="296" t="s">
        <x:v>1732</x:v>
      </x:c>
      <x:c r="L7" s="298" t="str">
        <x:v>backend/AGENTS.md §1; backend/docs/system-architecture.md</x:v>
      </x:c>
    </x:row>
    <x:row r="8" ht="144.9499969482422" customHeight="1">
      <x:c r="A8" s="290" t="s">
        <x:v>1736</x:v>
      </x:c>
      <x:c r="B8" s="294">
        <x:v>46302</x:v>
      </x:c>
      <x:c r="C8" s="295" t="s">
        <x:v>1737</x:v>
      </x:c>
      <x:c r="D8" s="295" t="s">
        <x:v>1667</x:v>
      </x:c>
      <x:c r="E8" s="295" t="s">
        <x:v>1536</x:v>
      </x:c>
      <x:c r="F8" s="293" t="s">
        <x:v>1728</x:v>
      </x:c>
      <x:c r="G8" s="294">
        <x:v>46302</x:v>
      </x:c>
      <x:c r="H8" s="295" t="s">
        <x:v>1738</x:v>
      </x:c>
      <x:c r="I8" s="295" t="s">
        <x:v>1536</x:v>
      </x:c>
      <x:c r="J8" s="294">
        <x:v>46302</x:v>
      </x:c>
      <x:c r="K8" s="296" t="s">
        <x:v>1732</x:v>
      </x:c>
      <x:c r="L8" s="295" t="str">
        <x:v>backend/docs/fe-main-flow-guide.md §1, §4; frontend/src/lib/httpClient.ts; backend/README.md</x:v>
      </x:c>
    </x:row>
    <x:row r="9" ht="144.9499969482422" customHeight="1">
      <x:c r="A9" s="290" t="s">
        <x:v>1739</x:v>
      </x:c>
      <x:c r="B9" s="297">
        <x:v>46302</x:v>
      </x:c>
      <x:c r="C9" s="298" t="s">
        <x:v>1740</x:v>
      </x:c>
      <x:c r="D9" s="298" t="s">
        <x:v>1667</x:v>
      </x:c>
      <x:c r="E9" s="298" t="s">
        <x:v>1516</x:v>
      </x:c>
      <x:c r="F9" s="293" t="s">
        <x:v>1728</x:v>
      </x:c>
      <x:c r="G9" s="297">
        <x:v>46302</x:v>
      </x:c>
      <x:c r="H9" s="298" t="s">
        <x:v>1741</x:v>
      </x:c>
      <x:c r="I9" s="298" t="s">
        <x:v>1516</x:v>
      </x:c>
      <x:c r="J9" s="297">
        <x:v>46302</x:v>
      </x:c>
      <x:c r="K9" s="296" t="s">
        <x:v>1732</x:v>
      </x:c>
      <x:c r="L9" s="298" t="str">
        <x:v>backend/docs/fe-main-flow-guide.md §3–4; frontend/plans/reports/e2e-practice-261005/report.md</x:v>
      </x:c>
    </x:row>
    <x:row r="10" ht="144.9499969482422" customHeight="1">
      <x:c r="A10" s="290" t="s">
        <x:v>1742</x:v>
      </x:c>
      <x:c r="B10" s="294">
        <x:v>46302</x:v>
      </x:c>
      <x:c r="C10" s="295" t="s">
        <x:v>1743</x:v>
      </x:c>
      <x:c r="D10" s="295" t="s">
        <x:v>1667</x:v>
      </x:c>
      <x:c r="E10" s="295" t="s">
        <x:v>1516</x:v>
      </x:c>
      <x:c r="F10" s="293" t="s">
        <x:v>1728</x:v>
      </x:c>
      <x:c r="G10" s="294">
        <x:v>46306</x:v>
      </x:c>
      <x:c r="H10" s="295" t="s">
        <x:v>1744</x:v>
      </x:c>
      <x:c r="I10" s="295"/>
      <x:c r="J10" s="294"/>
      <x:c r="K10" s="296" t="s">
        <x:v>1729</x:v>
      </x:c>
      <x:c r="L10" s="295" t="str">
        <x:v>backend/docs/fe-main-flow-guide.md; frontend/plans/reports/e2e-practice-261005/report.md; capstone-docs/rp_5.0_test_plan/Report 5.0_TestPlan_IELTSPath_v1.docx TP-LRN-06</x:v>
      </x:c>
    </x:row>
    <x:row r="11" ht="144.9499969482422" customHeight="1">
      <x:c r="A11" s="290" t="s">
        <x:v>1745</x:v>
      </x:c>
      <x:c r="B11" s="297">
        <x:v>46302</x:v>
      </x:c>
      <x:c r="C11" s="298" t="s">
        <x:v>1746</x:v>
      </x:c>
      <x:c r="D11" s="298" t="s">
        <x:v>1667</x:v>
      </x:c>
      <x:c r="E11" s="298" t="s">
        <x:v>1519</x:v>
      </x:c>
      <x:c r="F11" s="293" t="s">
        <x:v>1728</x:v>
      </x:c>
      <x:c r="G11" s="297">
        <x:v>46304</x:v>
      </x:c>
      <x:c r="H11" s="298" t="s">
        <x:v>1747</x:v>
      </x:c>
      <x:c r="I11" s="298"/>
      <x:c r="J11" s="297"/>
      <x:c r="K11" s="296" t="s">
        <x:v>1729</x:v>
      </x:c>
      <x:c r="L11" s="298" t="str">
        <x:v>backend/docs/fe-main-flow-guide.md; frontend/plans/reports/e2e-practice-261005/report.md; capstone-docs/rp_5.0_test_plan/Report 5.0_TestPlan_IELTSPath_v1.docx</x:v>
      </x:c>
    </x:row>
    <x:row r="12" ht="144.9499969482422" customHeight="1">
      <x:c r="A12" s="290" t="s">
        <x:v>1748</x:v>
      </x:c>
      <x:c r="B12" s="294">
        <x:v>46302</x:v>
      </x:c>
      <x:c r="C12" s="295" t="s">
        <x:v>1749</x:v>
      </x:c>
      <x:c r="D12" s="295" t="s">
        <x:v>1667</x:v>
      </x:c>
      <x:c r="E12" s="295" t="s">
        <x:v>1519</x:v>
      </x:c>
      <x:c r="F12" s="293" t="s">
        <x:v>1365</x:v>
      </x:c>
      <x:c r="G12" s="294">
        <x:v>46302</x:v>
      </x:c>
      <x:c r="H12" s="295" t="s">
        <x:v>1750</x:v>
      </x:c>
      <x:c r="I12" s="295" t="s">
        <x:v>1519</x:v>
      </x:c>
      <x:c r="J12" s="294" t="n">
        <x:v>46304</x:v>
      </x:c>
      <x:c r="K12" s="296" t="s">
        <x:v>1732</x:v>
      </x:c>
      <x:c r="L12" s="295" t="str">
        <x:v>Report 1 v1.0.0 §4.2 LI-03; current SRS scope excludes online payment, invoicing and revenue reporting.</x:v>
      </x:c>
    </x:row>
    <x:row r="13" ht="144.9499969482422" customHeight="1">
      <x:c r="A13" s="290" t="s">
        <x:v>1751</x:v>
      </x:c>
      <x:c r="B13" s="297">
        <x:v>46302</x:v>
      </x:c>
      <x:c r="C13" s="298" t="s">
        <x:v>1752</x:v>
      </x:c>
      <x:c r="D13" s="298" t="s">
        <x:v>1667</x:v>
      </x:c>
      <x:c r="E13" s="298" t="s">
        <x:v>1516</x:v>
      </x:c>
      <x:c r="F13" s="293" t="s">
        <x:v>1728</x:v>
      </x:c>
      <x:c r="G13" s="297">
        <x:v>46306</x:v>
      </x:c>
      <x:c r="H13" s="298" t="s">
        <x:v>1753</x:v>
      </x:c>
      <x:c r="I13" s="298"/>
      <x:c r="J13" s="297"/>
      <x:c r="K13" s="296" t="s">
        <x:v>1729</x:v>
      </x:c>
      <x:c r="L13" s="298" t="str">
        <x:v>backend/docs/fe-main-flow-guide.md §6; capstone-docs/rp_5.0_test_plan/Report 5.0_TestPlan_IELTSPath_v1.docx Out of Scope</x:v>
      </x:c>
    </x:row>
    <x:row r="14" ht="144.9499969482422" customHeight="1">
      <x:c r="A14" s="290" t="s">
        <x:v>1754</x:v>
      </x:c>
      <x:c r="B14" s="294">
        <x:v>46302</x:v>
      </x:c>
      <x:c r="C14" s="295" t="s">
        <x:v>1755</x:v>
      </x:c>
      <x:c r="D14" s="295" t="s">
        <x:v>1667</x:v>
      </x:c>
      <x:c r="E14" s="295" t="s">
        <x:v>1381</x:v>
      </x:c>
      <x:c r="F14" s="293" t="s">
        <x:v>1728</x:v>
      </x:c>
      <x:c r="G14" s="294">
        <x:v>46302</x:v>
      </x:c>
      <x:c r="H14" s="295" t="s">
        <x:v>1756</x:v>
      </x:c>
      <x:c r="I14" s="295" t="s">
        <x:v>1381</x:v>
      </x:c>
      <x:c r="J14" s="294">
        <x:v>46302</x:v>
      </x:c>
      <x:c r="K14" s="296" t="s">
        <x:v>1732</x:v>
      </x:c>
      <x:c r="L14" s="295" t="str">
        <x:v>frontend/plans/reports/e2e-main-flow-261005-fresh/report.md Method and checklist; frontend/plans/reports/e2e-practice-261005/report.md E2E note</x:v>
      </x:c>
    </x:row>
    <x:row r="15" ht="144.9499969482422" customHeight="1">
      <x:c r="A15" s="290" t="s">
        <x:v>1757</x:v>
      </x:c>
      <x:c r="B15" s="297">
        <x:v>46302</x:v>
      </x:c>
      <x:c r="C15" s="298" t="s">
        <x:v>1758</x:v>
      </x:c>
      <x:c r="D15" s="298" t="s">
        <x:v>1667</x:v>
      </x:c>
      <x:c r="E15" s="298" t="s">
        <x:v>1360</x:v>
      </x:c>
      <x:c r="F15" s="293" t="s">
        <x:v>1365</x:v>
      </x:c>
      <x:c r="G15" s="297">
        <x:v>46305</x:v>
      </x:c>
      <x:c r="H15" s="298" t="str">
        <x:v>BE course support merged 07/10. FE 08/10 adds course listing, placement test and result APIs/UI. Course final-test flow, complete mixed-skill alignment and fresh-browser acceptance remain open.</x:v>
      </x:c>
      <x:c r="I15" s="298"/>
      <x:c r="J15" s="297"/>
      <x:c r="K15" s="296" t="s">
        <x:v>1729</x:v>
      </x:c>
      <x:c r="L15" s="298" t="str">
        <x:v>BE course plan; FE caa5726 / 59cd29d; learningApi.ts.</x:v>
      </x:c>
    </x:row>
    <x:row r="16" ht="144.9499969482422" customHeight="1">
      <x:c r="A16" s="290" t="s">
        <x:v>1759</x:v>
      </x:c>
      <x:c r="B16" s="294">
        <x:v>46302</x:v>
      </x:c>
      <x:c r="C16" s="295" t="s">
        <x:v>1760</x:v>
      </x:c>
      <x:c r="D16" s="295" t="s">
        <x:v>1667</x:v>
      </x:c>
      <x:c r="E16" s="295" t="s">
        <x:v>1516</x:v>
      </x:c>
      <x:c r="F16" s="293" t="s">
        <x:v>1365</x:v>
      </x:c>
      <x:c r="G16" s="294">
        <x:v>46302</x:v>
      </x:c>
      <x:c r="H16" s="295" t="s">
        <x:v>1761</x:v>
      </x:c>
      <x:c r="I16" s="295" t="s">
        <x:v>1516</x:v>
      </x:c>
      <x:c r="J16" s="294">
        <x:v>46302</x:v>
      </x:c>
      <x:c r="K16" s="296" t="s">
        <x:v>1732</x:v>
      </x:c>
      <x:c r="L16" s="295" t="str">
        <x:v>BE 8d2d2bb and multi-skill plan; FE updated through 08/10. Full mixed-skill/AI-provider acceptance remains unverified.</x:v>
      </x:c>
    </x:row>
    <x:row r="17" ht="144.9499969482422" customHeight="1">
      <x:c r="A17" s="290" t="s">
        <x:v>1762</x:v>
      </x:c>
      <x:c r="B17" s="297">
        <x:v>46302</x:v>
      </x:c>
      <x:c r="C17" s="298" t="s">
        <x:v>1763</x:v>
      </x:c>
      <x:c r="D17" s="298" t="s">
        <x:v>1667</x:v>
      </x:c>
      <x:c r="E17" s="298" t="s">
        <x:v>1516</x:v>
      </x:c>
      <x:c r="F17" s="293" t="s">
        <x:v>1728</x:v>
      </x:c>
      <x:c r="G17" s="297">
        <x:v>46304</x:v>
      </x:c>
      <x:c r="H17" s="298" t="s">
        <x:v>1764</x:v>
      </x:c>
      <x:c r="I17" s="298"/>
      <x:c r="J17" s="297"/>
      <x:c r="K17" s="296" t="s">
        <x:v>1729</x:v>
      </x:c>
      <x:c r="L17" s="298" t="str">
        <x:v>backend/capstone-docs/rp_1_vision-scope/Report 1_Vision_Scope_IeltsPath.docx §4.1; capstone-docs/rp_5.0_test_plan/Report 5.0_TestPlan_IELTSPath_v1.docx Out of Scope</x:v>
      </x:c>
    </x:row>
    <x:row r="18" ht="144.9499969482422" customHeight="1">
      <x:c r="A18" s="290" t="s">
        <x:v>1765</x:v>
      </x:c>
      <x:c r="B18" s="294">
        <x:v>46302</x:v>
      </x:c>
      <x:c r="C18" s="295" t="s">
        <x:v>1766</x:v>
      </x:c>
      <x:c r="D18" s="295" t="s">
        <x:v>1667</x:v>
      </x:c>
      <x:c r="E18" s="295" t="s">
        <x:v>1516</x:v>
      </x:c>
      <x:c r="F18" s="293" t="s">
        <x:v>1728</x:v>
      </x:c>
      <x:c r="G18" s="294">
        <x:v>46305</x:v>
      </x:c>
      <x:c r="H18" s="295" t="s">
        <x:v>1767</x:v>
      </x:c>
      <x:c r="I18" s="295"/>
      <x:c r="J18" s="294"/>
      <x:c r="K18" s="296" t="s">
        <x:v>1729</x:v>
      </x:c>
      <x:c r="L18" s="295" t="str">
        <x:v>Original Scope names PhuPD, HieuLT, TungVPH; no row-level work-hour evidence found.</x:v>
      </x:c>
    </x:row>
    <x:row r="19" ht="144.9499969482422" customHeight="1">
      <x:c r="A19" s="290" t="s">
        <x:v>1768</x:v>
      </x:c>
      <x:c r="B19" s="297">
        <x:v>46302</x:v>
      </x:c>
      <x:c r="C19" s="298" t="s">
        <x:v>1769</x:v>
      </x:c>
      <x:c r="D19" s="298" t="s">
        <x:v>1667</x:v>
      </x:c>
      <x:c r="E19" s="298" t="s">
        <x:v>1516</x:v>
      </x:c>
      <x:c r="F19" s="293" t="s">
        <x:v>1728</x:v>
      </x:c>
      <x:c r="G19" s="297">
        <x:v>46306</x:v>
      </x:c>
      <x:c r="H19" s="298" t="str">
        <x:v>Report 1 v1.0.0 is Approved, reviewed by LinhNDM on 09/10. Latest SRS has 55 features and current centre-student-only scope; SRS/TDS/Test Plan approval metadata and RTW/FDS/Test Plan synchronization remain incomplete.</x:v>
      </x:c>
      <x:c r="I19" s="298"/>
      <x:c r="J19" s="297"/>
      <x:c r="K19" s="296" t="s">
        <x:v>1729</x:v>
      </x:c>
      <x:c r="L19" s="298" t="str">
        <x:v>backend/capstone-docs/rp_3.0_system-requirements-system/Report 3.0_SRS_IELTSPath_IeltsPath_v1.docx metadata; capstone-docs/rp_5.0_test_plan/Report 5.0_TestPlan_IELTSPath_v1.docx baseline/out-of-scope; frontend/plans/reports/e2e-main-flow-261005-fresh/report.md</x:v>
      </x:c>
    </x:row>
    <x:row r="20">
      <x:c r="A20" s="139"/>
      <x:c r="B20" s="141"/>
      <x:c r="C20" s="141"/>
      <x:c r="D20" s="141"/>
      <x:c r="E20" s="141"/>
      <x:c r="F20" s="140"/>
      <x:c r="G20" s="141"/>
      <x:c r="H20" s="141"/>
      <x:c r="I20" s="141"/>
      <x:c r="J20" s="141"/>
      <x:c r="K20" s="142"/>
      <x:c r="L20" s="141"/>
    </x:row>
    <x:row r="21">
      <x:c r="A21" s="139"/>
      <x:c r="B21" s="143"/>
      <x:c r="C21" s="143"/>
      <x:c r="D21" s="143"/>
      <x:c r="E21" s="143"/>
      <x:c r="F21" s="140"/>
      <x:c r="G21" s="143"/>
      <x:c r="H21" s="143"/>
      <x:c r="I21" s="143"/>
      <x:c r="J21" s="143"/>
      <x:c r="K21" s="142"/>
      <x:c r="L21" s="143"/>
    </x:row>
    <x:row r="22">
      <x:c r="A22" s="139"/>
      <x:c r="B22" s="141"/>
      <x:c r="C22" s="141"/>
      <x:c r="D22" s="141"/>
      <x:c r="E22" s="141"/>
      <x:c r="F22" s="140"/>
      <x:c r="G22" s="141"/>
      <x:c r="H22" s="141"/>
      <x:c r="I22" s="141"/>
      <x:c r="J22" s="141"/>
      <x:c r="K22" s="142"/>
      <x:c r="L22" s="141"/>
    </x:row>
    <x:row r="23">
      <x:c r="A23" s="139"/>
      <x:c r="B23" s="143"/>
      <x:c r="C23" s="143"/>
      <x:c r="D23" s="143"/>
      <x:c r="E23" s="143"/>
      <x:c r="F23" s="140"/>
      <x:c r="G23" s="143"/>
      <x:c r="H23" s="143"/>
      <x:c r="I23" s="143"/>
      <x:c r="J23" s="143"/>
      <x:c r="K23" s="142"/>
      <x:c r="L23" s="143"/>
    </x:row>
    <x:row r="24">
      <x:c r="A24" s="139"/>
      <x:c r="B24" s="141"/>
      <x:c r="C24" s="141"/>
      <x:c r="D24" s="141"/>
      <x:c r="E24" s="141"/>
      <x:c r="F24" s="140"/>
      <x:c r="G24" s="141"/>
      <x:c r="H24" s="141"/>
      <x:c r="I24" s="141"/>
      <x:c r="J24" s="141"/>
      <x:c r="K24" s="142"/>
      <x:c r="L24" s="141"/>
    </x:row>
  </x:sheetData>
  <x:mergeCells>
    <x:mergeCell ref="A2:L2"/>
    <x:mergeCell ref="A1:L1"/>
  </x:mergeCells>
  <x:conditionalFormatting sqref="F5:F200">
    <x:cfRule type="cellIs" dxfId="199" priority="13" operator="equal">
      <x:formula>"Critical"</x:formula>
    </x:cfRule>
    <x:cfRule type="cellIs" dxfId="198" priority="14" operator="equal">
      <x:formula>"High"</x:formula>
    </x:cfRule>
    <x:cfRule type="cellIs" dxfId="197" priority="15" operator="equal">
      <x:formula>"Medium"</x:formula>
    </x:cfRule>
    <x:cfRule type="cellIs" dxfId="196" priority="16" operator="equal">
      <x:formula>"Low"</x:formula>
    </x:cfRule>
  </x:conditionalFormatting>
  <x:conditionalFormatting sqref="K5:K200">
    <x:cfRule type="cellIs" dxfId="195" priority="1" operator="equal">
      <x:formula>"Done"</x:formula>
    </x:cfRule>
    <x:cfRule type="cellIs" dxfId="194" priority="2" operator="equal">
      <x:formula>"Completed"</x:formula>
    </x:cfRule>
    <x:cfRule type="cellIs" dxfId="193" priority="3" operator="equal">
      <x:formula>"Closed"</x:formula>
    </x:cfRule>
    <x:cfRule type="cellIs" dxfId="192" priority="4" operator="equal">
      <x:formula>"Fixed"</x:formula>
    </x:cfRule>
    <x:cfRule type="cellIs" dxfId="191" priority="5" operator="equal">
      <x:formula>"Approved"</x:formula>
    </x:cfRule>
    <x:cfRule type="cellIs" dxfId="190" priority="6" operator="equal">
      <x:formula>"In Progress"</x:formula>
    </x:cfRule>
    <x:cfRule type="cellIs" dxfId="189" priority="7" operator="equal">
      <x:formula>"Open"</x:formula>
    </x:cfRule>
    <x:cfRule type="cellIs" dxfId="188" priority="8" operator="equal">
      <x:formula>"Pending"</x:formula>
    </x:cfRule>
    <x:cfRule type="cellIs" dxfId="187" priority="9" operator="equal">
      <x:formula>"Blocked"</x:formula>
    </x:cfRule>
    <x:cfRule type="cellIs" dxfId="186" priority="10" operator="equal">
      <x:formula>"Cancelled"</x:formula>
    </x:cfRule>
    <x:cfRule type="cellIs" dxfId="185" priority="11" operator="equal">
      <x:formula>"Rejected"</x:formula>
    </x:cfRule>
    <x:cfRule type="cellIs" dxfId="184" priority="12" operator="equal">
      <x:formula>"Submitted"</x:formula>
    </x:cfRule>
  </x:conditionalFormatting>
  <x:dataValidations count="4">
    <x:dataValidation type="list" allowBlank="1" sqref="F5:F200">
      <x:formula1>"Critical,High,Medium,Low"</x:formula1>
    </x:dataValidation>
    <x:dataValidation type="list" sqref="D5:D19">
      <x:formula1>"LinhNDM"</x:formula1>
    </x:dataValidation>
    <x:dataValidation type="list" sqref="E5:E19 I5:I19">
      <x:formula1>"PhuPD,HoangNV,SonLT,HieuLT,TungVPH"</x:formula1>
    </x:dataValidation>
    <x:dataValidation type="list" sqref="K5:K200">
      <x:formula1>"Open,Answered,Closed,Cancelled"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F6B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customWidth="1"/>
    <x:col min="2" max="2" width="13" customWidth="1"/>
    <x:col min="3" max="3" width="15" customWidth="1"/>
    <x:col min="4" max="4" width="14" customWidth="1"/>
    <x:col min="5" max="5" width="55" customWidth="1"/>
    <x:col min="6" max="6" width="16" customWidth="1"/>
    <x:col min="7" max="7" width="18" customWidth="1"/>
    <x:col min="8" max="8" width="11" customWidth="1"/>
    <x:col min="9" max="9" width="35" customWidth="1"/>
    <x:col min="10" max="10" width="17" customWidth="1"/>
    <x:col min="11" max="11" width="15" customWidth="1"/>
    <x:col min="12" max="12" width="16" customWidth="1"/>
    <x:col min="13" max="13" width="13" customWidth="1"/>
    <x:col min="14" max="14" width="63" customWidth="1"/>
  </x:cols>
  <x:sheetData>
    <x:row r="1" ht="18">
      <x:c r="A1" s="134" t="s">
        <x:v>1770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</x:row>
    <x:row r="2" ht="20.100000381469727" customHeight="1">
      <x:c r="A2" s="129" t="s">
        <x:v>1771</x:v>
      </x:c>
      <x:c r="B2" s="128"/>
      <x:c r="C2" s="128"/>
      <x:c r="D2" s="128"/>
      <x:c r="E2" s="128"/>
      <x:c r="F2" s="128"/>
      <x:c r="G2" s="128"/>
      <x:c r="H2" s="128"/>
      <x:c r="I2" s="128"/>
      <x:c r="J2" s="128"/>
      <x:c r="K2" s="128"/>
      <x:c r="L2" s="128"/>
      <x:c r="M2" s="128"/>
      <x:c r="N2" s="128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  <x:c r="L3" s="154"/>
      <x:c r="M3" s="154"/>
      <x:c r="N3" s="154"/>
    </x:row>
    <x:row r="4" ht="35.099998474121094" customHeight="1">
      <x:c r="A4" s="299" t="s">
        <x:v>1257</x:v>
      </x:c>
      <x:c r="B4" s="299" t="s">
        <x:v>1717</x:v>
      </x:c>
      <x:c r="C4" s="299" t="s">
        <x:v>1772</x:v>
      </x:c>
      <x:c r="D4" s="299" t="s">
        <x:v>1773</x:v>
      </x:c>
      <x:c r="E4" s="299" t="s">
        <x:v>1774</x:v>
      </x:c>
      <x:c r="F4" s="299" t="s">
        <x:v>1775</x:v>
      </x:c>
      <x:c r="G4" s="299" t="s">
        <x:v>1347</x:v>
      </x:c>
      <x:c r="H4" s="299" t="s">
        <x:v>1776</x:v>
      </x:c>
      <x:c r="I4" s="299" t="s">
        <x:v>1777</x:v>
      </x:c>
      <x:c r="J4" s="299" t="s">
        <x:v>1246</x:v>
      </x:c>
      <x:c r="K4" s="299" t="s">
        <x:v>1226</x:v>
      </x:c>
      <x:c r="L4" s="299" t="s">
        <x:v>1262</x:v>
      </x:c>
      <x:c r="M4" s="299" t="s">
        <x:v>1778</x:v>
      </x:c>
      <x:c r="N4" s="299" t="s">
        <x:v>1263</x:v>
      </x:c>
    </x:row>
    <x:row r="5" ht="72" customHeight="1">
      <x:c r="A5" s="270" t="str">
        <x:v>TL-001</x:v>
      </x:c>
      <x:c r="B5" s="271" t="n">
        <x:v>46274</x:v>
      </x:c>
      <x:c r="C5" s="270" t="str">
        <x:v>PhuPD</x:v>
      </x:c>
      <x:c r="D5" s="270" t="str">
        <x:v>WBS-065</x:v>
      </x:c>
      <x:c r="E5" s="270" t="str">
        <x:v>Project kickoff, initial problem/scope and member task allocation</x:v>
      </x:c>
      <x:c r="F5" s="270" t="str">
        <x:v>Meeting</x:v>
      </x:c>
      <x:c r="G5" s="270" t="str">
        <x:v>Newly-Created</x:v>
      </x:c>
      <x:c r="H5" s="272" t="n">
        <x:v>1.5</x:v>
      </x:c>
      <x:c r="I5" s="270" t="str">
        <x:v>Initial project plan</x:v>
      </x:c>
      <x:c r="J5" s="270" t="str">
        <x:v>General</x:v>
      </x:c>
      <x:c r="K5" s="270" t="str">
        <x:v>Approved</x:v>
      </x:c>
      <x:c r="L5" s="270" t="str">
        <x:v>LinhNDM</x:v>
      </x:c>
      <x:c r="M5" s="271" t="n">
        <x:v>46304</x:v>
      </x:c>
      <x:c r="N5" s="270" t="str">
        <x:v>Start date: Report 1; participation estimated.</x:v>
      </x:c>
    </x:row>
    <x:row r="6" ht="72" customHeight="1">
      <x:c r="A6" s="270" t="str">
        <x:v>TL-002</x:v>
      </x:c>
      <x:c r="B6" s="271" t="n">
        <x:v>46274</x:v>
      </x:c>
      <x:c r="C6" s="270" t="str">
        <x:v>HoangNV</x:v>
      </x:c>
      <x:c r="D6" s="270" t="str">
        <x:v>WBS-065</x:v>
      </x:c>
      <x:c r="E6" s="270" t="str">
        <x:v>Project kickoff, initial problem/scope and member task allocation</x:v>
      </x:c>
      <x:c r="F6" s="270" t="str">
        <x:v>Meeting</x:v>
      </x:c>
      <x:c r="G6" s="270" t="str">
        <x:v>Newly-Created</x:v>
      </x:c>
      <x:c r="H6" s="272" t="n">
        <x:v>1.5</x:v>
      </x:c>
      <x:c r="I6" s="270" t="str">
        <x:v>Initial project plan</x:v>
      </x:c>
      <x:c r="J6" s="270" t="str">
        <x:v>General</x:v>
      </x:c>
      <x:c r="K6" s="270" t="str">
        <x:v>Approved</x:v>
      </x:c>
      <x:c r="L6" s="270" t="str">
        <x:v>LinhNDM</x:v>
      </x:c>
      <x:c r="M6" s="271" t="n">
        <x:v>46304</x:v>
      </x:c>
      <x:c r="N6" s="270" t="str">
        <x:v>Start date: Report 1; participation estimated.</x:v>
      </x:c>
    </x:row>
    <x:row r="7" ht="72" customHeight="1">
      <x:c r="A7" s="270" t="str">
        <x:v>TL-003</x:v>
      </x:c>
      <x:c r="B7" s="271" t="n">
        <x:v>46274</x:v>
      </x:c>
      <x:c r="C7" s="270" t="str">
        <x:v>SonLT</x:v>
      </x:c>
      <x:c r="D7" s="270" t="str">
        <x:v>WBS-065</x:v>
      </x:c>
      <x:c r="E7" s="270" t="str">
        <x:v>Project kickoff, initial problem/scope and member task allocation</x:v>
      </x:c>
      <x:c r="F7" s="270" t="str">
        <x:v>Meeting</x:v>
      </x:c>
      <x:c r="G7" s="270" t="str">
        <x:v>Newly-Created</x:v>
      </x:c>
      <x:c r="H7" s="272" t="n">
        <x:v>1.5</x:v>
      </x:c>
      <x:c r="I7" s="270" t="str">
        <x:v>Initial project plan</x:v>
      </x:c>
      <x:c r="J7" s="270" t="str">
        <x:v>General</x:v>
      </x:c>
      <x:c r="K7" s="270" t="str">
        <x:v>Approved</x:v>
      </x:c>
      <x:c r="L7" s="270" t="str">
        <x:v>LinhNDM</x:v>
      </x:c>
      <x:c r="M7" s="271" t="n">
        <x:v>46304</x:v>
      </x:c>
      <x:c r="N7" s="270" t="str">
        <x:v>Start date: Report 1; participation estimated.</x:v>
      </x:c>
    </x:row>
    <x:row r="8" ht="72" customHeight="1">
      <x:c r="A8" s="270" t="str">
        <x:v>TL-004</x:v>
      </x:c>
      <x:c r="B8" s="271" t="n">
        <x:v>46274</x:v>
      </x:c>
      <x:c r="C8" s="270" t="str">
        <x:v>HieuLT</x:v>
      </x:c>
      <x:c r="D8" s="270" t="str">
        <x:v>WBS-065</x:v>
      </x:c>
      <x:c r="E8" s="270" t="str">
        <x:v>Project kickoff, initial problem/scope and member task allocation</x:v>
      </x:c>
      <x:c r="F8" s="270" t="str">
        <x:v>Meeting</x:v>
      </x:c>
      <x:c r="G8" s="270" t="str">
        <x:v>Newly-Created</x:v>
      </x:c>
      <x:c r="H8" s="272" t="n">
        <x:v>1.5</x:v>
      </x:c>
      <x:c r="I8" s="270" t="str">
        <x:v>Initial project plan</x:v>
      </x:c>
      <x:c r="J8" s="270" t="str">
        <x:v>General</x:v>
      </x:c>
      <x:c r="K8" s="270" t="str">
        <x:v>Submitted</x:v>
      </x:c>
      <x:c r="L8" s="270"/>
      <x:c r="M8" s="271" t="n">
        <x:v>46302</x:v>
      </x:c>
      <x:c r="N8" s="270" t="str">
        <x:v>Start date: Report 1; participation estimated.</x:v>
      </x:c>
    </x:row>
    <x:row r="9" ht="72" customHeight="1">
      <x:c r="A9" s="270" t="str">
        <x:v>TL-005</x:v>
      </x:c>
      <x:c r="B9" s="271" t="n">
        <x:v>46274</x:v>
      </x:c>
      <x:c r="C9" s="270" t="str">
        <x:v>TungVPH</x:v>
      </x:c>
      <x:c r="D9" s="270" t="str">
        <x:v>WBS-065</x:v>
      </x:c>
      <x:c r="E9" s="270" t="str">
        <x:v>Project kickoff, initial problem/scope and member task allocation</x:v>
      </x:c>
      <x:c r="F9" s="270" t="str">
        <x:v>Meeting</x:v>
      </x:c>
      <x:c r="G9" s="270" t="str">
        <x:v>Newly-Created</x:v>
      </x:c>
      <x:c r="H9" s="272" t="n">
        <x:v>1.5</x:v>
      </x:c>
      <x:c r="I9" s="270" t="str">
        <x:v>Initial project plan</x:v>
      </x:c>
      <x:c r="J9" s="270" t="str">
        <x:v>General</x:v>
      </x:c>
      <x:c r="K9" s="270" t="str">
        <x:v>Approved</x:v>
      </x:c>
      <x:c r="L9" s="270" t="str">
        <x:v>LinhNDM</x:v>
      </x:c>
      <x:c r="M9" s="271" t="n">
        <x:v>46304</x:v>
      </x:c>
      <x:c r="N9" s="270" t="str">
        <x:v>Start date: Report 1; participation estimated.</x:v>
      </x:c>
    </x:row>
    <x:row r="10" ht="72" customHeight="1">
      <x:c r="A10" s="270" t="str">
        <x:v>TL-006</x:v>
      </x:c>
      <x:c r="B10" s="271" t="n">
        <x:v>46280</x:v>
      </x:c>
      <x:c r="C10" s="270" t="str">
        <x:v>HieuLT</x:v>
      </x:c>
      <x:c r="D10" s="270" t="str">
        <x:v>WBS-055</x:v>
      </x:c>
      <x:c r="E10" s="270" t="str">
        <x:v>Initialize React / TypeScript / Vite and application folders</x:v>
      </x:c>
      <x:c r="F10" s="270" t="str">
        <x:v>Coding</x:v>
      </x:c>
      <x:c r="G10" s="270" t="str">
        <x:v>Newly-Created</x:v>
      </x:c>
      <x:c r="H10" s="272" t="n">
        <x:v>3</x:v>
      </x:c>
      <x:c r="I10" s="270" t="str">
        <x:v>Frontend scaffold</x:v>
      </x:c>
      <x:c r="J10" s="270" t="str">
        <x:v>General</x:v>
      </x:c>
      <x:c r="K10" s="270" t="str">
        <x:v>Submitted</x:v>
      </x:c>
      <x:c r="L10" s="270"/>
      <x:c r="M10" s="271" t="n">
        <x:v>46302</x:v>
      </x:c>
      <x:c r="N10" s="270" t="str">
        <x:v>FE 241abca.</x:v>
      </x:c>
    </x:row>
    <x:row r="11" ht="72" customHeight="1">
      <x:c r="A11" s="270" t="str">
        <x:v>TL-007</x:v>
      </x:c>
      <x:c r="B11" s="271" t="n">
        <x:v>46280</x:v>
      </x:c>
      <x:c r="C11" s="270" t="str">
        <x:v>HieuLT</x:v>
      </x:c>
      <x:c r="D11" s="270" t="str">
        <x:v>WBS-055</x:v>
      </x:c>
      <x:c r="E11" s="270" t="str">
        <x:v>Configure Tailwind, shadcn setup, theme and import aliases</x:v>
      </x:c>
      <x:c r="F11" s="270" t="str">
        <x:v>Coding</x:v>
      </x:c>
      <x:c r="G11" s="270" t="str">
        <x:v>Newly-Created</x:v>
      </x:c>
      <x:c r="H11" s="272" t="n">
        <x:v>2.5</x:v>
      </x:c>
      <x:c r="I11" s="270" t="str">
        <x:v>FE styling foundation</x:v>
      </x:c>
      <x:c r="J11" s="270" t="str">
        <x:v>General</x:v>
      </x:c>
      <x:c r="K11" s="270" t="str">
        <x:v>Submitted</x:v>
      </x:c>
      <x:c r="L11" s="270"/>
      <x:c r="M11" s="271" t="n">
        <x:v>46302</x:v>
      </x:c>
      <x:c r="N11" s="270" t="str">
        <x:v>FE 241abca.</x:v>
      </x:c>
    </x:row>
    <x:row r="12" ht="72" customHeight="1">
      <x:c r="A12" s="270" t="str">
        <x:v>TL-008</x:v>
      </x:c>
      <x:c r="B12" s="271" t="n">
        <x:v>46280</x:v>
      </x:c>
      <x:c r="C12" s="270" t="str">
        <x:v>HieuLT</x:v>
      </x:c>
      <x:c r="D12" s="270" t="str">
        <x:v>WBS-055</x:v>
      </x:c>
      <x:c r="E12" s="270" t="str">
        <x:v>Configure Node/npm constraints, dependencies, lint/typecheck/build</x:v>
      </x:c>
      <x:c r="F12" s="270" t="str">
        <x:v>Coding</x:v>
      </x:c>
      <x:c r="G12" s="270" t="str">
        <x:v>Newly-Created</x:v>
      </x:c>
      <x:c r="H12" s="272" t="n">
        <x:v>2</x:v>
      </x:c>
      <x:c r="I12" s="270" t="str">
        <x:v>FE tooling baseline</x:v>
      </x:c>
      <x:c r="J12" s="270" t="str">
        <x:v>General</x:v>
      </x:c>
      <x:c r="K12" s="270" t="str">
        <x:v>Submitted</x:v>
      </x:c>
      <x:c r="L12" s="270"/>
      <x:c r="M12" s="271" t="n">
        <x:v>46302</x:v>
      </x:c>
      <x:c r="N12" s="270" t="str">
        <x:v>FE 241abca, 8581a72.</x:v>
      </x:c>
    </x:row>
    <x:row r="13" ht="72" customHeight="1">
      <x:c r="A13" s="270" t="str">
        <x:v>TL-009</x:v>
      </x:c>
      <x:c r="B13" s="271" t="n">
        <x:v>46281</x:v>
      </x:c>
      <x:c r="C13" s="270" t="str">
        <x:v>HieuLT</x:v>
      </x:c>
      <x:c r="D13" s="270" t="str">
        <x:v>WBS-053</x:v>
      </x:c>
      <x:c r="E13" s="270" t="str">
        <x:v>Implement Gateway routing, external/internal JWT and service security</x:v>
      </x:c>
      <x:c r="F13" s="270" t="str">
        <x:v>Coding</x:v>
      </x:c>
      <x:c r="G13" s="270" t="str">
        <x:v>Updating</x:v>
      </x:c>
      <x:c r="H13" s="272" t="n">
        <x:v>5</x:v>
      </x:c>
      <x:c r="I13" s="270" t="str">
        <x:v>Ingress and security baseline</x:v>
      </x:c>
      <x:c r="J13" s="270" t="str">
        <x:v>General</x:v>
      </x:c>
      <x:c r="K13" s="270" t="str">
        <x:v>Submitted</x:v>
      </x:c>
      <x:c r="L13" s="270"/>
      <x:c r="M13" s="271" t="n">
        <x:v>46302</x:v>
      </x:c>
      <x:c r="N13" s="270" t="str">
        <x:v>BE 218e071, a18a44e.</x:v>
      </x:c>
    </x:row>
    <x:row r="14" ht="72" customHeight="1">
      <x:c r="A14" s="270" t="str">
        <x:v>TL-010</x:v>
      </x:c>
      <x:c r="B14" s="271" t="n">
        <x:v>46282</x:v>
      </x:c>
      <x:c r="C14" s="270" t="str">
        <x:v>HieuLT</x:v>
      </x:c>
      <x:c r="D14" s="270" t="str">
        <x:v>WBS-051</x:v>
      </x:c>
      <x:c r="E14" s="270" t="str">
        <x:v>Initialize Maven multi-module build and service structure</x:v>
      </x:c>
      <x:c r="F14" s="270" t="str">
        <x:v>Coding</x:v>
      </x:c>
      <x:c r="G14" s="270" t="str">
        <x:v>Newly-Created</x:v>
      </x:c>
      <x:c r="H14" s="272" t="n">
        <x:v>2.5</x:v>
      </x:c>
      <x:c r="I14" s="270" t="str">
        <x:v>Backend scaffold</x:v>
      </x:c>
      <x:c r="J14" s="270" t="str">
        <x:v>General</x:v>
      </x:c>
      <x:c r="K14" s="270" t="str">
        <x:v>Submitted</x:v>
      </x:c>
      <x:c r="L14" s="270"/>
      <x:c r="M14" s="271" t="n">
        <x:v>46302</x:v>
      </x:c>
      <x:c r="N14" s="270" t="str">
        <x:v>BE 218e071: Maven multi-module build and backend service structure.</x:v>
      </x:c>
    </x:row>
    <x:row r="15" ht="72" customHeight="1">
      <x:c r="A15" s="270" t="str">
        <x:v>TL-011</x:v>
      </x:c>
      <x:c r="B15" s="271" t="n">
        <x:v>46282</x:v>
      </x:c>
      <x:c r="C15" s="270" t="str">
        <x:v>TungVPH</x:v>
      </x:c>
      <x:c r="D15" s="270" t="str">
        <x:v>WBS-052</x:v>
      </x:c>
      <x:c r="E15" s="270" t="str">
        <x:v>Set up Config Server, configuration repository and Eureka</x:v>
      </x:c>
      <x:c r="F15" s="270" t="str">
        <x:v>Coding</x:v>
      </x:c>
      <x:c r="G15" s="270" t="str">
        <x:v>Newly-Created</x:v>
      </x:c>
      <x:c r="H15" s="272" t="n">
        <x:v>3.5</x:v>
      </x:c>
      <x:c r="I15" s="270" t="str">
        <x:v>Service infrastructure</x:v>
      </x:c>
      <x:c r="J15" s="270" t="str">
        <x:v>General</x:v>
      </x:c>
      <x:c r="K15" s="270" t="str">
        <x:v>Approved</x:v>
      </x:c>
      <x:c r="L15" s="270" t="str">
        <x:v>LinhNDM</x:v>
      </x:c>
      <x:c r="M15" s="271" t="n">
        <x:v>46304</x:v>
      </x:c>
      <x:c r="N15" s="270" t="str">
        <x:v>BE 218e071.</x:v>
      </x:c>
    </x:row>
    <x:row r="16" ht="72" customHeight="1">
      <x:c r="A16" s="270" t="str">
        <x:v>TL-012</x:v>
      </x:c>
      <x:c r="B16" s="271" t="n">
        <x:v>46282</x:v>
      </x:c>
      <x:c r="C16" s="270" t="str">
        <x:v>TungVPH</x:v>
      </x:c>
      <x:c r="D16" s="270" t="str">
        <x:v>WBS-054</x:v>
      </x:c>
      <x:c r="E16" s="270" t="str">
        <x:v>Set up Docker Compose, PostgreSQL and container configuration</x:v>
      </x:c>
      <x:c r="F16" s="270" t="str">
        <x:v>Coding</x:v>
      </x:c>
      <x:c r="G16" s="270" t="str">
        <x:v>Updating</x:v>
      </x:c>
      <x:c r="H16" s="272" t="n">
        <x:v>4</x:v>
      </x:c>
      <x:c r="I16" s="270" t="str">
        <x:v>Local infrastructure setup</x:v>
      </x:c>
      <x:c r="J16" s="270" t="str">
        <x:v>General</x:v>
      </x:c>
      <x:c r="K16" s="270" t="str">
        <x:v>Approved</x:v>
      </x:c>
      <x:c r="L16" s="270" t="str">
        <x:v>LinhNDM</x:v>
      </x:c>
      <x:c r="M16" s="271" t="n">
        <x:v>46304</x:v>
      </x:c>
      <x:c r="N16" s="270" t="str">
        <x:v>BE 218e071, dac8b03.</x:v>
      </x:c>
    </x:row>
    <x:row r="17" ht="72" customHeight="1">
      <x:c r="A17" s="270" t="str">
        <x:v>TL-013</x:v>
      </x:c>
      <x:c r="B17" s="271" t="n">
        <x:v>46282</x:v>
      </x:c>
      <x:c r="C17" s="270" t="str">
        <x:v>PhuPD</x:v>
      </x:c>
      <x:c r="D17" s="270" t="str">
        <x:v>WBS-069</x:v>
      </x:c>
      <x:c r="E17" s="270" t="str">
        <x:v>Initialize User service module, configuration and account/auth structure</x:v>
      </x:c>
      <x:c r="F17" s="270" t="str">
        <x:v>Coding</x:v>
      </x:c>
      <x:c r="G17" s="270" t="str">
        <x:v>Newly-Created</x:v>
      </x:c>
      <x:c r="H17" s="272" t="n">
        <x:v>1.5</x:v>
      </x:c>
      <x:c r="I17" s="270" t="str">
        <x:v>User service initialization</x:v>
      </x:c>
      <x:c r="J17" s="270" t="str">
        <x:v>Iteration 1</x:v>
      </x:c>
      <x:c r="K17" s="270" t="str">
        <x:v>Approved</x:v>
      </x:c>
      <x:c r="L17" s="270" t="str">
        <x:v>LinhNDM</x:v>
      </x:c>
      <x:c r="M17" s="271" t="n">
        <x:v>46304</x:v>
      </x:c>
      <x:c r="N17" s="270" t="str">
        <x:v>BE 218e071: User service initialization; auth updates and tests recorded separately.</x:v>
      </x:c>
    </x:row>
    <x:row r="18" ht="72" customHeight="1">
      <x:c r="A18" s="270" t="str">
        <x:v>TL-014</x:v>
      </x:c>
      <x:c r="B18" s="271" t="n">
        <x:v>46287</x:v>
      </x:c>
      <x:c r="C18" s="270" t="str">
        <x:v>PhuPD</x:v>
      </x:c>
      <x:c r="D18" s="270" t="str">
        <x:v>WBS-069</x:v>
      </x:c>
      <x:c r="E18" s="270" t="str">
        <x:v>Add user unit tests and HttpOnly-cookie authentication</x:v>
      </x:c>
      <x:c r="F18" s="270" t="str">
        <x:v>Coding</x:v>
      </x:c>
      <x:c r="G18" s="270" t="str">
        <x:v>Updating</x:v>
      </x:c>
      <x:c r="H18" s="272" t="n">
        <x:v>6.5</x:v>
      </x:c>
      <x:c r="I18" s="270" t="str">
        <x:v>User/auth APIs and tests</x:v>
      </x:c>
      <x:c r="J18" s="270" t="str">
        <x:v>Iteration 1</x:v>
      </x:c>
      <x:c r="K18" s="270" t="str">
        <x:v>Approved</x:v>
      </x:c>
      <x:c r="L18" s="270" t="str">
        <x:v>LinhNDM</x:v>
      </x:c>
      <x:c r="M18" s="271" t="n">
        <x:v>46304</x:v>
      </x:c>
      <x:c r="N18" s="270" t="str">
        <x:v>BE 115c36d, 2c9d37f.</x:v>
      </x:c>
    </x:row>
    <x:row r="19" ht="72" customHeight="1">
      <x:c r="A19" s="270" t="str">
        <x:v>TL-015</x:v>
      </x:c>
      <x:c r="B19" s="271" t="n">
        <x:v>46287</x:v>
      </x:c>
      <x:c r="C19" s="270" t="str">
        <x:v>TungVPH</x:v>
      </x:c>
      <x:c r="D19" s="270" t="str">
        <x:v>WBS-082</x:v>
      </x:c>
      <x:c r="E19" s="270" t="str">
        <x:v>Scaffold Notification service and register shared configuration/routing</x:v>
      </x:c>
      <x:c r="F19" s="270" t="str">
        <x:v>Coding</x:v>
      </x:c>
      <x:c r="G19" s="270" t="str">
        <x:v>Newly-Created</x:v>
      </x:c>
      <x:c r="H19" s="272" t="n">
        <x:v>1.5</x:v>
      </x:c>
      <x:c r="I19" s="270" t="str">
        <x:v>Notification service scaffold/config</x:v>
      </x:c>
      <x:c r="J19" s="270" t="str">
        <x:v>General</x:v>
      </x:c>
      <x:c r="K19" s="270" t="str">
        <x:v>Approved</x:v>
      </x:c>
      <x:c r="L19" s="270" t="str">
        <x:v>LinhNDM</x:v>
      </x:c>
      <x:c r="M19" s="271" t="n">
        <x:v>46304</x:v>
      </x:c>
      <x:c r="N19" s="270" t="str">
        <x:v>BE 11a78fa6: Notification scaffold/configuration/routing; delivery, reminders and retry remain outstanding.</x:v>
      </x:c>
    </x:row>
    <x:row r="20" ht="72" customHeight="1">
      <x:c r="A20" s="270" t="str">
        <x:v>TL-016</x:v>
      </x:c>
      <x:c r="B20" s="271" t="n">
        <x:v>46288</x:v>
      </x:c>
      <x:c r="C20" s="270" t="str">
        <x:v>TungVPH</x:v>
      </x:c>
      <x:c r="D20" s="270" t="str">
        <x:v>WBS-066</x:v>
      </x:c>
      <x:c r="E20" s="270" t="str">
        <x:v>Initialize Content service, Flyway schema and base content APIs</x:v>
      </x:c>
      <x:c r="F20" s="270" t="str">
        <x:v>Coding</x:v>
      </x:c>
      <x:c r="G20" s="270" t="str">
        <x:v>Updating</x:v>
      </x:c>
      <x:c r="H20" s="272" t="n">
        <x:v>3</x:v>
      </x:c>
      <x:c r="I20" s="270" t="str">
        <x:v>Content service baseline</x:v>
      </x:c>
      <x:c r="J20" s="270" t="str">
        <x:v>Iteration 1</x:v>
      </x:c>
      <x:c r="K20" s="270" t="str">
        <x:v>Approved</x:v>
      </x:c>
      <x:c r="L20" s="270" t="str">
        <x:v>LinhNDM</x:v>
      </x:c>
      <x:c r="M20" s="271" t="n">
        <x:v>46304</x:v>
      </x:c>
      <x:c r="N20" s="270" t="str">
        <x:v>BE 11a78fa: Content module, schema and base APIs.</x:v>
      </x:c>
    </x:row>
    <x:row r="21" ht="72" customHeight="1">
      <x:c r="A21" s="270" t="str">
        <x:v>TL-017</x:v>
      </x:c>
      <x:c r="B21" s="271" t="n">
        <x:v>46288</x:v>
      </x:c>
      <x:c r="C21" s="270" t="str">
        <x:v>SonLT</x:v>
      </x:c>
      <x:c r="D21" s="270" t="str">
        <x:v>WBS-079</x:v>
      </x:c>
      <x:c r="E21" s="270" t="str">
        <x:v>Build mock learning workspace and UI prototype</x:v>
      </x:c>
      <x:c r="F21" s="270" t="str">
        <x:v>Coding</x:v>
      </x:c>
      <x:c r="G21" s="270" t="str">
        <x:v>Updating</x:v>
      </x:c>
      <x:c r="H21" s="272" t="n">
        <x:v>6</x:v>
      </x:c>
      <x:c r="I21" s="270" t="str">
        <x:v>Initial learning UI</x:v>
      </x:c>
      <x:c r="J21" s="270" t="str">
        <x:v>General</x:v>
      </x:c>
      <x:c r="K21" s="270" t="str">
        <x:v>Approved</x:v>
      </x:c>
      <x:c r="L21" s="270" t="str">
        <x:v>LinhNDM</x:v>
      </x:c>
      <x:c r="M21" s="271" t="n">
        <x:v>46304</x:v>
      </x:c>
      <x:c r="N21" s="270" t="str">
        <x:v>FE 6ffb8a4, b8d3f3f.</x:v>
      </x:c>
    </x:row>
    <x:row r="22" ht="72" customHeight="1">
      <x:c r="A22" s="270" t="str">
        <x:v>TL-018</x:v>
      </x:c>
      <x:c r="B22" s="271" t="n">
        <x:v>46288</x:v>
      </x:c>
      <x:c r="C22" s="270" t="str">
        <x:v>PhuPD</x:v>
      </x:c>
      <x:c r="D22" s="270" t="str">
        <x:v>WBS-068</x:v>
      </x:c>
      <x:c r="E22" s="270" t="str">
        <x:v>Initialize Access service, plans/points APIs and Access tests</x:v>
      </x:c>
      <x:c r="F22" s="270" t="str">
        <x:v>Coding</x:v>
      </x:c>
      <x:c r="G22" s="270" t="str">
        <x:v>Newly-Created</x:v>
      </x:c>
      <x:c r="H22" s="272" t="n">
        <x:v>2.5</x:v>
      </x:c>
      <x:c r="I22" s="270" t="str">
        <x:v>Access service baseline</x:v>
      </x:c>
      <x:c r="J22" s="270" t="str">
        <x:v>Iteration 1</x:v>
      </x:c>
      <x:c r="K22" s="270" t="str">
        <x:v>Approved</x:v>
      </x:c>
      <x:c r="L22" s="270" t="str">
        <x:v>LinhNDM</x:v>
      </x:c>
      <x:c r="M22" s="271" t="n">
        <x:v>46304</x:v>
      </x:c>
      <x:c r="N22" s="270" t="str">
        <x:v>BE 99b7d4f / 3678274: Access service initialization and tests.</x:v>
      </x:c>
    </x:row>
    <x:row r="23" ht="72" customHeight="1">
      <x:c r="A23" s="270" t="str">
        <x:v>TL-019</x:v>
      </x:c>
      <x:c r="B23" s="271" t="n">
        <x:v>46288</x:v>
      </x:c>
      <x:c r="C23" s="270" t="str">
        <x:v>TungVPH</x:v>
      </x:c>
      <x:c r="D23" s="270" t="str">
        <x:v>WBS-081</x:v>
      </x:c>
      <x:c r="E23" s="270" t="str">
        <x:v>Initialize Community service and initial community backend code</x:v>
      </x:c>
      <x:c r="F23" s="270" t="str">
        <x:v>Coding</x:v>
      </x:c>
      <x:c r="G23" s="270" t="str">
        <x:v>Newly-Created</x:v>
      </x:c>
      <x:c r="H23" s="272" t="n">
        <x:v>3</x:v>
      </x:c>
      <x:c r="I23" s="270" t="str">
        <x:v>Community service initial module/code</x:v>
      </x:c>
      <x:c r="J23" s="270" t="str">
        <x:v>General</x:v>
      </x:c>
      <x:c r="K23" s="270" t="str">
        <x:v>Approved</x:v>
      </x:c>
      <x:c r="L23" s="270" t="str">
        <x:v>LinhNDM</x:v>
      </x:c>
      <x:c r="M23" s="271" t="n">
        <x:v>46304</x:v>
      </x:c>
      <x:c r="N23" s="270" t="str">
        <x:v>BE 559718a4 / 10433389: initial Community module/code; complete community flows remain outstanding.</x:v>
      </x:c>
    </x:row>
    <x:row r="24" ht="72" customHeight="1">
      <x:c r="A24" s="270" t="str">
        <x:v>TL-020</x:v>
      </x:c>
      <x:c r="B24" s="271" t="n">
        <x:v>46288</x:v>
      </x:c>
      <x:c r="C24" s="270" t="str">
        <x:v>HoangNV</x:v>
      </x:c>
      <x:c r="D24" s="270" t="str">
        <x:v>WBS-071</x:v>
      </x:c>
      <x:c r="E24" s="270" t="str">
        <x:v>Initialize historical Learning Support service before Library/activity migration</x:v>
      </x:c>
      <x:c r="F24" s="270" t="str">
        <x:v>Coding</x:v>
      </x:c>
      <x:c r="G24" s="270" t="str">
        <x:v>Newly-Created</x:v>
      </x:c>
      <x:c r="H24" s="272" t="n">
        <x:v>1.5</x:v>
      </x:c>
      <x:c r="I24" s="270" t="str">
        <x:v>Historical Learning Support module</x:v>
      </x:c>
      <x:c r="J24" s="270" t="str">
        <x:v>Iteration 1</x:v>
      </x:c>
      <x:c r="K24" s="270" t="str">
        <x:v>Approved</x:v>
      </x:c>
      <x:c r="L24" s="270" t="str">
        <x:v>LinhNDM</x:v>
      </x:c>
      <x:c r="M24" s="271" t="n">
        <x:v>46304</x:v>
      </x:c>
      <x:c r="N24" s="270" t="str">
        <x:v>BE 3512cc8f / b886d3f2: historical Learning Support module, later replaced by Library/activity migration.</x:v>
      </x:c>
    </x:row>
    <x:row r="25" ht="72" customHeight="1">
      <x:c r="A25" s="270" t="str">
        <x:v>TL-021</x:v>
      </x:c>
      <x:c r="B25" s="271" t="n">
        <x:v>46289</x:v>
      </x:c>
      <x:c r="C25" s="270" t="str">
        <x:v>PhuPD</x:v>
      </x:c>
      <x:c r="D25" s="270" t="str">
        <x:v>WBS-067</x:v>
      </x:c>
      <x:c r="E25" s="270" t="str">
        <x:v>Initialize Assessment service and attempt/answer domain structure</x:v>
      </x:c>
      <x:c r="F25" s="270" t="str">
        <x:v>Coding</x:v>
      </x:c>
      <x:c r="G25" s="270" t="str">
        <x:v>Updating</x:v>
      </x:c>
      <x:c r="H25" s="272" t="n">
        <x:v>3.5</x:v>
      </x:c>
      <x:c r="I25" s="270" t="str">
        <x:v>Assessment service baseline</x:v>
      </x:c>
      <x:c r="J25" s="270" t="str">
        <x:v>Iteration 1</x:v>
      </x:c>
      <x:c r="K25" s="270" t="str">
        <x:v>Approved</x:v>
      </x:c>
      <x:c r="L25" s="270" t="str">
        <x:v>LinhNDM</x:v>
      </x:c>
      <x:c r="M25" s="271" t="n">
        <x:v>46304</x:v>
      </x:c>
      <x:c r="N25" s="270" t="str">
        <x:v>BE c087a3f: Assessment module and attempt/answer structure.</x:v>
      </x:c>
    </x:row>
    <x:row r="26" ht="72" customHeight="1">
      <x:c r="A26" s="270" t="str">
        <x:v>TL-022</x:v>
      </x:c>
      <x:c r="B26" s="271" t="n">
        <x:v>46289</x:v>
      </x:c>
      <x:c r="C26" s="270" t="str">
        <x:v>HieuLT</x:v>
      </x:c>
      <x:c r="D26" s="270" t="str">
        <x:v>WBS-070</x:v>
      </x:c>
      <x:c r="E26" s="270" t="str">
        <x:v>Build the historical Python AI Learning prototype and local runtime</x:v>
      </x:c>
      <x:c r="F26" s="270" t="str">
        <x:v>Coding</x:v>
      </x:c>
      <x:c r="G26" s="270" t="str">
        <x:v>Updating</x:v>
      </x:c>
      <x:c r="H26" s="272" t="n">
        <x:v>4</x:v>
      </x:c>
      <x:c r="I26" s="270" t="str">
        <x:v>Earlier learning prototype</x:v>
      </x:c>
      <x:c r="J26" s="270" t="str">
        <x:v>Iteration 1</x:v>
      </x:c>
      <x:c r="K26" s="270" t="str">
        <x:v>Submitted</x:v>
      </x:c>
      <x:c r="L26" s="270"/>
      <x:c r="M26" s="271" t="n">
        <x:v>46302</x:v>
      </x:c>
      <x:c r="N26" s="270" t="str">
        <x:v>BE e1cf196, f430f61, 4ba99a5, 2860664.</x:v>
      </x:c>
    </x:row>
    <x:row r="27" ht="72" customHeight="1">
      <x:c r="A27" s="270" t="str">
        <x:v>TL-023</x:v>
      </x:c>
      <x:c r="B27" s="271" t="n">
        <x:v>46289</x:v>
      </x:c>
      <x:c r="C27" s="270" t="str">
        <x:v>PhuPD</x:v>
      </x:c>
      <x:c r="D27" s="270" t="str">
        <x:v>WBS-080</x:v>
      </x:c>
      <x:c r="E27" s="270" t="str">
        <x:v>Initialize Game service and initial game backend code</x:v>
      </x:c>
      <x:c r="F27" s="270" t="str">
        <x:v>Coding</x:v>
      </x:c>
      <x:c r="G27" s="270" t="str">
        <x:v>Newly-Created</x:v>
      </x:c>
      <x:c r="H27" s="272" t="n">
        <x:v>3</x:v>
      </x:c>
      <x:c r="I27" s="270" t="str">
        <x:v>Game service initial module/code</x:v>
      </x:c>
      <x:c r="J27" s="270" t="str">
        <x:v>General</x:v>
      </x:c>
      <x:c r="K27" s="270" t="str">
        <x:v>Approved</x:v>
      </x:c>
      <x:c r="L27" s="270" t="str">
        <x:v>LinhNDM</x:v>
      </x:c>
      <x:c r="M27" s="271" t="n">
        <x:v>46304</x:v>
      </x:c>
      <x:c r="N27" s="270" t="str">
        <x:v>BE c12541b6 / c2561e23: initial Game module/code; full gameplay remains outstanding.</x:v>
      </x:c>
    </x:row>
    <x:row r="28" ht="72" customHeight="1">
      <x:c r="A28" s="270" t="str">
        <x:v>TL-024</x:v>
      </x:c>
      <x:c r="B28" s="271" t="n">
        <x:v>46294</x:v>
      </x:c>
      <x:c r="C28" s="270" t="str">
        <x:v>SonLT</x:v>
      </x:c>
      <x:c r="D28" s="270" t="str">
        <x:v>WBS-079</x:v>
      </x:c>
      <x:c r="E28" s="270" t="str">
        <x:v>Record learning page and interactive-tool verification</x:v>
      </x:c>
      <x:c r="F28" s="270" t="str">
        <x:v>Testing</x:v>
      </x:c>
      <x:c r="G28" s="270" t="str">
        <x:v>Reviewing</x:v>
      </x:c>
      <x:c r="H28" s="272" t="n">
        <x:v>3.5</x:v>
      </x:c>
      <x:c r="I28" s="270" t="str">
        <x:v>UI verification work</x:v>
      </x:c>
      <x:c r="J28" s="270" t="str">
        <x:v>General</x:v>
      </x:c>
      <x:c r="K28" s="270" t="str">
        <x:v>Approved</x:v>
      </x:c>
      <x:c r="L28" s="270" t="str">
        <x:v>LinhNDM</x:v>
      </x:c>
      <x:c r="M28" s="271" t="n">
        <x:v>46304</x:v>
      </x:c>
      <x:c r="N28" s="270" t="str">
        <x:v>FE 43f537b.</x:v>
      </x:c>
    </x:row>
    <x:row r="29" ht="72" customHeight="1">
      <x:c r="A29" s="270" t="str">
        <x:v>TL-025</x:v>
      </x:c>
      <x:c r="B29" s="271" t="n">
        <x:v>46294</x:v>
      </x:c>
      <x:c r="C29" s="270" t="str">
        <x:v>HieuLT</x:v>
      </x:c>
      <x:c r="D29" s="270" t="str">
        <x:v>WBS-076</x:v>
      </x:c>
      <x:c r="E29" s="270" t="str">
        <x:v>Record backend MVP end-to-end acceptance evidence</x:v>
      </x:c>
      <x:c r="F29" s="270" t="str">
        <x:v>Testing</x:v>
      </x:c>
      <x:c r="G29" s="270" t="str">
        <x:v>Reviewing</x:v>
      </x:c>
      <x:c r="H29" s="272" t="n">
        <x:v>4</x:v>
      </x:c>
      <x:c r="I29" s="270" t="str">
        <x:v>Backend E2E report</x:v>
      </x:c>
      <x:c r="J29" s="270" t="str">
        <x:v>Iteration 1</x:v>
      </x:c>
      <x:c r="K29" s="270" t="str">
        <x:v>Submitted</x:v>
      </x:c>
      <x:c r="L29" s="270"/>
      <x:c r="M29" s="271" t="n">
        <x:v>46302</x:v>
      </x:c>
      <x:c r="N29" s="270" t="str">
        <x:v>BE 9140128.</x:v>
      </x:c>
    </x:row>
    <x:row r="30" ht="72" customHeight="1">
      <x:c r="A30" s="270" t="str">
        <x:v>TL-026</x:v>
      </x:c>
      <x:c r="B30" s="271" t="n">
        <x:v>46295</x:v>
      </x:c>
      <x:c r="C30" s="270" t="str">
        <x:v>SonLT</x:v>
      </x:c>
      <x:c r="D30" s="270" t="str">
        <x:v>WBS-079</x:v>
      </x:c>
      <x:c r="E30" s="270" t="str">
        <x:v>Add shared UI utilities, learning pages and interactive workspaces</x:v>
      </x:c>
      <x:c r="F30" s="270" t="str">
        <x:v>Coding</x:v>
      </x:c>
      <x:c r="G30" s="270" t="str">
        <x:v>Updating</x:v>
      </x:c>
      <x:c r="H30" s="272" t="n">
        <x:v>8</x:v>
      </x:c>
      <x:c r="I30" s="270" t="str">
        <x:v>FE pages and UI components</x:v>
      </x:c>
      <x:c r="J30" s="270" t="str">
        <x:v>General</x:v>
      </x:c>
      <x:c r="K30" s="270" t="str">
        <x:v>Approved</x:v>
      </x:c>
      <x:c r="L30" s="270" t="str">
        <x:v>LinhNDM</x:v>
      </x:c>
      <x:c r="M30" s="271" t="n">
        <x:v>46304</x:v>
      </x:c>
      <x:c r="N30" s="270" t="str">
        <x:v>FE 015701d, b93604b.</x:v>
      </x:c>
    </x:row>
    <x:row r="31" ht="72" customHeight="1">
      <x:c r="A31" s="270" t="str">
        <x:v>TL-027</x:v>
      </x:c>
      <x:c r="B31" s="271" t="n">
        <x:v>46295</x:v>
      </x:c>
      <x:c r="C31" s="270" t="str">
        <x:v>HieuLT</x:v>
      </x:c>
      <x:c r="D31" s="270" t="str">
        <x:v>WBS-059</x:v>
      </x:c>
      <x:c r="E31" s="270" t="str">
        <x:v>Implement AssessmentCompleted consumer and update learning progress, review/test assignments</x:v>
      </x:c>
      <x:c r="F31" s="270" t="str">
        <x:v>Coding</x:v>
      </x:c>
      <x:c r="G31" s="270" t="str">
        <x:v>Updating</x:v>
      </x:c>
      <x:c r="H31" s="272" t="n">
        <x:v>8</x:v>
      </x:c>
      <x:c r="I31" s="270" t="str">
        <x:v>Learning result consumer / progress updates</x:v>
      </x:c>
      <x:c r="J31" s="270" t="str">
        <x:v>Iteration 1</x:v>
      </x:c>
      <x:c r="K31" s="270" t="str">
        <x:v>Submitted</x:v>
      </x:c>
      <x:c r="L31" s="270"/>
      <x:c r="M31" s="271" t="n">
        <x:v>46302</x:v>
      </x:c>
      <x:c r="N31" s="270" t="str">
        <x:v>BE 72d4e99 / dd109f5: result consumer, progress and review/test assignment updates.</x:v>
      </x:c>
    </x:row>
    <x:row r="32" ht="72" customHeight="1">
      <x:c r="A32" s="270" t="str">
        <x:v>TL-028</x:v>
      </x:c>
      <x:c r="B32" s="271" t="n">
        <x:v>46295</x:v>
      </x:c>
      <x:c r="C32" s="270" t="str">
        <x:v>TungVPH</x:v>
      </x:c>
      <x:c r="D32" s="270" t="str">
        <x:v>WBS-066</x:v>
      </x:c>
      <x:c r="E32" s="270" t="str">
        <x:v>Seed Writing, Listening and Reading-hint learning content</x:v>
      </x:c>
      <x:c r="F32" s="270" t="str">
        <x:v>Coding</x:v>
      </x:c>
      <x:c r="G32" s="270" t="str">
        <x:v>Updating</x:v>
      </x:c>
      <x:c r="H32" s="272" t="n">
        <x:v>5</x:v>
      </x:c>
      <x:c r="I32" s="270" t="str">
        <x:v>Published demo curriculum</x:v>
      </x:c>
      <x:c r="J32" s="270" t="str">
        <x:v>Iteration 1</x:v>
      </x:c>
      <x:c r="K32" s="270" t="str">
        <x:v>Approved</x:v>
      </x:c>
      <x:c r="L32" s="270" t="str">
        <x:v>LinhNDM</x:v>
      </x:c>
      <x:c r="M32" s="271" t="n">
        <x:v>46304</x:v>
      </x:c>
      <x:c r="N32" s="270" t="str">
        <x:v>BE 37a330c, 555ab81, a163b6b, 70f17a2.</x:v>
      </x:c>
    </x:row>
    <x:row r="33" ht="72" customHeight="1">
      <x:c r="A33" s="270" t="str">
        <x:v>TL-029</x:v>
      </x:c>
      <x:c r="B33" s="271" t="n">
        <x:v>46296</x:v>
      </x:c>
      <x:c r="C33" s="270" t="str">
        <x:v>SonLT</x:v>
      </x:c>
      <x:c r="D33" s="270" t="str">
        <x:v>WBS-071</x:v>
      </x:c>
      <x:c r="E33" s="270" t="str">
        <x:v>Initialize Library service; migrate activity/streak into User and remove legacy Learning Support</x:v>
      </x:c>
      <x:c r="F33" s="270" t="str">
        <x:v>Coding</x:v>
      </x:c>
      <x:c r="G33" s="270" t="str">
        <x:v>Updating</x:v>
      </x:c>
      <x:c r="H33" s="272" t="n">
        <x:v>6</x:v>
      </x:c>
      <x:c r="I33" s="270" t="str">
        <x:v>Library initialization / service migration</x:v>
      </x:c>
      <x:c r="J33" s="270" t="str">
        <x:v>Iteration 1</x:v>
      </x:c>
      <x:c r="K33" s="270" t="str">
        <x:v>Approved</x:v>
      </x:c>
      <x:c r="L33" s="270" t="str">
        <x:v>LinhNDM</x:v>
      </x:c>
      <x:c r="M33" s="271" t="n">
        <x:v>46304</x:v>
      </x:c>
      <x:c r="N33" s="270" t="str">
        <x:v>BE 465f543, d762660, fec5d14, ab613b1.</x:v>
      </x:c>
    </x:row>
    <x:row r="34" ht="72" customHeight="1">
      <x:c r="A34" s="270" t="str">
        <x:v>TL-030</x:v>
      </x:c>
      <x:c r="B34" s="271" t="n">
        <x:v>46296</x:v>
      </x:c>
      <x:c r="C34" s="270" t="str">
        <x:v>TungVPH</x:v>
      </x:c>
      <x:c r="D34" s="270" t="str">
        <x:v>WBS-066</x:v>
      </x:c>
      <x:c r="E34" s="270" t="str">
        <x:v>Implement lesson content endpoints and learner answer-redaction guard</x:v>
      </x:c>
      <x:c r="F34" s="270" t="str">
        <x:v>Coding</x:v>
      </x:c>
      <x:c r="G34" s="270" t="str">
        <x:v>Updating</x:v>
      </x:c>
      <x:c r="H34" s="272" t="n">
        <x:v>5</x:v>
      </x:c>
      <x:c r="I34" s="270" t="str">
        <x:v>Content lesson APIs / security</x:v>
      </x:c>
      <x:c r="J34" s="270" t="str">
        <x:v>Iteration 1</x:v>
      </x:c>
      <x:c r="K34" s="270" t="str">
        <x:v>Approved</x:v>
      </x:c>
      <x:c r="L34" s="270" t="str">
        <x:v>LinhNDM</x:v>
      </x:c>
      <x:c r="M34" s="271" t="n">
        <x:v>46304</x:v>
      </x:c>
      <x:c r="N34" s="270" t="str">
        <x:v>BE 34335aa, 20bed3b.</x:v>
      </x:c>
    </x:row>
    <x:row r="35" ht="72" customHeight="1">
      <x:c r="A35" s="270" t="str">
        <x:v>TL-031</x:v>
      </x:c>
      <x:c r="B35" s="271" t="n">
        <x:v>46296</x:v>
      </x:c>
      <x:c r="C35" s="270" t="str">
        <x:v>HieuLT</x:v>
      </x:c>
      <x:c r="D35" s="270" t="str">
        <x:v>WBS-070</x:v>
      </x:c>
      <x:c r="E35" s="270" t="str">
        <x:v>Initialize Java Learning service and implement lesson/mastery persistence</x:v>
      </x:c>
      <x:c r="F35" s="270" t="str">
        <x:v>Coding</x:v>
      </x:c>
      <x:c r="G35" s="270" t="str">
        <x:v>Updating</x:v>
      </x:c>
      <x:c r="H35" s="272" t="n">
        <x:v>8</x:v>
      </x:c>
      <x:c r="I35" s="270" t="str">
        <x:v>Java learning runtime</x:v>
      </x:c>
      <x:c r="J35" s="270" t="str">
        <x:v>Iteration 1</x:v>
      </x:c>
      <x:c r="K35" s="270" t="str">
        <x:v>Submitted</x:v>
      </x:c>
      <x:c r="L35" s="270"/>
      <x:c r="M35" s="271" t="n">
        <x:v>46302</x:v>
      </x:c>
      <x:c r="N35" s="270" t="str">
        <x:v>BE d96ab9e, 8195982.</x:v>
      </x:c>
    </x:row>
    <x:row r="36" ht="72" customHeight="1">
      <x:c r="A36" s="270" t="str">
        <x:v>TL-032</x:v>
      </x:c>
      <x:c r="B36" s="271" t="n">
        <x:v>46297</x:v>
      </x:c>
      <x:c r="C36" s="270" t="str">
        <x:v>HieuLT</x:v>
      </x:c>
      <x:c r="D36" s="270" t="str">
        <x:v>WBS-070</x:v>
      </x:c>
      <x:c r="E36" s="270" t="str">
        <x:v>Implement lesson essay grading, Listening media contract and hint visibility</x:v>
      </x:c>
      <x:c r="F36" s="270" t="str">
        <x:v>Coding</x:v>
      </x:c>
      <x:c r="G36" s="270" t="str">
        <x:v>Updating</x:v>
      </x:c>
      <x:c r="H36" s="272" t="n">
        <x:v>8</x:v>
      </x:c>
      <x:c r="I36" s="270" t="str">
        <x:v>Writing / Listening / Reading APIs</x:v>
      </x:c>
      <x:c r="J36" s="270" t="str">
        <x:v>Iteration 1</x:v>
      </x:c>
      <x:c r="K36" s="270" t="str">
        <x:v>Submitted</x:v>
      </x:c>
      <x:c r="L36" s="270"/>
      <x:c r="M36" s="271" t="n">
        <x:v>46302</x:v>
      </x:c>
      <x:c r="N36" s="270" t="str">
        <x:v>BE d08337a, 896fa2c, 60c72dd.</x:v>
      </x:c>
    </x:row>
    <x:row r="37" ht="72" customHeight="1">
      <x:c r="A37" s="270" t="str">
        <x:v>TL-033</x:v>
      </x:c>
      <x:c r="B37" s="271" t="n">
        <x:v>46297</x:v>
      </x:c>
      <x:c r="C37" s="270" t="str">
        <x:v>HoangNV</x:v>
      </x:c>
      <x:c r="D37" s="270" t="str">
        <x:v>WBS-056</x:v>
      </x:c>
      <x:c r="E37" s="270" t="str">
        <x:v>Connect frontend main flow to backend and correct submission behaviour</x:v>
      </x:c>
      <x:c r="F37" s="270" t="str">
        <x:v>Coding</x:v>
      </x:c>
      <x:c r="G37" s="270" t="str">
        <x:v>Updating</x:v>
      </x:c>
      <x:c r="H37" s="272" t="n">
        <x:v>8</x:v>
      </x:c>
      <x:c r="I37" s="270" t="str">
        <x:v>HTTP auth and learning flow</x:v>
      </x:c>
      <x:c r="J37" s="270" t="str">
        <x:v>Iteration 1</x:v>
      </x:c>
      <x:c r="K37" s="270" t="str">
        <x:v>Approved</x:v>
      </x:c>
      <x:c r="L37" s="270" t="str">
        <x:v>LinhNDM</x:v>
      </x:c>
      <x:c r="M37" s="271" t="n">
        <x:v>46304</x:v>
      </x:c>
      <x:c r="N37" s="270" t="str">
        <x:v>FE 5505282, f1d5bb0.</x:v>
      </x:c>
    </x:row>
    <x:row r="38" ht="72" customHeight="1">
      <x:c r="A38" s="270" t="str">
        <x:v>TL-034</x:v>
      </x:c>
      <x:c r="B38" s="271" t="n">
        <x:v>46298</x:v>
      </x:c>
      <x:c r="C38" s="270" t="str">
        <x:v>HieuLT</x:v>
      </x:c>
      <x:c r="D38" s="270" t="str">
        <x:v>WBS-057</x:v>
      </x:c>
      <x:c r="E38" s="270" t="str">
        <x:v>Implement skill-local progress, required Practice and remediation ladder</x:v>
      </x:c>
      <x:c r="F38" s="270" t="str">
        <x:v>Coding</x:v>
      </x:c>
      <x:c r="G38" s="270" t="str">
        <x:v>Updating</x:v>
      </x:c>
      <x:c r="H38" s="272" t="n">
        <x:v>8</x:v>
      </x:c>
      <x:c r="I38" s="270" t="str">
        <x:v>Practice / review rules</x:v>
      </x:c>
      <x:c r="J38" s="270" t="str">
        <x:v>Iteration 1</x:v>
      </x:c>
      <x:c r="K38" s="270" t="str">
        <x:v>Submitted</x:v>
      </x:c>
      <x:c r="L38" s="270"/>
      <x:c r="M38" s="271" t="n">
        <x:v>46302</x:v>
      </x:c>
      <x:c r="N38" s="270" t="str">
        <x:v>BE a3447b9, a90e5e1, 853ab82, 1a96c77, 8bb72cf, 6d9f623.</x:v>
      </x:c>
    </x:row>
    <x:row r="39" ht="72" customHeight="1">
      <x:c r="A39" s="270" t="str">
        <x:v>TL-035</x:v>
      </x:c>
      <x:c r="B39" s="271" t="n">
        <x:v>46298</x:v>
      </x:c>
      <x:c r="C39" s="270" t="str">
        <x:v>HoangNV</x:v>
      </x:c>
      <x:c r="D39" s="270" t="str">
        <x:v>WBS-076</x:v>
      </x:c>
      <x:c r="E39" s="270" t="str">
        <x:v>Document browser core-flow checks and API-assisted fresh-user E2E</x:v>
      </x:c>
      <x:c r="F39" s="270" t="str">
        <x:v>Testing</x:v>
      </x:c>
      <x:c r="G39" s="270" t="str">
        <x:v>Reviewing</x:v>
      </x:c>
      <x:c r="H39" s="272" t="n">
        <x:v>4.5</x:v>
      </x:c>
      <x:c r="I39" s="270" t="str">
        <x:v>FE E2E reports</x:v>
      </x:c>
      <x:c r="J39" s="270" t="str">
        <x:v>Iteration 1</x:v>
      </x:c>
      <x:c r="K39" s="270" t="str">
        <x:v>Approved</x:v>
      </x:c>
      <x:c r="L39" s="270" t="str">
        <x:v>LinhNDM</x:v>
      </x:c>
      <x:c r="M39" s="271" t="n">
        <x:v>46304</x:v>
      </x:c>
      <x:c r="N39" s="270" t="str">
        <x:v>FE caaf987, 6716dd9.</x:v>
      </x:c>
    </x:row>
    <x:row r="40" ht="72" customHeight="1">
      <x:c r="A40" s="270" t="str">
        <x:v>TL-036</x:v>
      </x:c>
      <x:c r="B40" s="271" t="n">
        <x:v>46299</x:v>
      </x:c>
      <x:c r="C40" s="270" t="str">
        <x:v>HoangNV</x:v>
      </x:c>
      <x:c r="D40" s="270" t="str">
        <x:v>WBS-012</x:v>
      </x:c>
      <x:c r="E40" s="270" t="str">
        <x:v>Fix assessment question snapshot parsing and integrate Practice/review UI</x:v>
      </x:c>
      <x:c r="F40" s="270" t="str">
        <x:v>Coding</x:v>
      </x:c>
      <x:c r="G40" s="270" t="str">
        <x:v>Bug-Fix</x:v>
      </x:c>
      <x:c r="H40" s="272" t="n">
        <x:v>8</x:v>
      </x:c>
      <x:c r="I40" s="270" t="str">
        <x:v>Test runner / Practice / Review UI</x:v>
      </x:c>
      <x:c r="J40" s="270" t="str">
        <x:v>Iteration 1</x:v>
      </x:c>
      <x:c r="K40" s="270" t="str">
        <x:v>Approved</x:v>
      </x:c>
      <x:c r="L40" s="270" t="str">
        <x:v>LinhNDM</x:v>
      </x:c>
      <x:c r="M40" s="271" t="n">
        <x:v>46304</x:v>
      </x:c>
      <x:c r="N40" s="270" t="str">
        <x:v>FE d2b737d, 6716dd9.</x:v>
      </x:c>
    </x:row>
    <x:row r="41" ht="72" customHeight="1">
      <x:c r="A41" s="270" t="str">
        <x:v>TL-037</x:v>
      </x:c>
      <x:c r="B41" s="271" t="n">
        <x:v>46299</x:v>
      </x:c>
      <x:c r="C41" s="270" t="str">
        <x:v>HieuLT</x:v>
      </x:c>
      <x:c r="D41" s="270" t="str">
        <x:v>WBS-065</x:v>
      </x:c>
      <x:c r="E41" s="270" t="str">
        <x:v>Complete requirements/data/NFR sections and record scope/BA review</x:v>
      </x:c>
      <x:c r="F41" s="270" t="str">
        <x:v>Analyzing</x:v>
      </x:c>
      <x:c r="G41" s="270" t="str">
        <x:v>Updating</x:v>
      </x:c>
      <x:c r="H41" s="272" t="n">
        <x:v>5.5</x:v>
      </x:c>
      <x:c r="I41" s="270" t="str">
        <x:v>Requirements and review reports</x:v>
      </x:c>
      <x:c r="J41" s="270" t="str">
        <x:v>General</x:v>
      </x:c>
      <x:c r="K41" s="270" t="str">
        <x:v>Submitted</x:v>
      </x:c>
      <x:c r="L41" s="270"/>
      <x:c r="M41" s="271" t="n">
        <x:v>46302</x:v>
      </x:c>
      <x:c r="N41" s="270" t="str">
        <x:v>BE b2323f1 / f2e00d4 / 36b1092: requirements sections and BA/scope review.</x:v>
      </x:c>
    </x:row>
    <x:row r="42" ht="72" customHeight="1">
      <x:c r="A42" s="270" t="str">
        <x:v>TL-038</x:v>
      </x:c>
      <x:c r="B42" s="271" t="n">
        <x:v>46300</x:v>
      </x:c>
      <x:c r="C42" s="270" t="str">
        <x:v>SonLT</x:v>
      </x:c>
      <x:c r="D42" s="270" t="str">
        <x:v>WBS-001</x:v>
      </x:c>
      <x:c r="E42" s="270" t="str">
        <x:v>Build home access-plan views/navigation and merge real authentication</x:v>
      </x:c>
      <x:c r="F42" s="270" t="str">
        <x:v>Coding</x:v>
      </x:c>
      <x:c r="G42" s="270" t="str">
        <x:v>Updating</x:v>
      </x:c>
      <x:c r="H42" s="272" t="n">
        <x:v>6</x:v>
      </x:c>
      <x:c r="I42" s="270" t="str">
        <x:v>Home/auth integration</x:v>
      </x:c>
      <x:c r="J42" s="270" t="str">
        <x:v>Iteration 1</x:v>
      </x:c>
      <x:c r="K42" s="270" t="str">
        <x:v>Approved</x:v>
      </x:c>
      <x:c r="L42" s="270" t="str">
        <x:v>LinhNDM</x:v>
      </x:c>
      <x:c r="M42" s="271" t="n">
        <x:v>46304</x:v>
      </x:c>
      <x:c r="N42" s="270" t="str">
        <x:v>FE 5a0abcb, ac25901.</x:v>
      </x:c>
    </x:row>
    <x:row r="43" ht="72" customHeight="1">
      <x:c r="A43" s="270" t="str">
        <x:v>TL-039</x:v>
      </x:c>
      <x:c r="B43" s="271" t="n">
        <x:v>46300</x:v>
      </x:c>
      <x:c r="C43" s="270" t="str">
        <x:v>HoangNV</x:v>
      </x:c>
      <x:c r="D43" s="270" t="str">
        <x:v>WBS-005</x:v>
      </x:c>
      <x:c r="E43" s="270" t="str">
        <x:v>Implement forgot/reset pages and align password length/confirmation</x:v>
      </x:c>
      <x:c r="F43" s="270" t="str">
        <x:v>Coding</x:v>
      </x:c>
      <x:c r="G43" s="270" t="str">
        <x:v>Updating</x:v>
      </x:c>
      <x:c r="H43" s="272" t="n">
        <x:v>5</x:v>
      </x:c>
      <x:c r="I43" s="270" t="str">
        <x:v>Password recovery UI</x:v>
      </x:c>
      <x:c r="J43" s="270" t="str">
        <x:v>Iteration 1</x:v>
      </x:c>
      <x:c r="K43" s="270" t="str">
        <x:v>Approved</x:v>
      </x:c>
      <x:c r="L43" s="270" t="str">
        <x:v>LinhNDM</x:v>
      </x:c>
      <x:c r="M43" s="271" t="n">
        <x:v>46304</x:v>
      </x:c>
      <x:c r="N43" s="270" t="str">
        <x:v>FE 553a320, 51e64eb.</x:v>
      </x:c>
    </x:row>
    <x:row r="44" ht="72" customHeight="1">
      <x:c r="A44" s="270" t="str">
        <x:v>TL-040</x:v>
      </x:c>
      <x:c r="B44" s="271" t="n">
        <x:v>46300</x:v>
      </x:c>
      <x:c r="C44" s="270" t="str">
        <x:v>HieuLT</x:v>
      </x:c>
      <x:c r="D44" s="270" t="str">
        <x:v>WBS-072</x:v>
      </x:c>
      <x:c r="E44" s="270" t="str">
        <x:v>Stabilize course-test timestamp fixture and add course demo content</x:v>
      </x:c>
      <x:c r="F44" s="270" t="str">
        <x:v>Coding</x:v>
      </x:c>
      <x:c r="G44" s="270" t="str">
        <x:v>Bug-Fix</x:v>
      </x:c>
      <x:c r="H44" s="272" t="n">
        <x:v>4.5</x:v>
      </x:c>
      <x:c r="I44" s="270" t="str">
        <x:v>Course test fix / demo seeds</x:v>
      </x:c>
      <x:c r="J44" s="270" t="str">
        <x:v>Iteration 1</x:v>
      </x:c>
      <x:c r="K44" s="270" t="str">
        <x:v>Pending</x:v>
      </x:c>
      <x:c r="L44" s="270"/>
      <x:c r="M44" s="271" t="n">
        <x:v>46302</x:v>
      </x:c>
      <x:c r="N44" s="270" t="str">
        <x:v>BE a078675, a18241b.</x:v>
      </x:c>
    </x:row>
    <x:row r="45" ht="72" customHeight="1">
      <x:c r="A45" s="270" t="str">
        <x:v>TL-041</x:v>
      </x:c>
      <x:c r="B45" s="271" t="n">
        <x:v>46301</x:v>
      </x:c>
      <x:c r="C45" s="270" t="str">
        <x:v>HieuLT</x:v>
      </x:c>
      <x:c r="D45" s="270" t="str">
        <x:v>WBS-072</x:v>
      </x:c>
      <x:c r="E45" s="270" t="str">
        <x:v>Implement band courses, placement recommendations and course tests</x:v>
      </x:c>
      <x:c r="F45" s="270" t="str">
        <x:v>Coding</x:v>
      </x:c>
      <x:c r="G45" s="270" t="str">
        <x:v>Updating</x:v>
      </x:c>
      <x:c r="H45" s="272" t="n">
        <x:v>8</x:v>
      </x:c>
      <x:c r="I45" s="270" t="str">
        <x:v>Backend course extension</x:v>
      </x:c>
      <x:c r="J45" s="270" t="str">
        <x:v>Iteration 1</x:v>
      </x:c>
      <x:c r="K45" s="270" t="str">
        <x:v>Pending</x:v>
      </x:c>
      <x:c r="L45" s="270"/>
      <x:c r="M45" s="271" t="n">
        <x:v>46302</x:v>
      </x:c>
      <x:c r="N45" s="270" t="str">
        <x:v>BE d867758, 5926d93, 6935369, 559bf82, a401a33, 5ea098a.</x:v>
      </x:c>
    </x:row>
    <x:row r="46" ht="72" customHeight="1">
      <x:c r="A46" s="270" t="str">
        <x:v>TL-042</x:v>
      </x:c>
      <x:c r="B46" s="271" t="n">
        <x:v>46301</x:v>
      </x:c>
      <x:c r="C46" s="270" t="str">
        <x:v>PhuPD</x:v>
      </x:c>
      <x:c r="D46" s="270" t="str">
        <x:v>WBS-065</x:v>
      </x:c>
      <x:c r="E46" s="270" t="str">
        <x:v>Prepare/review RTW requirements, permission and business-rule traceability</x:v>
      </x:c>
      <x:c r="F46" s="270" t="str">
        <x:v>Designing</x:v>
      </x:c>
      <x:c r="G46" s="270" t="str">
        <x:v>Reviewing</x:v>
      </x:c>
      <x:c r="H46" s="272" t="n">
        <x:v>6</x:v>
      </x:c>
      <x:c r="I46" s="270" t="str">
        <x:v>RTW workbook</x:v>
      </x:c>
      <x:c r="J46" s="270" t="str">
        <x:v>General</x:v>
      </x:c>
      <x:c r="K46" s="270" t="str">
        <x:v>Pending</x:v>
      </x:c>
      <x:c r="L46" s="270"/>
      <x:c r="M46" s="271" t="n">
        <x:v>46302</x:v>
      </x:c>
      <x:c r="N46" s="270" t="str">
        <x:v>BE ca065f6c / 4a925910: RTW preparation and traceability review.</x:v>
      </x:c>
    </x:row>
    <x:row r="47" ht="72" customHeight="1">
      <x:c r="A47" s="270" t="str">
        <x:v>TL-043</x:v>
      </x:c>
      <x:c r="B47" s="271" t="n">
        <x:v>46302</x:v>
      </x:c>
      <x:c r="C47" s="270" t="str">
        <x:v>HoangNV</x:v>
      </x:c>
      <x:c r="D47" s="270" t="str">
        <x:v>WBS-075</x:v>
      </x:c>
      <x:c r="E47" s="270" t="str">
        <x:v>Review course/multi-skill FE contracts, DTO changes and integration backlog</x:v>
      </x:c>
      <x:c r="F47" s="270" t="str">
        <x:v>Analyzing</x:v>
      </x:c>
      <x:c r="G47" s="270" t="str">
        <x:v>Reviewing</x:v>
      </x:c>
      <x:c r="H47" s="272" t="n">
        <x:v>5</x:v>
      </x:c>
      <x:c r="I47" s="270" t="str">
        <x:v>FE integration plan</x:v>
      </x:c>
      <x:c r="J47" s="270" t="str">
        <x:v>Iteration 1</x:v>
      </x:c>
      <x:c r="K47" s="270" t="str">
        <x:v>Pending</x:v>
      </x:c>
      <x:c r="L47" s="270"/>
      <x:c r="M47" s="271" t="n">
        <x:v>46302</x:v>
      </x:c>
      <x:c r="N47" s="270" t="str">
        <x:v>BE contract vs FE LearningApi; analysis only, code not completed.</x:v>
      </x:c>
    </x:row>
    <x:row r="48" ht="72" customHeight="1">
      <x:c r="A48" s="270" t="str">
        <x:v>TL-044</x:v>
      </x:c>
      <x:c r="B48" s="271" t="n">
        <x:v>46302</x:v>
      </x:c>
      <x:c r="C48" s="270" t="str">
        <x:v>SonLT</x:v>
      </x:c>
      <x:c r="D48" s="270" t="str">
        <x:v>WBS-077</x:v>
      </x:c>
      <x:c r="E48" s="270" t="str">
        <x:v>Build/review FDS screens, jobs and diagrams; record SRS handoff gaps</x:v>
      </x:c>
      <x:c r="F48" s="270" t="str">
        <x:v>Designing</x:v>
      </x:c>
      <x:c r="G48" s="270" t="str">
        <x:v>Reviewing</x:v>
      </x:c>
      <x:c r="H48" s="272" t="n">
        <x:v>6</x:v>
      </x:c>
      <x:c r="I48" s="270" t="str">
        <x:v>FDS v0.4 / diagrams</x:v>
      </x:c>
      <x:c r="J48" s="270" t="str">
        <x:v>General</x:v>
      </x:c>
      <x:c r="K48" s="270" t="str">
        <x:v>Pending</x:v>
      </x:c>
      <x:c r="L48" s="270"/>
      <x:c r="M48" s="271" t="n">
        <x:v>46302</x:v>
      </x:c>
      <x:c r="N48" s="270" t="str">
        <x:v>BE 4153dd06 / 1b4b26b8.</x:v>
      </x:c>
    </x:row>
    <x:row r="49" ht="72" customHeight="1">
      <x:c r="A49" s="270" t="str">
        <x:v>TL-045</x:v>
      </x:c>
      <x:c r="B49" s="271" t="n">
        <x:v>46302</x:v>
      </x:c>
      <x:c r="C49" s="270" t="str">
        <x:v>HieuLT</x:v>
      </x:c>
      <x:c r="D49" s="270" t="str">
        <x:v>WBS-065</x:v>
      </x:c>
      <x:c r="E49" s="270" t="str">
        <x:v>Review requirements baseline and assign remaining iteration work</x:v>
      </x:c>
      <x:c r="F49" s="270" t="str">
        <x:v>Reviewing</x:v>
      </x:c>
      <x:c r="G49" s="270" t="str">
        <x:v>Reviewing</x:v>
      </x:c>
      <x:c r="H49" s="272" t="n">
        <x:v>2.5</x:v>
      </x:c>
      <x:c r="I49" s="270" t="str">
        <x:v>Iteration review</x:v>
      </x:c>
      <x:c r="J49" s="270" t="str">
        <x:v>General</x:v>
      </x:c>
      <x:c r="K49" s="270" t="str">
        <x:v>Pending</x:v>
      </x:c>
      <x:c r="L49" s="270"/>
      <x:c r="M49" s="271" t="n">
        <x:v>46302</x:v>
      </x:c>
      <x:c r="N49" s="270" t="str">
        <x:v>Report 1 / SRS course-multi-skill handoff.</x:v>
      </x:c>
    </x:row>
    <x:row r="50" ht="72" customHeight="1">
      <x:c r="A50" s="270" t="str">
        <x:v>TL-046</x:v>
      </x:c>
      <x:c r="B50" s="271" t="n">
        <x:v>46302</x:v>
      </x:c>
      <x:c r="C50" s="270" t="str">
        <x:v>TungVPH</x:v>
      </x:c>
      <x:c r="D50" s="270" t="str">
        <x:v>WBS-078</x:v>
      </x:c>
      <x:c r="E50" s="270" t="str">
        <x:v>Review environment runbook, test prerequisites and operational gaps</x:v>
      </x:c>
      <x:c r="F50" s="270" t="str">
        <x:v>Reviewing</x:v>
      </x:c>
      <x:c r="G50" s="270" t="str">
        <x:v>Reviewing</x:v>
      </x:c>
      <x:c r="H50" s="272" t="n">
        <x:v>6</x:v>
      </x:c>
      <x:c r="I50" s="270" t="str">
        <x:v>Environment checklist</x:v>
      </x:c>
      <x:c r="J50" s="270" t="str">
        <x:v>General</x:v>
      </x:c>
      <x:c r="K50" s="270" t="str">
        <x:v>Pending</x:v>
      </x:c>
      <x:c r="L50" s="270"/>
      <x:c r="M50" s="271" t="n">
        <x:v>46302</x:v>
      </x:c>
      <x:c r="N50" s="270" t="str">
        <x:v>BE README / Docker setup; no new test pass asserted.</x:v>
      </x:c>
    </x:row>
    <x:row r="51" ht="72" customHeight="1">
      <x:c r="A51" s="270" t="str">
        <x:v>TL-047</x:v>
      </x:c>
      <x:c r="B51" s="271" t="n">
        <x:v>46302</x:v>
      </x:c>
      <x:c r="C51" s="270" t="str">
        <x:v>HieuLT</x:v>
      </x:c>
      <x:c r="D51" s="270" t="str">
        <x:v>WBS-074</x:v>
      </x:c>
      <x:c r="E51" s="270" t="str">
        <x:v>Implement multi-skill lesson/Practice contracts and per-skill clearance</x:v>
      </x:c>
      <x:c r="F51" s="270" t="str">
        <x:v>Coding</x:v>
      </x:c>
      <x:c r="G51" s="270" t="str">
        <x:v>Newly-Created</x:v>
      </x:c>
      <x:c r="H51" s="272" t="n">
        <x:v>4</x:v>
      </x:c>
      <x:c r="I51" s="270" t="str">
        <x:v>Multi-skill backend code</x:v>
      </x:c>
      <x:c r="J51" s="270" t="str">
        <x:v>Iteration 1</x:v>
      </x:c>
      <x:c r="K51" s="270" t="str">
        <x:v>Pending</x:v>
      </x:c>
      <x:c r="L51" s="270"/>
      <x:c r="M51" s="271" t="n">
        <x:v>46302</x:v>
      </x:c>
      <x:c r="N51" s="270" t="str">
        <x:v>BE 8d2d2bb2 / 51468f60: multi-skill backend; FE alignment and live acceptance remain outstanding.</x:v>
      </x:c>
    </x:row>
    <x:row r="52" ht="72" customHeight="1">
      <x:c r="A52" s="270" t="str">
        <x:v>TL-048</x:v>
      </x:c>
      <x:c r="B52" s="271" t="n">
        <x:v>46302</x:v>
      </x:c>
      <x:c r="C52" s="270" t="str">
        <x:v>PhuPD</x:v>
      </x:c>
      <x:c r="D52" s="270" t="str">
        <x:v>WBS-060</x:v>
      </x:c>
      <x:c r="E52" s="270" t="str">
        <x:v>Implement Assessment AI worker for topic/course gate essays and examiner fallback</x:v>
      </x:c>
      <x:c r="F52" s="270" t="str">
        <x:v>Coding</x:v>
      </x:c>
      <x:c r="G52" s="270" t="str">
        <x:v>Newly-Created</x:v>
      </x:c>
      <x:c r="H52" s="272" t="n">
        <x:v>3</x:v>
      </x:c>
      <x:c r="I52" s="270" t="str">
        <x:v>Assessment AI gate-grading worker</x:v>
      </x:c>
      <x:c r="J52" s="270" t="str">
        <x:v>Iteration 1</x:v>
      </x:c>
      <x:c r="K52" s="270" t="str">
        <x:v>Pending</x:v>
      </x:c>
      <x:c r="L52" s="270"/>
      <x:c r="M52" s="271" t="n">
        <x:v>46302</x:v>
      </x:c>
      <x:c r="N52" s="270" t="str">
        <x:v>BE 34852704 / 8d2d2bb2: AI gate-essay worker; Speaking and live-provider acceptance excluded.</x:v>
      </x:c>
    </x:row>
    <x:row r="53" ht="20.100000381469727" customHeight="1">
      <x:c r="A53" s="154"/>
      <x:c r="B53" s="154"/>
      <x:c r="C53" s="154"/>
      <x:c r="D53" s="154"/>
      <x:c r="E53" s="154"/>
      <x:c r="F53" s="154"/>
      <x:c r="G53" s="154"/>
      <x:c r="H53" s="154"/>
      <x:c r="I53" s="154"/>
      <x:c r="J53" s="154"/>
      <x:c r="K53" s="154"/>
      <x:c r="L53" s="154"/>
      <x:c r="M53" s="154"/>
      <x:c r="N53" s="154"/>
    </x:row>
    <x:row r="54" ht="20.100000381469727" customHeight="1">
      <x:c r="A54" s="154"/>
      <x:c r="B54" s="154"/>
      <x:c r="C54" s="154"/>
      <x:c r="D54" s="154"/>
      <x:c r="E54" s="154"/>
      <x:c r="F54" s="154"/>
      <x:c r="G54" s="154"/>
      <x:c r="H54" s="154"/>
      <x:c r="I54" s="154"/>
      <x:c r="J54" s="154"/>
      <x:c r="K54" s="154"/>
      <x:c r="L54" s="154"/>
      <x:c r="M54" s="154"/>
      <x:c r="N54" s="154"/>
    </x:row>
    <x:row r="55" ht="20.100000381469727" customHeight="1">
      <x:c r="A55" s="154"/>
      <x:c r="B55" s="154"/>
      <x:c r="C55" s="154"/>
      <x:c r="D55" s="154"/>
      <x:c r="E55" s="154"/>
      <x:c r="F55" s="154"/>
      <x:c r="G55" s="154"/>
      <x:c r="H55" s="154"/>
      <x:c r="I55" s="154"/>
      <x:c r="J55" s="154"/>
      <x:c r="K55" s="154"/>
      <x:c r="L55" s="154"/>
      <x:c r="M55" s="154"/>
      <x:c r="N55" s="154"/>
    </x:row>
    <x:row r="56" ht="27.950000762939453" customHeight="1">
      <x:c r="A56" s="126" t="s">
        <x:v>1779</x:v>
      </x:c>
      <x:c r="B56" s="126"/>
      <x:c r="C56" s="126"/>
      <x:c r="D56" s="126"/>
      <x:c r="E56" s="154"/>
      <x:c r="F56" s="154"/>
      <x:c r="G56" s="154"/>
      <x:c r="H56" s="154"/>
      <x:c r="I56" s="154"/>
      <x:c r="J56" s="154"/>
      <x:c r="K56" s="154"/>
      <x:c r="L56" s="154"/>
      <x:c r="M56" s="154"/>
      <x:c r="N56" s="154"/>
    </x:row>
    <x:row r="57" ht="30" customHeight="1">
      <x:c r="A57" s="191" t="s">
        <x:v>1775</x:v>
      </x:c>
      <x:c r="B57" s="191" t="s">
        <x:v>1780</x:v>
      </x:c>
      <x:c r="C57" s="154"/>
      <x:c r="D57" s="154"/>
      <x:c r="E57" s="154"/>
      <x:c r="F57" s="154"/>
      <x:c r="G57" s="154"/>
      <x:c r="H57" s="154"/>
      <x:c r="I57" s="154"/>
      <x:c r="J57" s="154"/>
      <x:c r="K57" s="154"/>
      <x:c r="L57" s="154"/>
      <x:c r="M57" s="154"/>
      <x:c r="N57" s="154"/>
    </x:row>
    <x:row r="58" ht="30" customHeight="1">
      <x:c r="A58" s="192" t="s">
        <x:v>1781</x:v>
      </x:c>
      <x:c r="B58" s="193" t="n">
        <x:f>SUMIF($F$5:$F$52,A58,$H$5:$H$52)</x:f>
        <x:v>0</x:v>
      </x:c>
      <x:c r="C58" s="154"/>
      <x:c r="D58" s="154"/>
      <x:c r="E58" s="154"/>
      <x:c r="F58" s="154"/>
      <x:c r="G58" s="154"/>
      <x:c r="H58" s="154"/>
      <x:c r="I58" s="154"/>
      <x:c r="J58" s="154"/>
      <x:c r="K58" s="154"/>
      <x:c r="L58" s="154"/>
      <x:c r="M58" s="154"/>
      <x:c r="N58" s="154"/>
    </x:row>
    <x:row r="59" ht="30" customHeight="1">
      <x:c r="A59" s="192" t="s">
        <x:v>1782</x:v>
      </x:c>
      <x:c r="B59" s="193" t="n">
        <x:f>SUMIF($F$5:$F$52,A59,$H$5:$H$52)</x:f>
        <x:v>10.5</x:v>
      </x:c>
      <x:c r="C59" s="154"/>
      <x:c r="D59" s="154"/>
      <x:c r="E59" s="154"/>
      <x:c r="F59" s="154"/>
      <x:c r="G59" s="154"/>
      <x:c r="H59" s="154"/>
      <x:c r="I59" s="154"/>
      <x:c r="J59" s="154"/>
      <x:c r="K59" s="154"/>
      <x:c r="L59" s="154"/>
      <x:c r="M59" s="154"/>
      <x:c r="N59" s="154"/>
    </x:row>
    <x:row r="60" ht="30" customHeight="1">
      <x:c r="A60" s="192" t="s">
        <x:v>1783</x:v>
      </x:c>
      <x:c r="B60" s="193" t="n">
        <x:f>SUMIF($F$5:$F$52,A60,$H$5:$H$52)</x:f>
        <x:v>12</x:v>
      </x:c>
      <x:c r="C60" s="154"/>
      <x:c r="D60" s="154"/>
      <x:c r="E60" s="154"/>
      <x:c r="F60" s="154"/>
      <x:c r="G60" s="154"/>
      <x:c r="H60" s="154"/>
      <x:c r="I60" s="154"/>
      <x:c r="J60" s="154"/>
      <x:c r="K60" s="154"/>
      <x:c r="L60" s="154"/>
      <x:c r="M60" s="154"/>
      <x:c r="N60" s="154"/>
    </x:row>
    <x:row r="61" ht="30" customHeight="1">
      <x:c r="A61" s="192" t="s">
        <x:v>1784</x:v>
      </x:c>
      <x:c r="B61" s="193" t="n">
        <x:f>SUMIF($F$5:$F$52,A61,$H$5:$H$52)</x:f>
        <x:v>161</x:v>
      </x:c>
      <x:c r="C61" s="154"/>
      <x:c r="D61" s="154"/>
      <x:c r="E61" s="154"/>
      <x:c r="F61" s="154"/>
      <x:c r="G61" s="154"/>
      <x:c r="H61" s="154"/>
      <x:c r="I61" s="154"/>
      <x:c r="J61" s="154"/>
      <x:c r="K61" s="154"/>
      <x:c r="L61" s="154"/>
      <x:c r="M61" s="154"/>
      <x:c r="N61" s="154"/>
    </x:row>
    <x:row r="62" ht="30" customHeight="1">
      <x:c r="A62" s="192" t="s">
        <x:v>1591</x:v>
      </x:c>
      <x:c r="B62" s="193" t="n">
        <x:f>SUMIF($F$5:$F$52,A62,$H$5:$H$52)</x:f>
        <x:v>12</x:v>
      </x:c>
      <x:c r="C62" s="154"/>
      <x:c r="D62" s="154"/>
      <x:c r="E62" s="154"/>
      <x:c r="F62" s="154"/>
      <x:c r="G62" s="154"/>
      <x:c r="H62" s="154"/>
      <x:c r="I62" s="154"/>
      <x:c r="J62" s="154"/>
      <x:c r="K62" s="154"/>
      <x:c r="L62" s="154"/>
      <x:c r="M62" s="154"/>
      <x:c r="N62" s="154"/>
    </x:row>
    <x:row r="63" ht="30" customHeight="1">
      <x:c r="A63" s="192" t="s">
        <x:v>1785</x:v>
      </x:c>
      <x:c r="B63" s="193" t="n">
        <x:f>SUMIF($F$5:$F$52,A63,$H$5:$H$52)</x:f>
        <x:v>8.5</x:v>
      </x:c>
      <x:c r="C63" s="154"/>
      <x:c r="D63" s="154"/>
      <x:c r="E63" s="154"/>
      <x:c r="F63" s="154"/>
      <x:c r="G63" s="154"/>
      <x:c r="H63" s="154"/>
      <x:c r="I63" s="154"/>
      <x:c r="J63" s="154"/>
      <x:c r="K63" s="154"/>
      <x:c r="L63" s="154"/>
      <x:c r="M63" s="154"/>
      <x:c r="N63" s="154"/>
    </x:row>
    <x:row r="64" ht="30" customHeight="1">
      <x:c r="A64" s="192" t="s">
        <x:v>1786</x:v>
      </x:c>
      <x:c r="B64" s="193" t="n">
        <x:f>SUMIF($F$5:$F$52,A64,$H$5:$H$52)</x:f>
        <x:v>0</x:v>
      </x:c>
      <x:c r="C64" s="154"/>
      <x:c r="D64" s="154"/>
      <x:c r="E64" s="154"/>
      <x:c r="F64" s="154"/>
      <x:c r="G64" s="154"/>
      <x:c r="H64" s="154"/>
      <x:c r="I64" s="154"/>
      <x:c r="J64" s="154"/>
      <x:c r="K64" s="154"/>
      <x:c r="L64" s="154"/>
      <x:c r="M64" s="154"/>
      <x:c r="N64" s="154"/>
    </x:row>
    <x:row r="65" ht="30" customHeight="1">
      <x:c r="A65" s="192" t="s">
        <x:v>1787</x:v>
      </x:c>
      <x:c r="B65" s="193" t="n">
        <x:f>SUMIF($F$5:$F$52,A65,$H$5:$H$52)</x:f>
        <x:v>7.5</x:v>
      </x:c>
      <x:c r="C65" s="154"/>
      <x:c r="D65" s="154"/>
      <x:c r="E65" s="154"/>
      <x:c r="F65" s="154"/>
      <x:c r="G65" s="154"/>
      <x:c r="H65" s="154"/>
      <x:c r="I65" s="154"/>
      <x:c r="J65" s="154"/>
      <x:c r="K65" s="154"/>
      <x:c r="L65" s="154"/>
      <x:c r="M65" s="154"/>
      <x:c r="N65" s="154"/>
    </x:row>
    <x:row r="66" ht="30" customHeight="1">
      <x:c r="A66" s="194" t="s">
        <x:v>1616</x:v>
      </x:c>
      <x:c r="B66" s="195" t="n">
        <x:f>SUM(B58:B65)</x:f>
        <x:v>211.5</x:v>
      </x:c>
      <x:c r="C66" s="154"/>
      <x:c r="D66" s="154"/>
      <x:c r="E66" s="154"/>
      <x:c r="F66" s="154"/>
      <x:c r="G66" s="154"/>
      <x:c r="H66" s="154"/>
      <x:c r="I66" s="154"/>
      <x:c r="J66" s="154"/>
      <x:c r="K66" s="154"/>
      <x:c r="L66" s="154"/>
      <x:c r="M66" s="154"/>
      <x:c r="N66" s="154"/>
    </x:row>
    <x:row r="67" ht="20.100000381469727" customHeight="1">
      <x:c r="A67" s="154"/>
      <x:c r="B67" s="154"/>
      <x:c r="C67" s="154"/>
      <x:c r="D67" s="154"/>
      <x:c r="E67" s="154"/>
      <x:c r="F67" s="154"/>
      <x:c r="G67" s="154"/>
      <x:c r="H67" s="154"/>
      <x:c r="I67" s="154"/>
      <x:c r="J67" s="154"/>
      <x:c r="K67" s="154"/>
      <x:c r="L67" s="154"/>
      <x:c r="M67" s="154"/>
      <x:c r="N67" s="154"/>
    </x:row>
    <x:row r="68" ht="20.100000381469727" customHeight="1">
      <x:c r="A68" s="154"/>
      <x:c r="B68" s="154"/>
      <x:c r="C68" s="154"/>
      <x:c r="D68" s="154"/>
      <x:c r="E68" s="154"/>
      <x:c r="F68" s="154"/>
      <x:c r="G68" s="154"/>
      <x:c r="H68" s="154"/>
      <x:c r="I68" s="154"/>
      <x:c r="J68" s="154"/>
      <x:c r="K68" s="154"/>
      <x:c r="L68" s="154"/>
      <x:c r="M68" s="154"/>
      <x:c r="N68" s="154"/>
    </x:row>
    <x:row r="69" ht="27.950000762939453" customHeight="1">
      <x:c r="A69" s="126" t="s">
        <x:v>1788</x:v>
      </x:c>
      <x:c r="B69" s="126"/>
      <x:c r="C69" s="126"/>
      <x:c r="D69" s="126"/>
      <x:c r="E69" s="126"/>
      <x:c r="F69" s="154"/>
      <x:c r="G69" s="154"/>
      <x:c r="H69" s="154"/>
      <x:c r="I69" s="154"/>
      <x:c r="J69" s="154"/>
      <x:c r="K69" s="154"/>
      <x:c r="L69" s="154"/>
      <x:c r="M69" s="154"/>
      <x:c r="N69" s="154"/>
    </x:row>
    <x:row r="70" ht="30" customHeight="1">
      <x:c r="A70" s="191" t="s">
        <x:v>1631</x:v>
      </x:c>
      <x:c r="B70" s="191" t="s">
        <x:v>1780</x:v>
      </x:c>
      <x:c r="C70" s="191" t="s">
        <x:v>1789</x:v>
      </x:c>
      <x:c r="D70" s="191" t="s">
        <x:v>1790</x:v>
      </x:c>
      <x:c r="E70" s="191" t="s">
        <x:v>1791</x:v>
      </x:c>
      <x:c r="F70" s="154"/>
      <x:c r="G70" s="154"/>
      <x:c r="H70" s="154"/>
      <x:c r="I70" s="154"/>
      <x:c r="J70" s="154"/>
      <x:c r="K70" s="154"/>
      <x:c r="L70" s="154"/>
      <x:c r="M70" s="154"/>
      <x:c r="N70" s="154"/>
    </x:row>
    <x:row r="71" ht="30" customHeight="1">
      <x:c r="A71" s="192" t="s">
        <x:v>1536</x:v>
      </x:c>
      <x:c r="B71" s="193" t="n">
        <x:f>SUMIF($C$5:$C$52,A71,$H$5:$H$52)</x:f>
        <x:v>27.5</x:v>
      </x:c>
      <x:c r="C71" s="193" t="n">
        <x:f>SUMIFS($H$5:$H$52,$C$5:$C$52,A71,$K$5:$K$52,"Approved")</x:f>
        <x:v>18.5</x:v>
      </x:c>
      <x:c r="D71" s="193" t="n">
        <x:f>SUMIFS($H$5:$H$52,$C$5:$C$52,A71,$K$5:$K$52,"Submitted")</x:f>
        <x:v>0</x:v>
      </x:c>
      <x:c r="E71" s="193" t="n">
        <x:f>SUMIFS($H$5:$H$52,$C$5:$C$52,A71,$K$5:$K$52,"Pending")</x:f>
        <x:v>9</x:v>
      </x:c>
      <x:c r="F71" s="154"/>
      <x:c r="G71" s="154"/>
      <x:c r="H71" s="154"/>
      <x:c r="I71" s="154"/>
      <x:c r="J71" s="154"/>
      <x:c r="K71" s="154"/>
      <x:c r="L71" s="154"/>
      <x:c r="M71" s="154"/>
      <x:c r="N71" s="154"/>
    </x:row>
    <x:row r="72" ht="30" customHeight="1">
      <x:c r="A72" s="192" t="s">
        <x:v>1360</x:v>
      </x:c>
      <x:c r="B72" s="193" t="n">
        <x:f>SUMIF($C$5:$C$52,A72,$H$5:$H$52)</x:f>
        <x:v>33.5</x:v>
      </x:c>
      <x:c r="C72" s="193" t="n">
        <x:f>SUMIFS($H$5:$H$52,$C$5:$C$52,A72,$K$5:$K$52,"Approved")</x:f>
        <x:v>28.5</x:v>
      </x:c>
      <x:c r="D72" s="193" t="n">
        <x:f>SUMIFS($H$5:$H$52,$C$5:$C$52,A72,$K$5:$K$52,"Submitted")</x:f>
        <x:v>0</x:v>
      </x:c>
      <x:c r="E72" s="193" t="n">
        <x:f>SUMIFS($H$5:$H$52,$C$5:$C$52,A72,$K$5:$K$52,"Pending")</x:f>
        <x:v>5</x:v>
      </x:c>
      <x:c r="F72" s="154"/>
      <x:c r="G72" s="154"/>
      <x:c r="H72" s="154"/>
      <x:c r="I72" s="154"/>
      <x:c r="J72" s="154"/>
      <x:c r="K72" s="154"/>
      <x:c r="L72" s="154"/>
      <x:c r="M72" s="154"/>
      <x:c r="N72" s="154"/>
    </x:row>
    <x:row r="73" ht="30" customHeight="1">
      <x:c r="A73" s="192" t="s">
        <x:v>1381</x:v>
      </x:c>
      <x:c r="B73" s="193" t="n">
        <x:f>SUMIF($C$5:$C$52,A73,$H$5:$H$52)</x:f>
        <x:v>37</x:v>
      </x:c>
      <x:c r="C73" s="193" t="n">
        <x:f>SUMIFS($H$5:$H$52,$C$5:$C$52,A73,$K$5:$K$52,"Approved")</x:f>
        <x:v>31</x:v>
      </x:c>
      <x:c r="D73" s="193" t="n">
        <x:f>SUMIFS($H$5:$H$52,$C$5:$C$52,A73,$K$5:$K$52,"Submitted")</x:f>
        <x:v>0</x:v>
      </x:c>
      <x:c r="E73" s="193" t="n">
        <x:f>SUMIFS($H$5:$H$52,$C$5:$C$52,A73,$K$5:$K$52,"Pending")</x:f>
        <x:v>6</x:v>
      </x:c>
      <x:c r="F73" s="154"/>
      <x:c r="G73" s="154"/>
      <x:c r="H73" s="154"/>
      <x:c r="I73" s="154"/>
      <x:c r="J73" s="154"/>
      <x:c r="K73" s="154"/>
      <x:c r="L73" s="154"/>
      <x:c r="M73" s="154"/>
      <x:c r="N73" s="154"/>
    </x:row>
    <x:row r="74" ht="30" customHeight="1">
      <x:c r="A74" s="192" t="s">
        <x:v>1516</x:v>
      </x:c>
      <x:c r="B74" s="193" t="n">
        <x:f>SUMIF($C$5:$C$52,A74,$H$5:$H$52)</x:f>
        <x:v>81</x:v>
      </x:c>
      <x:c r="C74" s="193" t="n">
        <x:f>SUMIFS($H$5:$H$52,$C$5:$C$52,A74,$K$5:$K$52,"Approved")</x:f>
        <x:v>0</x:v>
      </x:c>
      <x:c r="D74" s="193" t="n">
        <x:f>SUMIFS($H$5:$H$52,$C$5:$C$52,A74,$K$5:$K$52,"Submitted")</x:f>
        <x:v>62</x:v>
      </x:c>
      <x:c r="E74" s="193" t="n">
        <x:f>SUMIFS($H$5:$H$52,$C$5:$C$52,A74,$K$5:$K$52,"Pending")</x:f>
        <x:v>19</x:v>
      </x:c>
      <x:c r="F74" s="154"/>
      <x:c r="G74" s="154"/>
      <x:c r="H74" s="154"/>
      <x:c r="I74" s="154"/>
      <x:c r="J74" s="154"/>
      <x:c r="K74" s="154"/>
      <x:c r="L74" s="154"/>
      <x:c r="M74" s="154"/>
      <x:c r="N74" s="154"/>
    </x:row>
    <x:row r="75" ht="30" customHeight="1">
      <x:c r="A75" s="192" t="s">
        <x:v>1519</x:v>
      </x:c>
      <x:c r="B75" s="193" t="n">
        <x:f>SUMIF($C$5:$C$52,A75,$H$5:$H$52)</x:f>
        <x:v>32.5</x:v>
      </x:c>
      <x:c r="C75" s="193" t="n">
        <x:f>SUMIFS($H$5:$H$52,$C$5:$C$52,A75,$K$5:$K$52,"Approved")</x:f>
        <x:v>26.5</x:v>
      </x:c>
      <x:c r="D75" s="193" t="n">
        <x:f>SUMIFS($H$5:$H$52,$C$5:$C$52,A75,$K$5:$K$52,"Submitted")</x:f>
        <x:v>0</x:v>
      </x:c>
      <x:c r="E75" s="193" t="n">
        <x:f>SUMIFS($H$5:$H$52,$C$5:$C$52,A75,$K$5:$K$52,"Pending")</x:f>
        <x:v>6</x:v>
      </x:c>
      <x:c r="F75" s="154"/>
      <x:c r="G75" s="154"/>
      <x:c r="H75" s="154"/>
      <x:c r="I75" s="154"/>
      <x:c r="J75" s="154"/>
      <x:c r="K75" s="154"/>
      <x:c r="L75" s="154"/>
      <x:c r="M75" s="154"/>
      <x:c r="N75" s="154"/>
    </x:row>
    <x:row r="76" ht="30" customHeight="1">
      <x:c r="A76" s="194" t="s">
        <x:v>1616</x:v>
      </x:c>
      <x:c r="B76" s="195" t="n">
        <x:f>SUM(B71:B75)</x:f>
        <x:v>211.5</x:v>
      </x:c>
      <x:c r="C76" s="195" t="n">
        <x:f>SUM(C71:C75)</x:f>
        <x:v>104.5</x:v>
      </x:c>
      <x:c r="D76" s="195" t="n">
        <x:f>SUM(D71:D75)</x:f>
        <x:v>62</x:v>
      </x:c>
      <x:c r="E76" s="195" t="n">
        <x:f>SUM(E71:E75)</x:f>
        <x:v>45</x:v>
      </x:c>
      <x:c r="F76" s="154"/>
      <x:c r="G76" s="154"/>
      <x:c r="H76" s="154"/>
      <x:c r="I76" s="154"/>
      <x:c r="J76" s="154"/>
      <x:c r="K76" s="154"/>
      <x:c r="L76" s="154"/>
      <x:c r="M76" s="154"/>
      <x:c r="N76" s="154"/>
    </x:row>
    <x:row r="77" ht="20.100000381469727" customHeight="1">
      <x:c r="A77" s="154"/>
      <x:c r="B77" s="154"/>
      <x:c r="C77" s="154"/>
      <x:c r="D77" s="154"/>
      <x:c r="E77" s="154"/>
      <x:c r="F77" s="154"/>
      <x:c r="G77" s="154"/>
      <x:c r="H77" s="154"/>
      <x:c r="I77" s="154"/>
      <x:c r="J77" s="154"/>
      <x:c r="K77" s="154"/>
      <x:c r="L77" s="154"/>
      <x:c r="M77" s="154"/>
      <x:c r="N77" s="154"/>
    </x:row>
    <x:row r="78" ht="20.100000381469727" customHeight="1">
      <x:c r="A78" s="154"/>
      <x:c r="B78" s="154"/>
      <x:c r="C78" s="154"/>
      <x:c r="D78" s="154"/>
      <x:c r="E78" s="154"/>
      <x:c r="F78" s="154"/>
      <x:c r="G78" s="154"/>
      <x:c r="H78" s="154"/>
      <x:c r="I78" s="154"/>
      <x:c r="J78" s="154"/>
      <x:c r="K78" s="154"/>
      <x:c r="L78" s="154"/>
      <x:c r="M78" s="154"/>
      <x:c r="N78" s="154"/>
    </x:row>
    <x:row r="79" ht="27.950000762939453" customHeight="1">
      <x:c r="A79" s="126" t="s">
        <x:v>1792</x:v>
      </x:c>
      <x:c r="B79" s="126"/>
      <x:c r="C79" s="126"/>
      <x:c r="D79" s="126"/>
      <x:c r="E79" s="126"/>
      <x:c r="F79" s="126"/>
      <x:c r="G79" s="126"/>
      <x:c r="H79" s="126"/>
      <x:c r="I79" s="154"/>
      <x:c r="J79" s="154"/>
      <x:c r="K79" s="154"/>
      <x:c r="L79" s="154"/>
      <x:c r="M79" s="154"/>
      <x:c r="N79" s="154"/>
    </x:row>
    <x:row r="80" ht="24.950000762939453" customHeight="1">
      <x:c r="A80" s="125" t="str">
        <x:v>PM/reviewer: LinhNDM. Hours are retrospective estimates. Pending = draft awaiting completion; Submitted = ready for PM review; Approved = PM review recorded in this tracker. These states concern hours, not feature acceptance. Pending is retained as the team-requested extension to the template. General covers preparation/documentation; product entries use their planned delivery iteration, including early coding. One person/date/WBS per entry, maximum 8 hours/day; dates and TL identifiers are ascending. Git proves work products, not measured hours or historical sign-offs.</x:v>
      </x:c>
      <x:c r="B80" s="125"/>
      <x:c r="C80" s="125"/>
      <x:c r="D80" s="125"/>
      <x:c r="E80" s="125"/>
      <x:c r="F80" s="125"/>
      <x:c r="G80" s="125"/>
      <x:c r="H80" s="125"/>
      <x:c r="I80" s="154"/>
      <x:c r="J80" s="154"/>
      <x:c r="K80" s="154"/>
      <x:c r="L80" s="154"/>
      <x:c r="M80" s="154"/>
      <x:c r="N80" s="154"/>
    </x:row>
    <x:row r="81" ht="24.950000762939453" customHeight="1">
      <x:c r="A81" s="125"/>
      <x:c r="B81" s="125"/>
      <x:c r="C81" s="125"/>
      <x:c r="D81" s="125"/>
      <x:c r="E81" s="125"/>
      <x:c r="F81" s="125"/>
      <x:c r="G81" s="125"/>
      <x:c r="H81" s="125"/>
      <x:c r="I81" s="154"/>
      <x:c r="J81" s="154"/>
      <x:c r="K81" s="154"/>
      <x:c r="L81" s="154"/>
      <x:c r="M81" s="154"/>
      <x:c r="N81" s="154"/>
    </x:row>
    <x:row r="82" ht="24.950000762939453" customHeight="1">
      <x:c r="A82" s="125"/>
      <x:c r="B82" s="125"/>
      <x:c r="C82" s="125"/>
      <x:c r="D82" s="125"/>
      <x:c r="E82" s="125"/>
      <x:c r="F82" s="125"/>
      <x:c r="G82" s="125"/>
      <x:c r="H82" s="125"/>
      <x:c r="I82" s="154"/>
      <x:c r="J82" s="154"/>
      <x:c r="K82" s="154"/>
      <x:c r="L82" s="154"/>
      <x:c r="M82" s="154"/>
      <x:c r="N82" s="154"/>
    </x:row>
    <x:row r="83" ht="24.950000762939453" customHeight="1">
      <x:c r="A83" s="125"/>
      <x:c r="B83" s="125"/>
      <x:c r="C83" s="125"/>
      <x:c r="D83" s="125"/>
      <x:c r="E83" s="125"/>
      <x:c r="F83" s="125"/>
      <x:c r="G83" s="125"/>
      <x:c r="H83" s="125"/>
      <x:c r="I83" s="154"/>
      <x:c r="J83" s="154"/>
      <x:c r="K83" s="154"/>
      <x:c r="L83" s="154"/>
      <x:c r="M83" s="154"/>
      <x:c r="N83" s="154"/>
    </x:row>
    <x:row r="84" ht="20.100000381469727" customHeight="1"/>
    <x:row r="85" ht="20.100000381469727" customHeight="1"/>
    <x:row r="86" ht="20.100000381469727" customHeight="1"/>
    <x:row r="87" ht="20.100000381469727" customHeight="1"/>
    <x:row r="88" ht="20.100000381469727" customHeight="1"/>
    <x:row r="89" ht="20.100000381469727" customHeight="1"/>
    <x:row r="90" ht="20.100000381469727" customHeight="1"/>
    <x:row r="91" ht="20.100000381469727" customHeight="1"/>
    <x:row r="92" ht="20.100000381469727" customHeight="1"/>
    <x:row r="93" ht="20.100000381469727" customHeight="1"/>
    <x:row r="94" ht="20.100000381469727" customHeight="1"/>
    <x:row r="95" ht="20.100000381469727" customHeight="1"/>
    <x:row r="96" ht="20.100000381469727" customHeight="1"/>
    <x:row r="97" ht="20.100000381469727" customHeight="1"/>
    <x:row r="98" ht="20.100000381469727" customHeight="1"/>
    <x:row r="99" ht="20.100000381469727" customHeight="1"/>
    <x:row r="100" ht="20.100000381469727" customHeight="1"/>
    <x:row r="101" ht="20.100000381469727" customHeight="1"/>
    <x:row r="102" ht="20.100000381469727" customHeight="1"/>
    <x:row r="103" ht="20.100000381469727" customHeight="1"/>
    <x:row r="104" ht="20.100000381469727" customHeight="1"/>
    <x:row r="105" ht="20.100000381469727" customHeight="1"/>
    <x:row r="106" ht="20.100000381469727" customHeight="1"/>
    <x:row r="107" ht="20.100000381469727" customHeight="1"/>
    <x:row r="108" ht="20.100000381469727" customHeight="1"/>
    <x:row r="109" ht="20.100000381469727" customHeight="1"/>
    <x:row r="110" ht="20.100000381469727" customHeight="1"/>
    <x:row r="111" ht="20.100000381469727" customHeight="1"/>
    <x:row r="112" ht="20.100000381469727" customHeight="1"/>
    <x:row r="113" ht="20.100000381469727" customHeight="1"/>
    <x:row r="114" ht="20.100000381469727" customHeight="1"/>
    <x:row r="115" ht="20.100000381469727" customHeight="1"/>
    <x:row r="116" ht="20.100000381469727" customHeight="1"/>
    <x:row r="117" ht="20.100000381469727" customHeight="1"/>
    <x:row r="118" ht="20.100000381469727" customHeight="1"/>
    <x:row r="119" ht="20.100000381469727" customHeight="1"/>
    <x:row r="120" ht="20.100000381469727" customHeight="1"/>
    <x:row r="121" ht="20.100000381469727" customHeight="1"/>
    <x:row r="122" ht="20.100000381469727" customHeight="1"/>
    <x:row r="123" ht="20.100000381469727" customHeight="1"/>
    <x:row r="124" ht="20.100000381469727" customHeight="1"/>
    <x:row r="125" ht="20.100000381469727" customHeight="1"/>
    <x:row r="126" ht="20.100000381469727" customHeight="1"/>
    <x:row r="127" ht="20.100000381469727" customHeight="1"/>
    <x:row r="128" ht="20.100000381469727" customHeight="1"/>
    <x:row r="129" ht="20.100000381469727" customHeight="1"/>
    <x:row r="130" ht="20.100000381469727" customHeight="1"/>
    <x:row r="131" ht="20.100000381469727" customHeight="1"/>
    <x:row r="132" ht="20.100000381469727" customHeight="1"/>
    <x:row r="133" ht="20.100000381469727" customHeight="1"/>
    <x:row r="134" ht="20.100000381469727" customHeight="1"/>
    <x:row r="135" ht="20.100000381469727" customHeight="1"/>
    <x:row r="136" ht="20.100000381469727" customHeight="1"/>
    <x:row r="137" ht="20.100000381469727" customHeight="1"/>
    <x:row r="138" ht="20.100000381469727" customHeight="1"/>
    <x:row r="139" ht="20.100000381469727" customHeight="1"/>
    <x:row r="140" ht="20.100000381469727" customHeight="1"/>
    <x:row r="141" ht="20.100000381469727" customHeight="1"/>
    <x:row r="142" ht="20.100000381469727" customHeight="1"/>
    <x:row r="143" ht="20.100000381469727" customHeight="1"/>
    <x:row r="144" ht="20.100000381469727" customHeight="1"/>
    <x:row r="145" ht="20.100000381469727" customHeight="1"/>
    <x:row r="146" ht="20.100000381469727" customHeight="1"/>
    <x:row r="147" ht="20.100000381469727" customHeight="1"/>
    <x:row r="148" ht="20.100000381469727" customHeight="1"/>
    <x:row r="149" ht="20.100000381469727" customHeight="1"/>
  </x:sheetData>
  <x:mergeCells>
    <x:mergeCell ref="A80:H83"/>
    <x:mergeCell ref="A2:N2"/>
    <x:mergeCell ref="A1:N1"/>
    <x:mergeCell ref="A56:D56"/>
    <x:mergeCell ref="A69:E69"/>
    <x:mergeCell ref="A79:H79"/>
  </x:mergeCells>
  <x:conditionalFormatting sqref="K5:K52">
    <x:cfRule type="containsText" dxfId="183" priority="1" operator="containsText" text="Pending"/>
    <x:cfRule type="containsText" dxfId="182" priority="2" operator="containsText" text="Submitted"/>
    <x:cfRule type="containsText" dxfId="181" priority="3" operator="containsText" text="Approved"/>
    <x:cfRule type="containsText" dxfId="180" priority="4" operator="containsText" text="Rejected"/>
  </x:conditionalFormatting>
  <x:dataValidations count="6">
    <x:dataValidation type="list" sqref="C5:C52">
      <x:formula1>"PhuPD,HoangNV,SonLT,HieuLT,TungVPH"</x:formula1>
    </x:dataValidation>
    <x:dataValidation type="list" sqref="F5:F52">
      <x:formula1>"Training,Analyzing,Designing,Coding,Testing,Reviewing,Deploying,Meeting"</x:formula1>
    </x:dataValidation>
    <x:dataValidation type="list" sqref="G5:G52">
      <x:formula1>"Newly-Created,Updating,Reviewing,Bug-Fix,Research"</x:formula1>
    </x:dataValidation>
    <x:dataValidation type="list" sqref="J5:J52">
      <x:formula1>"Iteration 1,Iteration 2,Iteration 3,General"</x:formula1>
    </x:dataValidation>
    <x:dataValidation type="list" sqref="L5:L52">
      <x:formula1>"LinhNDM"</x:formula1>
    </x:dataValidation>
    <x:dataValidation type="list" sqref="K5:K500">
      <x:formula1>"Pending,Submitted,Approved,Rejected"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C00000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customWidth="1"/>
    <x:col min="2" max="2" width="13" customWidth="1"/>
    <x:col min="3" max="3" width="43" customWidth="1"/>
    <x:col min="4" max="4" width="42" customWidth="1"/>
    <x:col min="5" max="6" width="43" customWidth="1"/>
    <x:col min="7" max="8" width="12" customWidth="1"/>
    <x:col min="9" max="9" width="20" customWidth="1"/>
    <x:col min="10" max="10" width="22" customWidth="1"/>
    <x:col min="11" max="11" width="36" customWidth="1"/>
    <x:col min="12" max="12" width="22" customWidth="1"/>
    <x:col min="13" max="13" width="24" customWidth="1"/>
    <x:col min="14" max="14" width="16" customWidth="1"/>
    <x:col min="15" max="15" width="13" customWidth="1"/>
    <x:col min="16" max="16" width="18" customWidth="1"/>
    <x:col min="17" max="17" width="13" customWidth="1"/>
    <x:col min="18" max="18" width="80" customWidth="1"/>
  </x:cols>
  <x:sheetData>
    <x:row r="1" ht="18">
      <x:c r="A1" s="134" t="s">
        <x:v>1793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33"/>
    </x:row>
    <x:row r="2" ht="20.100000381469727" customHeight="1">
      <x:c r="A2" s="129" t="s">
        <x:v>1794</x:v>
      </x:c>
      <x:c r="B2" s="128"/>
      <x:c r="C2" s="128"/>
      <x:c r="D2" s="128"/>
      <x:c r="E2" s="128"/>
      <x:c r="F2" s="128"/>
      <x:c r="G2" s="128"/>
      <x:c r="H2" s="128"/>
      <x:c r="I2" s="128"/>
      <x:c r="J2" s="128"/>
      <x:c r="K2" s="128"/>
      <x:c r="L2" s="128"/>
      <x:c r="M2" s="128"/>
      <x:c r="N2" s="128"/>
      <x:c r="O2" s="128"/>
      <x:c r="P2" s="128"/>
      <x:c r="Q2" s="128"/>
      <x:c r="R2" s="128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  <x:c r="L3" s="154"/>
      <x:c r="M3" s="154"/>
      <x:c r="N3" s="154"/>
      <x:c r="O3" s="154"/>
      <x:c r="P3" s="154"/>
      <x:c r="Q3" s="154"/>
      <x:c r="R3" s="154"/>
    </x:row>
    <x:row r="4" ht="35.099998474121094" customHeight="1">
      <x:c r="A4" s="300" t="s">
        <x:v>1257</x:v>
      </x:c>
      <x:c r="B4" s="300" t="s">
        <x:v>1795</x:v>
      </x:c>
      <x:c r="C4" s="300" t="s">
        <x:v>1796</x:v>
      </x:c>
      <x:c r="D4" s="300" t="s">
        <x:v>1797</x:v>
      </x:c>
      <x:c r="E4" s="300" t="s">
        <x:v>1798</x:v>
      </x:c>
      <x:c r="F4" s="300" t="s">
        <x:v>1799</x:v>
      </x:c>
      <x:c r="G4" s="300" t="s">
        <x:v>1800</x:v>
      </x:c>
      <x:c r="H4" s="300" t="s">
        <x:v>1721</x:v>
      </x:c>
      <x:c r="I4" s="300" t="s">
        <x:v>1775</x:v>
      </x:c>
      <x:c r="J4" s="300" t="s">
        <x:v>1801</x:v>
      </x:c>
      <x:c r="K4" s="300" t="s">
        <x:v>1802</x:v>
      </x:c>
      <x:c r="L4" s="300" t="s">
        <x:v>1803</x:v>
      </x:c>
      <x:c r="M4" s="300" t="s">
        <x:v>1804</x:v>
      </x:c>
      <x:c r="N4" s="300" t="s">
        <x:v>1226</x:v>
      </x:c>
      <x:c r="O4" s="300" t="s">
        <x:v>1805</x:v>
      </x:c>
      <x:c r="P4" s="196" t="s">
        <x:v>1806</x:v>
      </x:c>
      <x:c r="Q4" s="196" t="s">
        <x:v>1778</x:v>
      </x:c>
      <x:c r="R4" s="196" t="s">
        <x:v>1263</x:v>
      </x:c>
    </x:row>
    <x:row r="5" ht="144.9499969482422" customHeight="1">
      <x:c r="A5" s="301" t="s">
        <x:v>1807</x:v>
      </x:c>
      <x:c r="B5" s="302">
        <x:v>46300</x:v>
      </x:c>
      <x:c r="C5" s="303" t="s">
        <x:v>1808</x:v>
      </x:c>
      <x:c r="D5" s="303" t="s">
        <x:v>1809</x:v>
      </x:c>
      <x:c r="E5" s="303" t="s">
        <x:v>1810</x:v>
      </x:c>
      <x:c r="F5" s="303" t="s">
        <x:v>1811</x:v>
      </x:c>
      <x:c r="G5" s="304" t="s">
        <x:v>1728</x:v>
      </x:c>
      <x:c r="H5" s="305" t="s">
        <x:v>1728</x:v>
      </x:c>
      <x:c r="I5" s="304" t="s">
        <x:v>1812</x:v>
      </x:c>
      <x:c r="J5" s="306" t="s">
        <x:v>1813</x:v>
      </x:c>
      <x:c r="K5" s="306" t="s">
        <x:v>1814</x:v>
      </x:c>
      <x:c r="L5" s="306" t="s">
        <x:v>1516</x:v>
      </x:c>
      <x:c r="M5" s="306" t="s">
        <x:v>1360</x:v>
      </x:c>
      <x:c r="N5" s="252" t="s">
        <x:v>1815</x:v>
      </x:c>
      <x:c r="O5" s="302">
        <x:v>46300</x:v>
      </x:c>
      <x:c r="P5" s="200" t="s">
        <x:v>1816</x:v>
      </x:c>
      <x:c r="Q5" s="198">
        <x:v>46302</x:v>
      </x:c>
      <x:c r="R5" s="202" t="s">
        <x:v>1817</x:v>
      </x:c>
    </x:row>
    <x:row r="6" ht="144.9499969482422" customHeight="1">
      <x:c r="A6" s="301" t="s">
        <x:v>1818</x:v>
      </x:c>
      <x:c r="B6" s="284">
        <x:v>46300</x:v>
      </x:c>
      <x:c r="C6" s="255" t="s">
        <x:v>1819</x:v>
      </x:c>
      <x:c r="D6" s="255" t="s">
        <x:v>1820</x:v>
      </x:c>
      <x:c r="E6" s="255" t="s">
        <x:v>1821</x:v>
      </x:c>
      <x:c r="F6" s="255" t="s">
        <x:v>1822</x:v>
      </x:c>
      <x:c r="G6" s="305" t="s">
        <x:v>1728</x:v>
      </x:c>
      <x:c r="H6" s="305" t="s">
        <x:v>1728</x:v>
      </x:c>
      <x:c r="I6" s="256" t="s">
        <x:v>1812</x:v>
      </x:c>
      <x:c r="J6" s="255" t="s">
        <x:v>1813</x:v>
      </x:c>
      <x:c r="K6" s="255" t="s">
        <x:v>1823</x:v>
      </x:c>
      <x:c r="L6" s="255" t="s">
        <x:v>1516</x:v>
      </x:c>
      <x:c r="M6" s="255" t="s">
        <x:v>1360</x:v>
      </x:c>
      <x:c r="N6" s="252" t="s">
        <x:v>1815</x:v>
      </x:c>
      <x:c r="O6" s="284">
        <x:v>46300</x:v>
      </x:c>
      <x:c r="P6" s="159" t="s">
        <x:v>1816</x:v>
      </x:c>
      <x:c r="Q6" s="203">
        <x:v>46302</x:v>
      </x:c>
      <x:c r="R6" s="158" t="s">
        <x:v>1824</x:v>
      </x:c>
    </x:row>
    <x:row r="7" ht="144.9499969482422" customHeight="1">
      <x:c r="A7" s="301" t="s">
        <x:v>1825</x:v>
      </x:c>
      <x:c r="B7" s="302">
        <x:v>46300</x:v>
      </x:c>
      <x:c r="C7" s="306" t="s">
        <x:v>1826</x:v>
      </x:c>
      <x:c r="D7" s="306" t="s">
        <x:v>1827</x:v>
      </x:c>
      <x:c r="E7" s="306" t="s">
        <x:v>1828</x:v>
      </x:c>
      <x:c r="F7" s="306" t="s">
        <x:v>1829</x:v>
      </x:c>
      <x:c r="G7" s="305" t="s">
        <x:v>1728</x:v>
      </x:c>
      <x:c r="H7" s="305" t="s">
        <x:v>1728</x:v>
      </x:c>
      <x:c r="I7" s="304" t="s">
        <x:v>1812</x:v>
      </x:c>
      <x:c r="J7" s="306" t="s">
        <x:v>1813</x:v>
      </x:c>
      <x:c r="K7" s="306" t="s">
        <x:v>1830</x:v>
      </x:c>
      <x:c r="L7" s="306" t="s">
        <x:v>1516</x:v>
      </x:c>
      <x:c r="M7" s="306" t="s">
        <x:v>1360</x:v>
      </x:c>
      <x:c r="N7" s="252" t="s">
        <x:v>1815</x:v>
      </x:c>
      <x:c r="O7" s="302">
        <x:v>46300</x:v>
      </x:c>
      <x:c r="P7" s="200" t="s">
        <x:v>1816</x:v>
      </x:c>
      <x:c r="Q7" s="198">
        <x:v>46302</x:v>
      </x:c>
      <x:c r="R7" s="202" t="s">
        <x:v>1831</x:v>
      </x:c>
    </x:row>
    <x:row r="8" ht="144.9499969482422" customHeight="1">
      <x:c r="A8" s="301" t="s">
        <x:v>1832</x:v>
      </x:c>
      <x:c r="B8" s="284">
        <x:v>46300</x:v>
      </x:c>
      <x:c r="C8" s="255" t="s">
        <x:v>1833</x:v>
      </x:c>
      <x:c r="D8" s="255" t="s">
        <x:v>1834</x:v>
      </x:c>
      <x:c r="E8" s="255" t="s">
        <x:v>1835</x:v>
      </x:c>
      <x:c r="F8" s="255" t="s">
        <x:v>1836</x:v>
      </x:c>
      <x:c r="G8" s="305" t="s">
        <x:v>1365</x:v>
      </x:c>
      <x:c r="H8" s="305" t="s">
        <x:v>1365</x:v>
      </x:c>
      <x:c r="I8" s="256" t="s">
        <x:v>1812</x:v>
      </x:c>
      <x:c r="J8" s="255" t="s">
        <x:v>1813</x:v>
      </x:c>
      <x:c r="K8" s="255" t="s">
        <x:v>1837</x:v>
      </x:c>
      <x:c r="L8" s="255" t="s">
        <x:v>1516</x:v>
      </x:c>
      <x:c r="M8" s="255" t="s">
        <x:v>1360</x:v>
      </x:c>
      <x:c r="N8" s="252" t="s">
        <x:v>1791</x:v>
      </x:c>
      <x:c r="O8" s="284"/>
      <x:c r="P8" s="159"/>
      <x:c r="Q8" s="203">
        <x:v>46302</x:v>
      </x:c>
      <x:c r="R8" s="158" t="s">
        <x:v>1838</x:v>
      </x:c>
    </x:row>
    <x:row r="9" ht="144.9499969482422" customHeight="1">
      <x:c r="A9" s="301" t="s">
        <x:v>1839</x:v>
      </x:c>
      <x:c r="B9" s="302">
        <x:v>46300</x:v>
      </x:c>
      <x:c r="C9" s="306" t="s">
        <x:v>1840</x:v>
      </x:c>
      <x:c r="D9" s="306" t="s">
        <x:v>1841</x:v>
      </x:c>
      <x:c r="E9" s="306" t="s">
        <x:v>1842</x:v>
      </x:c>
      <x:c r="F9" s="306" t="s">
        <x:v>1843</x:v>
      </x:c>
      <x:c r="G9" s="305" t="s">
        <x:v>1365</x:v>
      </x:c>
      <x:c r="H9" s="305" t="s">
        <x:v>1365</x:v>
      </x:c>
      <x:c r="I9" s="304" t="s">
        <x:v>1812</x:v>
      </x:c>
      <x:c r="J9" s="306" t="s">
        <x:v>1813</x:v>
      </x:c>
      <x:c r="K9" s="306" t="s">
        <x:v>1844</x:v>
      </x:c>
      <x:c r="L9" s="306" t="s">
        <x:v>1516</x:v>
      </x:c>
      <x:c r="M9" s="306" t="s">
        <x:v>1360</x:v>
      </x:c>
      <x:c r="N9" s="252" t="s">
        <x:v>1791</x:v>
      </x:c>
      <x:c r="O9" s="302"/>
      <x:c r="P9" s="200"/>
      <x:c r="Q9" s="198">
        <x:v>46302</x:v>
      </x:c>
      <x:c r="R9" s="202" t="s">
        <x:v>1845</x:v>
      </x:c>
    </x:row>
    <x:row r="10" ht="144.9499969482422" customHeight="1">
      <x:c r="A10" s="301" t="s">
        <x:v>1846</x:v>
      </x:c>
      <x:c r="B10" s="284">
        <x:v>46302</x:v>
      </x:c>
      <x:c r="C10" s="255" t="s">
        <x:v>1847</x:v>
      </x:c>
      <x:c r="D10" s="255" t="s">
        <x:v>1848</x:v>
      </x:c>
      <x:c r="E10" s="255" t="s">
        <x:v>1849</x:v>
      </x:c>
      <x:c r="F10" s="255" t="s">
        <x:v>1850</x:v>
      </x:c>
      <x:c r="G10" s="305" t="s">
        <x:v>1365</x:v>
      </x:c>
      <x:c r="H10" s="305" t="s">
        <x:v>1728</x:v>
      </x:c>
      <x:c r="I10" s="256" t="s">
        <x:v>1851</x:v>
      </x:c>
      <x:c r="J10" s="255" t="s">
        <x:v>1852</x:v>
      </x:c>
      <x:c r="K10" s="255" t="s">
        <x:v>1853</x:v>
      </x:c>
      <x:c r="L10" s="255" t="s">
        <x:v>1516</x:v>
      </x:c>
      <x:c r="M10" s="255" t="s">
        <x:v>1516</x:v>
      </x:c>
      <x:c r="N10" s="252" t="s">
        <x:v>1815</x:v>
      </x:c>
      <x:c r="O10" s="284">
        <x:v>46304</x:v>
      </x:c>
      <x:c r="P10" s="159" t="s">
        <x:v>1854</x:v>
      </x:c>
      <x:c r="Q10" s="225">
        <x:v>46304</x:v>
      </x:c>
      <x:c r="R10" s="158" t="s">
        <x:v>1855</x:v>
      </x:c>
    </x:row>
    <x:row r="11" ht="144.9499969482422" customHeight="1">
      <x:c r="A11" s="301" t="s">
        <x:v>1856</x:v>
      </x:c>
      <x:c r="B11" s="302">
        <x:v>46302</x:v>
      </x:c>
      <x:c r="C11" s="306" t="s">
        <x:v>1857</x:v>
      </x:c>
      <x:c r="D11" s="306" t="s">
        <x:v>1858</x:v>
      </x:c>
      <x:c r="E11" s="306" t="str">
        <x:v>Count 55 distinct SRS FT functions once; sum estimated points for all 82 WBS packages.</x:v>
      </x:c>
      <x:c r="F11" s="306" t="str">
        <x:v>Dashboard function counts/statuses now use the 55-feature allocation. Estimated effort still sums all 82 WBS packages.</x:v>
      </x:c>
      <x:c r="G11" s="305" t="s">
        <x:v>1365</x:v>
      </x:c>
      <x:c r="H11" s="305" t="s">
        <x:v>1365</x:v>
      </x:c>
      <x:c r="I11" s="304" t="s">
        <x:v>1851</x:v>
      </x:c>
      <x:c r="J11" s="306" t="s">
        <x:v>1852</x:v>
      </x:c>
      <x:c r="K11" s="306" t="str">
        <x:v>Dashboard C22:G24; WBS A129:G183</x:v>
      </x:c>
      <x:c r="L11" s="306" t="s">
        <x:v>1516</x:v>
      </x:c>
      <x:c r="M11" s="306" t="s">
        <x:v>1516</x:v>
      </x:c>
      <x:c r="N11" s="252" t="s">
        <x:v>1815</x:v>
      </x:c>
      <x:c r="O11" s="302">
        <x:v>46304</x:v>
      </x:c>
      <x:c r="P11" s="200" t="s">
        <x:v>1854</x:v>
      </x:c>
      <x:c r="Q11" s="226">
        <x:v>46304</x:v>
      </x:c>
      <x:c r="R11" s="202" t="s">
        <x:v>1859</x:v>
      </x:c>
    </x:row>
    <x:row r="12" ht="144.9499969482422" customHeight="1">
      <x:c r="A12" s="301" t="s">
        <x:v>1860</x:v>
      </x:c>
      <x:c r="B12" s="284">
        <x:v>46302</x:v>
      </x:c>
      <x:c r="C12" s="255" t="s">
        <x:v>1861</x:v>
      </x:c>
      <x:c r="D12" s="255" t="s">
        <x:v>1862</x:v>
      </x:c>
      <x:c r="E12" s="255" t="s">
        <x:v>1863</x:v>
      </x:c>
      <x:c r="F12" s="255" t="str">
        <x:v>Scope F now records estimated deliverable completion independently of H/D effort usage. Milestone statuses and approval fields reconciled.</x:v>
      </x:c>
      <x:c r="G12" s="305" t="s">
        <x:v>1365</x:v>
      </x:c>
      <x:c r="H12" s="305" t="s">
        <x:v>1365</x:v>
      </x:c>
      <x:c r="I12" s="256" t="s">
        <x:v>1851</x:v>
      </x:c>
      <x:c r="J12" s="255" t="s">
        <x:v>1852</x:v>
      </x:c>
      <x:c r="K12" s="255" t="s">
        <x:v>1864</x:v>
      </x:c>
      <x:c r="L12" s="255" t="s">
        <x:v>1516</x:v>
      </x:c>
      <x:c r="M12" s="255" t="s">
        <x:v>1516</x:v>
      </x:c>
      <x:c r="N12" s="252" t="str">
        <x:v>Fixed</x:v>
      </x:c>
      <x:c r="O12" s="284" t="n">
        <x:v>46304</x:v>
      </x:c>
      <x:c r="P12" s="159"/>
      <x:c r="Q12" s="225">
        <x:v>46304</x:v>
      </x:c>
      <x:c r="R12" s="158" t="s">
        <x:v>1865</x:v>
      </x:c>
    </x:row>
    <x:row r="13">
      <x:c r="A13" s="145"/>
      <x:c r="B13" s="146"/>
      <x:c r="C13" s="147"/>
      <x:c r="D13" s="147"/>
      <x:c r="E13" s="147"/>
      <x:c r="F13" s="147"/>
      <x:c r="G13" s="144"/>
      <x:c r="H13" s="144"/>
      <x:c r="I13" s="146"/>
      <x:c r="J13" s="147"/>
      <x:c r="K13" s="147"/>
      <x:c r="L13" s="147"/>
      <x:c r="M13" s="147"/>
      <x:c r="N13" s="138"/>
      <x:c r="O13" s="146"/>
      <x:c r="P13" s="146"/>
      <x:c r="Q13" s="146"/>
      <x:c r="R13" s="147"/>
    </x:row>
    <x:row r="14">
      <x:c r="A14" s="145"/>
      <x:c r="B14" s="136"/>
      <x:c r="C14" s="137"/>
      <x:c r="D14" s="137"/>
      <x:c r="E14" s="137"/>
      <x:c r="F14" s="137"/>
      <x:c r="G14" s="144"/>
      <x:c r="H14" s="144"/>
      <x:c r="I14" s="136"/>
      <x:c r="J14" s="137"/>
      <x:c r="K14" s="137"/>
      <x:c r="L14" s="137"/>
      <x:c r="M14" s="137"/>
      <x:c r="N14" s="138"/>
      <x:c r="O14" s="136"/>
      <x:c r="P14" s="136"/>
      <x:c r="Q14" s="136"/>
      <x:c r="R14" s="137"/>
    </x:row>
    <x:row r="15">
      <x:c r="A15" s="145"/>
      <x:c r="B15" s="146"/>
      <x:c r="C15" s="147"/>
      <x:c r="D15" s="147"/>
      <x:c r="E15" s="147"/>
      <x:c r="F15" s="147"/>
      <x:c r="G15" s="144"/>
      <x:c r="H15" s="144"/>
      <x:c r="I15" s="146"/>
      <x:c r="J15" s="147"/>
      <x:c r="K15" s="147"/>
      <x:c r="L15" s="147"/>
      <x:c r="M15" s="147"/>
      <x:c r="N15" s="138"/>
      <x:c r="O15" s="146"/>
      <x:c r="P15" s="146"/>
      <x:c r="Q15" s="146"/>
      <x:c r="R15" s="147"/>
    </x:row>
    <x:row r="16">
      <x:c r="A16" s="145"/>
      <x:c r="B16" s="136"/>
      <x:c r="C16" s="137"/>
      <x:c r="D16" s="137"/>
      <x:c r="E16" s="137"/>
      <x:c r="F16" s="137"/>
      <x:c r="G16" s="144"/>
      <x:c r="H16" s="144"/>
      <x:c r="I16" s="136"/>
      <x:c r="J16" s="137"/>
      <x:c r="K16" s="137"/>
      <x:c r="L16" s="137"/>
      <x:c r="M16" s="137"/>
      <x:c r="N16" s="138"/>
      <x:c r="O16" s="136"/>
      <x:c r="P16" s="136"/>
      <x:c r="Q16" s="136"/>
      <x:c r="R16" s="137"/>
    </x:row>
    <x:row r="17">
      <x:c r="A17" s="145"/>
      <x:c r="B17" s="146"/>
      <x:c r="C17" s="147"/>
      <x:c r="D17" s="147"/>
      <x:c r="E17" s="147"/>
      <x:c r="F17" s="147"/>
      <x:c r="G17" s="144"/>
      <x:c r="H17" s="144"/>
      <x:c r="I17" s="146"/>
      <x:c r="J17" s="147"/>
      <x:c r="K17" s="147"/>
      <x:c r="L17" s="147"/>
      <x:c r="M17" s="147"/>
      <x:c r="N17" s="138"/>
      <x:c r="O17" s="146"/>
      <x:c r="P17" s="146"/>
      <x:c r="Q17" s="146"/>
      <x:c r="R17" s="147"/>
    </x:row>
    <x:row r="18">
      <x:c r="A18" s="145"/>
      <x:c r="B18" s="136"/>
      <x:c r="C18" s="137"/>
      <x:c r="D18" s="137"/>
      <x:c r="E18" s="137"/>
      <x:c r="F18" s="137"/>
      <x:c r="G18" s="144"/>
      <x:c r="H18" s="144"/>
      <x:c r="I18" s="136"/>
      <x:c r="J18" s="137"/>
      <x:c r="K18" s="137"/>
      <x:c r="L18" s="137"/>
      <x:c r="M18" s="137"/>
      <x:c r="N18" s="138"/>
      <x:c r="O18" s="136"/>
      <x:c r="P18" s="136"/>
      <x:c r="Q18" s="136"/>
      <x:c r="R18" s="137"/>
    </x:row>
    <x:row r="19">
      <x:c r="A19" s="145"/>
      <x:c r="B19" s="146"/>
      <x:c r="C19" s="147"/>
      <x:c r="D19" s="147"/>
      <x:c r="E19" s="147"/>
      <x:c r="F19" s="147"/>
      <x:c r="G19" s="144"/>
      <x:c r="H19" s="144"/>
      <x:c r="I19" s="146"/>
      <x:c r="J19" s="147"/>
      <x:c r="K19" s="147"/>
      <x:c r="L19" s="147"/>
      <x:c r="M19" s="147"/>
      <x:c r="N19" s="138"/>
      <x:c r="O19" s="146"/>
      <x:c r="P19" s="146"/>
      <x:c r="Q19" s="146"/>
      <x:c r="R19" s="147"/>
    </x:row>
    <x:row r="20">
      <x:c r="A20" s="145"/>
      <x:c r="B20" s="136"/>
      <x:c r="C20" s="137"/>
      <x:c r="D20" s="137"/>
      <x:c r="E20" s="137"/>
      <x:c r="F20" s="137"/>
      <x:c r="G20" s="144"/>
      <x:c r="H20" s="144"/>
      <x:c r="I20" s="136"/>
      <x:c r="J20" s="137"/>
      <x:c r="K20" s="137"/>
      <x:c r="L20" s="137"/>
      <x:c r="M20" s="137"/>
      <x:c r="N20" s="138"/>
      <x:c r="O20" s="136"/>
      <x:c r="P20" s="136"/>
      <x:c r="Q20" s="136"/>
      <x:c r="R20" s="137"/>
    </x:row>
    <x:row r="21">
      <x:c r="A21" s="145"/>
      <x:c r="B21" s="146"/>
      <x:c r="C21" s="147"/>
      <x:c r="D21" s="147"/>
      <x:c r="E21" s="147"/>
      <x:c r="F21" s="147"/>
      <x:c r="G21" s="144"/>
      <x:c r="H21" s="144"/>
      <x:c r="I21" s="146"/>
      <x:c r="J21" s="147"/>
      <x:c r="K21" s="147"/>
      <x:c r="L21" s="147"/>
      <x:c r="M21" s="147"/>
      <x:c r="N21" s="138"/>
      <x:c r="O21" s="146"/>
      <x:c r="P21" s="146"/>
      <x:c r="Q21" s="146"/>
      <x:c r="R21" s="147"/>
    </x:row>
    <x:row r="22">
      <x:c r="A22" s="145"/>
      <x:c r="B22" s="136"/>
      <x:c r="C22" s="137"/>
      <x:c r="D22" s="137"/>
      <x:c r="E22" s="137"/>
      <x:c r="F22" s="137"/>
      <x:c r="G22" s="144"/>
      <x:c r="H22" s="144"/>
      <x:c r="I22" s="136"/>
      <x:c r="J22" s="137"/>
      <x:c r="K22" s="137"/>
      <x:c r="L22" s="137"/>
      <x:c r="M22" s="137"/>
      <x:c r="N22" s="138"/>
      <x:c r="O22" s="136"/>
      <x:c r="P22" s="136"/>
      <x:c r="Q22" s="136"/>
      <x:c r="R22" s="137"/>
    </x:row>
    <x:row r="23">
      <x:c r="A23" s="145"/>
      <x:c r="B23" s="146"/>
      <x:c r="C23" s="147"/>
      <x:c r="D23" s="147"/>
      <x:c r="E23" s="147"/>
      <x:c r="F23" s="147"/>
      <x:c r="G23" s="144"/>
      <x:c r="H23" s="144"/>
      <x:c r="I23" s="146"/>
      <x:c r="J23" s="147"/>
      <x:c r="K23" s="147"/>
      <x:c r="L23" s="147"/>
      <x:c r="M23" s="147"/>
      <x:c r="N23" s="138"/>
      <x:c r="O23" s="146"/>
      <x:c r="P23" s="146"/>
      <x:c r="Q23" s="146"/>
      <x:c r="R23" s="147"/>
    </x:row>
    <x:row r="24">
      <x:c r="A24" s="145"/>
      <x:c r="B24" s="136"/>
      <x:c r="C24" s="137"/>
      <x:c r="D24" s="137"/>
      <x:c r="E24" s="137"/>
      <x:c r="F24" s="137"/>
      <x:c r="G24" s="144"/>
      <x:c r="H24" s="144"/>
      <x:c r="I24" s="136"/>
      <x:c r="J24" s="137"/>
      <x:c r="K24" s="137"/>
      <x:c r="L24" s="137"/>
      <x:c r="M24" s="137"/>
      <x:c r="N24" s="138"/>
      <x:c r="O24" s="136"/>
      <x:c r="P24" s="136"/>
      <x:c r="Q24" s="136"/>
      <x:c r="R24" s="137"/>
    </x:row>
    <x:row r="25">
      <x:c r="A25" s="145"/>
      <x:c r="B25" s="146"/>
      <x:c r="C25" s="147"/>
      <x:c r="D25" s="147"/>
      <x:c r="E25" s="147"/>
      <x:c r="F25" s="147"/>
      <x:c r="G25" s="144"/>
      <x:c r="H25" s="144"/>
      <x:c r="I25" s="146"/>
      <x:c r="J25" s="147"/>
      <x:c r="K25" s="147"/>
      <x:c r="L25" s="147"/>
      <x:c r="M25" s="147"/>
      <x:c r="N25" s="138"/>
      <x:c r="O25" s="146"/>
      <x:c r="P25" s="146"/>
      <x:c r="Q25" s="146"/>
      <x:c r="R25" s="147"/>
    </x:row>
    <x:row r="26">
      <x:c r="A26" s="145"/>
      <x:c r="B26" s="136"/>
      <x:c r="C26" s="137"/>
      <x:c r="D26" s="137"/>
      <x:c r="E26" s="137"/>
      <x:c r="F26" s="137"/>
      <x:c r="G26" s="144"/>
      <x:c r="H26" s="144"/>
      <x:c r="I26" s="136"/>
      <x:c r="J26" s="137"/>
      <x:c r="K26" s="137"/>
      <x:c r="L26" s="137"/>
      <x:c r="M26" s="137"/>
      <x:c r="N26" s="138"/>
      <x:c r="O26" s="136"/>
      <x:c r="P26" s="136"/>
      <x:c r="Q26" s="136"/>
      <x:c r="R26" s="137"/>
    </x:row>
    <x:row r="27">
      <x:c r="A27" s="145"/>
      <x:c r="B27" s="146"/>
      <x:c r="C27" s="147"/>
      <x:c r="D27" s="147"/>
      <x:c r="E27" s="147"/>
      <x:c r="F27" s="147"/>
      <x:c r="G27" s="144"/>
      <x:c r="H27" s="144"/>
      <x:c r="I27" s="146"/>
      <x:c r="J27" s="147"/>
      <x:c r="K27" s="147"/>
      <x:c r="L27" s="147"/>
      <x:c r="M27" s="147"/>
      <x:c r="N27" s="138"/>
      <x:c r="O27" s="146"/>
      <x:c r="P27" s="146"/>
      <x:c r="Q27" s="146"/>
      <x:c r="R27" s="147"/>
    </x:row>
    <x:row r="28">
      <x:c r="A28" s="145"/>
      <x:c r="B28" s="136"/>
      <x:c r="C28" s="137"/>
      <x:c r="D28" s="137"/>
      <x:c r="E28" s="137"/>
      <x:c r="F28" s="137"/>
      <x:c r="G28" s="144"/>
      <x:c r="H28" s="144"/>
      <x:c r="I28" s="136"/>
      <x:c r="J28" s="137"/>
      <x:c r="K28" s="137"/>
      <x:c r="L28" s="137"/>
      <x:c r="M28" s="137"/>
      <x:c r="N28" s="138"/>
      <x:c r="O28" s="136"/>
      <x:c r="P28" s="136"/>
      <x:c r="Q28" s="136"/>
      <x:c r="R28" s="137"/>
    </x:row>
    <x:row r="29">
      <x:c r="A29" s="145"/>
      <x:c r="B29" s="146"/>
      <x:c r="C29" s="147"/>
      <x:c r="D29" s="147"/>
      <x:c r="E29" s="147"/>
      <x:c r="F29" s="147"/>
      <x:c r="G29" s="144"/>
      <x:c r="H29" s="144"/>
      <x:c r="I29" s="146"/>
      <x:c r="J29" s="147"/>
      <x:c r="K29" s="147"/>
      <x:c r="L29" s="147"/>
      <x:c r="M29" s="147"/>
      <x:c r="N29" s="138"/>
      <x:c r="O29" s="146"/>
      <x:c r="P29" s="146"/>
      <x:c r="Q29" s="146"/>
      <x:c r="R29" s="147"/>
    </x:row>
    <x:row r="30">
      <x:c r="A30" s="145"/>
      <x:c r="B30" s="136"/>
      <x:c r="C30" s="137"/>
      <x:c r="D30" s="137"/>
      <x:c r="E30" s="137"/>
      <x:c r="F30" s="137"/>
      <x:c r="G30" s="144"/>
      <x:c r="H30" s="144"/>
      <x:c r="I30" s="136"/>
      <x:c r="J30" s="137"/>
      <x:c r="K30" s="137"/>
      <x:c r="L30" s="137"/>
      <x:c r="M30" s="137"/>
      <x:c r="N30" s="138"/>
      <x:c r="O30" s="136"/>
      <x:c r="P30" s="136"/>
      <x:c r="Q30" s="136"/>
      <x:c r="R30" s="137"/>
    </x:row>
    <x:row r="31">
      <x:c r="A31" s="145"/>
      <x:c r="B31" s="146"/>
      <x:c r="C31" s="147"/>
      <x:c r="D31" s="147"/>
      <x:c r="E31" s="147"/>
      <x:c r="F31" s="147"/>
      <x:c r="G31" s="144"/>
      <x:c r="H31" s="144"/>
      <x:c r="I31" s="146"/>
      <x:c r="J31" s="147"/>
      <x:c r="K31" s="147"/>
      <x:c r="L31" s="147"/>
      <x:c r="M31" s="147"/>
      <x:c r="N31" s="138"/>
      <x:c r="O31" s="146"/>
      <x:c r="P31" s="146"/>
      <x:c r="Q31" s="146"/>
      <x:c r="R31" s="147"/>
    </x:row>
    <x:row r="32">
      <x:c r="A32" s="145"/>
      <x:c r="B32" s="136"/>
      <x:c r="C32" s="137"/>
      <x:c r="D32" s="137"/>
      <x:c r="E32" s="137"/>
      <x:c r="F32" s="137"/>
      <x:c r="G32" s="144"/>
      <x:c r="H32" s="144"/>
      <x:c r="I32" s="136"/>
      <x:c r="J32" s="137"/>
      <x:c r="K32" s="137"/>
      <x:c r="L32" s="137"/>
      <x:c r="M32" s="137"/>
      <x:c r="N32" s="138"/>
      <x:c r="O32" s="136"/>
      <x:c r="P32" s="136"/>
      <x:c r="Q32" s="136"/>
      <x:c r="R32" s="137"/>
    </x:row>
    <x:row r="33">
      <x:c r="A33" s="145"/>
      <x:c r="B33" s="146"/>
      <x:c r="C33" s="147"/>
      <x:c r="D33" s="147"/>
      <x:c r="E33" s="147"/>
      <x:c r="F33" s="147"/>
      <x:c r="G33" s="144"/>
      <x:c r="H33" s="144"/>
      <x:c r="I33" s="146"/>
      <x:c r="J33" s="147"/>
      <x:c r="K33" s="147"/>
      <x:c r="L33" s="147"/>
      <x:c r="M33" s="147"/>
      <x:c r="N33" s="138"/>
      <x:c r="O33" s="146"/>
      <x:c r="P33" s="146"/>
      <x:c r="Q33" s="146"/>
      <x:c r="R33" s="147"/>
    </x:row>
    <x:row r="34">
      <x:c r="A34" s="145"/>
      <x:c r="B34" s="136"/>
      <x:c r="C34" s="137"/>
      <x:c r="D34" s="137"/>
      <x:c r="E34" s="137"/>
      <x:c r="F34" s="137"/>
      <x:c r="G34" s="144"/>
      <x:c r="H34" s="144"/>
      <x:c r="I34" s="136"/>
      <x:c r="J34" s="137"/>
      <x:c r="K34" s="137"/>
      <x:c r="L34" s="137"/>
      <x:c r="M34" s="137"/>
      <x:c r="N34" s="138"/>
      <x:c r="O34" s="136"/>
      <x:c r="P34" s="136"/>
      <x:c r="Q34" s="136"/>
      <x:c r="R34" s="137"/>
    </x:row>
  </x:sheetData>
  <x:mergeCells>
    <x:mergeCell ref="A2:R2"/>
    <x:mergeCell ref="A1:R1"/>
  </x:mergeCells>
  <x:conditionalFormatting sqref="G5:G300">
    <x:cfRule type="cellIs" dxfId="179" priority="5" operator="equal">
      <x:formula>"Info"</x:formula>
    </x:cfRule>
  </x:conditionalFormatting>
  <x:conditionalFormatting sqref="G5:H300">
    <x:cfRule type="cellIs" dxfId="178" priority="1" operator="equal">
      <x:formula>"Critical"</x:formula>
    </x:cfRule>
    <x:cfRule type="cellIs" dxfId="177" priority="2" operator="equal">
      <x:formula>"High"</x:formula>
    </x:cfRule>
    <x:cfRule type="cellIs" dxfId="176" priority="3" operator="equal">
      <x:formula>"Medium"</x:formula>
    </x:cfRule>
    <x:cfRule type="cellIs" dxfId="175" priority="4" operator="equal">
      <x:formula>"Low"</x:formula>
    </x:cfRule>
  </x:conditionalFormatting>
  <x:conditionalFormatting sqref="N5:N9 N12:N300">
    <x:cfRule type="cellIs" dxfId="174" priority="10" operator="equal">
      <x:formula>"Done"</x:formula>
    </x:cfRule>
    <x:cfRule type="cellIs" dxfId="173" priority="11" operator="equal">
      <x:formula>"Completed"</x:formula>
    </x:cfRule>
    <x:cfRule type="cellIs" dxfId="172" priority="12" operator="equal">
      <x:formula>"Closed"</x:formula>
    </x:cfRule>
    <x:cfRule type="cellIs" dxfId="171" priority="13" operator="equal">
      <x:formula>"Fixed"</x:formula>
    </x:cfRule>
    <x:cfRule type="cellIs" dxfId="170" priority="14" operator="equal">
      <x:formula>"Approved"</x:formula>
    </x:cfRule>
    <x:cfRule type="cellIs" dxfId="169" priority="15" operator="equal">
      <x:formula>"In Progress"</x:formula>
    </x:cfRule>
    <x:cfRule type="cellIs" dxfId="168" priority="16" operator="equal">
      <x:formula>"Open"</x:formula>
    </x:cfRule>
    <x:cfRule type="cellIs" dxfId="167" priority="17" operator="equal">
      <x:formula>"Pending"</x:formula>
    </x:cfRule>
    <x:cfRule type="cellIs" dxfId="166" priority="18" operator="equal">
      <x:formula>"Blocked"</x:formula>
    </x:cfRule>
    <x:cfRule type="cellIs" dxfId="165" priority="19" operator="equal">
      <x:formula>"Cancelled"</x:formula>
    </x:cfRule>
    <x:cfRule type="cellIs" dxfId="164" priority="20" operator="equal">
      <x:formula>"Rejected"</x:formula>
    </x:cfRule>
    <x:cfRule type="cellIs" dxfId="163" priority="21" operator="equal">
      <x:formula>"Submitted"</x:formula>
    </x:cfRule>
  </x:conditionalFormatting>
  <x:conditionalFormatting sqref="N10:N11">
    <x:cfRule type="containsText" dxfId="162" priority="22" operator="containsText" text="Fixed"/>
  </x:conditionalFormatting>
  <x:dataValidations count="6">
    <x:dataValidation type="list" allowBlank="1" sqref="G5:G300">
      <x:formula1>"Critical,High,Medium,Low,Info"</x:formula1>
    </x:dataValidation>
    <x:dataValidation type="list" allowBlank="1" sqref="H5:H300">
      <x:formula1>"Critical,High,Medium,Low"</x:formula1>
    </x:dataValidation>
    <x:dataValidation type="list" allowBlank="1" sqref="N13:N300">
      <x:formula1>"Pending,Open,In Progress,Fixed,Closed,Rejected"</x:formula1>
    </x:dataValidation>
    <x:dataValidation type="list" sqref="M5:M12">
      <x:formula1>"PhuPD,HoangNV,SonLT,HieuLT,TungVPH"</x:formula1>
    </x:dataValidation>
    <x:dataValidation type="list" allowBlank="1" sqref="N5:N12">
      <x:formula1>"Open,Pending,In Progress,Fixed,Closed,Rejected"</x:formula1>
    </x:dataValidation>
    <x:dataValidation type="list" sqref="I5:I300">
      <x:formula1>"Review,Unit Test,Integration Test,System Test,UAT"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5C3292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customWidth="1"/>
    <x:col min="2" max="2" width="13" customWidth="1"/>
    <x:col min="3" max="3" width="47" customWidth="1"/>
    <x:col min="4" max="4" width="16" customWidth="1"/>
    <x:col min="5" max="5" width="12" customWidth="1"/>
    <x:col min="6" max="6" width="43" customWidth="1"/>
    <x:col min="7" max="7" width="22" customWidth="1"/>
    <x:col min="8" max="8" width="26" customWidth="1"/>
    <x:col min="9" max="9" width="13" customWidth="1"/>
    <x:col min="10" max="10" width="65" customWidth="1"/>
    <x:col min="11" max="11" width="16" customWidth="1"/>
    <x:col min="12" max="12" width="14" customWidth="1"/>
    <x:col min="13" max="13" width="80" customWidth="1"/>
  </x:cols>
  <x:sheetData>
    <x:row r="1" ht="28.149999618530273" customHeight="1">
      <x:c r="A1" s="134" t="s">
        <x:v>1866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</x:row>
    <x:row r="2" ht="20.100000381469727" customHeight="1">
      <x:c r="A2" s="129" t="s">
        <x:v>1867</x:v>
      </x:c>
      <x:c r="B2" s="128"/>
      <x:c r="C2" s="128"/>
      <x:c r="D2" s="128"/>
      <x:c r="E2" s="128"/>
      <x:c r="F2" s="128"/>
      <x:c r="G2" s="128"/>
      <x:c r="H2" s="128"/>
      <x:c r="I2" s="128"/>
      <x:c r="J2" s="128"/>
      <x:c r="K2" s="128"/>
      <x:c r="L2" s="128"/>
      <x:c r="M2" s="128"/>
    </x:row>
    <x:row r="3" ht="6" customHeight="1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  <x:c r="L3" s="154"/>
      <x:c r="M3" s="154"/>
    </x:row>
    <x:row r="4" ht="35.099998474121094" customHeight="1">
      <x:c r="A4" s="307" t="s">
        <x:v>1257</x:v>
      </x:c>
      <x:c r="B4" s="307" t="s">
        <x:v>1717</x:v>
      </x:c>
      <x:c r="C4" s="307" t="s">
        <x:v>1868</x:v>
      </x:c>
      <x:c r="D4" s="307" t="s">
        <x:v>1869</x:v>
      </x:c>
      <x:c r="E4" s="307" t="s">
        <x:v>1721</x:v>
      </x:c>
      <x:c r="F4" s="307" t="s">
        <x:v>1870</x:v>
      </x:c>
      <x:c r="G4" s="307" t="s">
        <x:v>1719</x:v>
      </x:c>
      <x:c r="H4" s="307" t="s">
        <x:v>1679</x:v>
      </x:c>
      <x:c r="I4" s="307" t="s">
        <x:v>1722</x:v>
      </x:c>
      <x:c r="J4" s="307" t="s">
        <x:v>1871</x:v>
      </x:c>
      <x:c r="K4" s="307" t="s">
        <x:v>1226</x:v>
      </x:c>
      <x:c r="L4" s="307" t="s">
        <x:v>1872</x:v>
      </x:c>
      <x:c r="M4" s="307" t="s">
        <x:v>1263</x:v>
      </x:c>
      <x:c r="N4" s="261"/>
    </x:row>
    <x:row r="5" ht="135" customHeight="1">
      <x:c r="A5" s="308" t="s">
        <x:v>1873</x:v>
      </x:c>
      <x:c r="B5" s="309">
        <x:v>46302</x:v>
      </x:c>
      <x:c r="C5" s="310" t="s">
        <x:v>1874</x:v>
      </x:c>
      <x:c r="D5" s="311" t="s">
        <x:v>1875</x:v>
      </x:c>
      <x:c r="E5" s="305" t="s">
        <x:v>1728</x:v>
      </x:c>
      <x:c r="F5" s="312" t="s">
        <x:v>1876</x:v>
      </x:c>
      <x:c r="G5" s="312" t="s">
        <x:v>1516</x:v>
      </x:c>
      <x:c r="H5" s="312" t="s">
        <x:v>1516</x:v>
      </x:c>
      <x:c r="I5" s="309">
        <x:v>46307</x:v>
      </x:c>
      <x:c r="J5" s="312" t="str">
        <x:v>Use the aligned Scope/WBS formal delivery windows and unique SRS feature allocation. Review the acceptance scope and test evidence at each milestone.</x:v>
      </x:c>
      <x:c r="K5" s="252" t="s">
        <x:v>1729</x:v>
      </x:c>
      <x:c r="L5" s="309"/>
      <x:c r="M5" s="312" t="s">
        <x:v>1877</x:v>
      </x:c>
      <x:c r="N5" s="261"/>
    </x:row>
    <x:row r="6" ht="135" customHeight="1">
      <x:c r="A6" s="308" t="s">
        <x:v>1878</x:v>
      </x:c>
      <x:c r="B6" s="284">
        <x:v>46302</x:v>
      </x:c>
      <x:c r="C6" s="255" t="s">
        <x:v>1879</x:v>
      </x:c>
      <x:c r="D6" s="256" t="s">
        <x:v>1880</x:v>
      </x:c>
      <x:c r="E6" s="305" t="s">
        <x:v>1728</x:v>
      </x:c>
      <x:c r="F6" s="255" t="s">
        <x:v>1881</x:v>
      </x:c>
      <x:c r="G6" s="255" t="s">
        <x:v>1516</x:v>
      </x:c>
      <x:c r="H6" s="255" t="s">
        <x:v>1516</x:v>
      </x:c>
      <x:c r="I6" s="284">
        <x:v>46307</x:v>
      </x:c>
      <x:c r="J6" s="255" t="s">
        <x:v>1882</x:v>
      </x:c>
      <x:c r="K6" s="252" t="s">
        <x:v>1729</x:v>
      </x:c>
      <x:c r="L6" s="284"/>
      <x:c r="M6" s="255" t="s">
        <x:v>1883</x:v>
      </x:c>
      <x:c r="N6" s="261"/>
    </x:row>
    <x:row r="7" ht="135" customHeight="1">
      <x:c r="A7" s="308" t="s">
        <x:v>1884</x:v>
      </x:c>
      <x:c r="B7" s="309">
        <x:v>46302</x:v>
      </x:c>
      <x:c r="C7" s="312" t="s">
        <x:v>1885</x:v>
      </x:c>
      <x:c r="D7" s="311" t="s">
        <x:v>1886</x:v>
      </x:c>
      <x:c r="E7" s="305" t="s">
        <x:v>1728</x:v>
      </x:c>
      <x:c r="F7" s="312" t="s">
        <x:v>1887</x:v>
      </x:c>
      <x:c r="G7" s="312" t="s">
        <x:v>1516</x:v>
      </x:c>
      <x:c r="H7" s="312" t="s">
        <x:v>1381</x:v>
      </x:c>
      <x:c r="I7" s="309">
        <x:v>46307</x:v>
      </x:c>
      <x:c r="J7" s="312" t="s">
        <x:v>1888</x:v>
      </x:c>
      <x:c r="K7" s="252" t="s">
        <x:v>1729</x:v>
      </x:c>
      <x:c r="L7" s="309"/>
      <x:c r="M7" s="312" t="s">
        <x:v>1889</x:v>
      </x:c>
      <x:c r="N7" s="261"/>
    </x:row>
    <x:row r="8" ht="135" customHeight="1">
      <x:c r="A8" s="308" t="s">
        <x:v>1890</x:v>
      </x:c>
      <x:c r="B8" s="284">
        <x:v>46302</x:v>
      </x:c>
      <x:c r="C8" s="255" t="s">
        <x:v>1891</x:v>
      </x:c>
      <x:c r="D8" s="256" t="s">
        <x:v>1886</x:v>
      </x:c>
      <x:c r="E8" s="305" t="s">
        <x:v>1728</x:v>
      </x:c>
      <x:c r="F8" s="255" t="s">
        <x:v>1892</x:v>
      </x:c>
      <x:c r="G8" s="255" t="s">
        <x:v>1516</x:v>
      </x:c>
      <x:c r="H8" s="255" t="s">
        <x:v>1519</x:v>
      </x:c>
      <x:c r="I8" s="284">
        <x:v>46311</x:v>
      </x:c>
      <x:c r="J8" s="255" t="s">
        <x:v>1893</x:v>
      </x:c>
      <x:c r="K8" s="252" t="s">
        <x:v>1729</x:v>
      </x:c>
      <x:c r="L8" s="284"/>
      <x:c r="M8" s="255" t="s">
        <x:v>1894</x:v>
      </x:c>
      <x:c r="N8" s="261"/>
    </x:row>
    <x:row r="9" ht="135" customHeight="1">
      <x:c r="A9" s="308" t="s">
        <x:v>1895</x:v>
      </x:c>
      <x:c r="B9" s="309">
        <x:v>46302</x:v>
      </x:c>
      <x:c r="C9" s="312" t="str">
        <x:v>Current SRS course/multi-skill and centre-student-only scope are not fully synchronized into RTW/FDS/Test Plan.</x:v>
      </x:c>
      <x:c r="D9" s="311" t="s">
        <x:v>1880</x:v>
      </x:c>
      <x:c r="E9" s="305" t="s">
        <x:v>1728</x:v>
      </x:c>
      <x:c r="F9" s="312" t="s">
        <x:v>1896</x:v>
      </x:c>
      <x:c r="G9" s="312" t="s">
        <x:v>1516</x:v>
      </x:c>
      <x:c r="H9" s="312" t="s">
        <x:v>1381</x:v>
      </x:c>
      <x:c r="I9" s="309">
        <x:v>46311</x:v>
      </x:c>
      <x:c r="J9" s="312" t="str">
        <x:v>Reconcile the 55-feature SRS and SC-01–SC-04 with older 54-feature RTW/Test Plan, FDS gates and Report 1 v1.0.0 exclusions.</x:v>
      </x:c>
      <x:c r="K9" s="252" t="s">
        <x:v>1729</x:v>
      </x:c>
      <x:c r="L9" s="309"/>
      <x:c r="M9" s="312" t="str">
        <x:v>SRS updated 09/10 (header v1.0.0; change history v0.9.24); FDS v0.4 and older RTW/Test Plan require reconciliation.</x:v>
      </x:c>
      <x:c r="N9" s="261"/>
    </x:row>
    <x:row r="10" ht="135" customHeight="1">
      <x:c r="A10" s="308" t="s">
        <x:v>1897</x:v>
      </x:c>
      <x:c r="B10" s="284">
        <x:v>46302</x:v>
      </x:c>
      <x:c r="C10" s="255" t="s">
        <x:v>1898</x:v>
      </x:c>
      <x:c r="D10" s="256" t="s">
        <x:v>1875</x:v>
      </x:c>
      <x:c r="E10" s="305" t="s">
        <x:v>1728</x:v>
      </x:c>
      <x:c r="F10" s="255" t="s">
        <x:v>1899</x:v>
      </x:c>
      <x:c r="G10" s="255" t="s">
        <x:v>1516</x:v>
      </x:c>
      <x:c r="H10" s="255" t="s">
        <x:v>1516</x:v>
      </x:c>
      <x:c r="I10" s="284">
        <x:v>46311</x:v>
      </x:c>
      <x:c r="J10" s="255" t="s">
        <x:v>1900</x:v>
      </x:c>
      <x:c r="K10" s="252" t="s">
        <x:v>1729</x:v>
      </x:c>
      <x:c r="L10" s="284"/>
      <x:c r="M10" s="255" t="s">
        <x:v>1901</x:v>
      </x:c>
      <x:c r="N10" s="261"/>
    </x:row>
    <x:row r="11" ht="135" customHeight="1">
      <x:c r="A11" s="308" t="s">
        <x:v>1902</x:v>
      </x:c>
      <x:c r="B11" s="309">
        <x:v>46302</x:v>
      </x:c>
      <x:c r="C11" s="312" t="s">
        <x:v>1903</x:v>
      </x:c>
      <x:c r="D11" s="311" t="s">
        <x:v>1886</x:v>
      </x:c>
      <x:c r="E11" s="305" t="s">
        <x:v>1365</x:v>
      </x:c>
      <x:c r="F11" s="312" t="s">
        <x:v>1904</x:v>
      </x:c>
      <x:c r="G11" s="312" t="s">
        <x:v>1516</x:v>
      </x:c>
      <x:c r="H11" s="312" t="s">
        <x:v>1360</x:v>
      </x:c>
      <x:c r="I11" s="309">
        <x:v>46316</x:v>
      </x:c>
      <x:c r="J11" s="312" t="str">
        <x:v>FE course listing/placement integration exists since 08/10. Complete course final-test and mixed-skill/essay paths, then capture a fresh unassisted browser regression.</x:v>
      </x:c>
      <x:c r="K11" s="252" t="s">
        <x:v>1729</x:v>
      </x:c>
      <x:c r="L11" s="309"/>
      <x:c r="M11" s="312" t="s">
        <x:v>1905</x:v>
      </x:c>
      <x:c r="N11" s="261"/>
    </x:row>
    <x:row r="12" ht="135" customHeight="1">
      <x:c r="A12" s="308" t="s">
        <x:v>1906</x:v>
      </x:c>
      <x:c r="B12" s="284">
        <x:v>46302</x:v>
      </x:c>
      <x:c r="C12" s="255" t="s">
        <x:v>1907</x:v>
      </x:c>
      <x:c r="D12" s="256" t="s">
        <x:v>1880</x:v>
      </x:c>
      <x:c r="E12" s="305" t="s">
        <x:v>1365</x:v>
      </x:c>
      <x:c r="F12" s="255" t="s">
        <x:v>1908</x:v>
      </x:c>
      <x:c r="G12" s="255" t="s">
        <x:v>1516</x:v>
      </x:c>
      <x:c r="H12" s="255" t="s">
        <x:v>1516</x:v>
      </x:c>
      <x:c r="I12" s="284">
        <x:v>46311</x:v>
      </x:c>
      <x:c r="J12" s="255" t="str">
        <x:v>Report 1 v1.0.0 is Approved (09/10, LinhNDM). Fill and substantiate remaining SRS/TDS/Test Plan approval metadata.</x:v>
      </x:c>
      <x:c r="K12" s="252" t="s">
        <x:v>1729</x:v>
      </x:c>
      <x:c r="L12" s="284"/>
      <x:c r="M12" s="255" t="str">
        <x:v>Current Report 1 reviewer/status verified; SRS/TDS/Test Plan metadata remains incomplete.</x:v>
      </x:c>
      <x:c r="N12" s="261"/>
    </x:row>
    <x:row r="13" ht="135" customHeight="1">
      <x:c r="A13" s="308" t="s">
        <x:v>1909</x:v>
      </x:c>
      <x:c r="B13" s="309">
        <x:v>46302</x:v>
      </x:c>
      <x:c r="C13" s="312" t="s">
        <x:v>1910</x:v>
      </x:c>
      <x:c r="D13" s="311" t="s">
        <x:v>1911</x:v>
      </x:c>
      <x:c r="E13" s="305" t="s">
        <x:v>1365</x:v>
      </x:c>
      <x:c r="F13" s="312" t="s">
        <x:v>1912</x:v>
      </x:c>
      <x:c r="G13" s="312" t="s">
        <x:v>1516</x:v>
      </x:c>
      <x:c r="H13" s="312" t="s">
        <x:v>1536</x:v>
      </x:c>
      <x:c r="I13" s="309">
        <x:v>46311</x:v>
      </x:c>
      <x:c r="J13" s="312" t="s">
        <x:v>1913</x:v>
      </x:c>
      <x:c r="K13" s="252" t="s">
        <x:v>1729</x:v>
      </x:c>
      <x:c r="L13" s="309"/>
      <x:c r="M13" s="312" t="s">
        <x:v>1914</x:v>
      </x:c>
      <x:c r="N13" s="261"/>
    </x:row>
    <x:row r="14" ht="20.100000381469727" customHeight="1">
      <x:c r="A14" s="148"/>
      <x:c r="B14" s="136"/>
      <x:c r="C14" s="137"/>
      <x:c r="D14" s="136"/>
      <x:c r="E14" s="144"/>
      <x:c r="F14" s="137"/>
      <x:c r="G14" s="137"/>
      <x:c r="H14" s="137"/>
      <x:c r="I14" s="136"/>
      <x:c r="J14" s="137"/>
      <x:c r="K14" s="138"/>
      <x:c r="L14" s="136"/>
      <x:c r="M14" s="137"/>
    </x:row>
    <x:row r="15" ht="20.100000381469727" customHeight="1">
      <x:c r="A15" s="148"/>
      <x:c r="B15" s="149"/>
      <x:c r="C15" s="150"/>
      <x:c r="D15" s="149"/>
      <x:c r="E15" s="144"/>
      <x:c r="F15" s="150"/>
      <x:c r="G15" s="150"/>
      <x:c r="H15" s="150"/>
      <x:c r="I15" s="149"/>
      <x:c r="J15" s="150"/>
      <x:c r="K15" s="138"/>
      <x:c r="L15" s="149"/>
      <x:c r="M15" s="150"/>
    </x:row>
    <x:row r="16" ht="20.100000381469727" customHeight="1">
      <x:c r="A16" s="148"/>
      <x:c r="B16" s="136"/>
      <x:c r="C16" s="137"/>
      <x:c r="D16" s="136"/>
      <x:c r="E16" s="144"/>
      <x:c r="F16" s="137"/>
      <x:c r="G16" s="137"/>
      <x:c r="H16" s="137"/>
      <x:c r="I16" s="136"/>
      <x:c r="J16" s="137"/>
      <x:c r="K16" s="138"/>
      <x:c r="L16" s="136"/>
      <x:c r="M16" s="137"/>
    </x:row>
    <x:row r="17" ht="20.100000381469727" customHeight="1">
      <x:c r="A17" s="148"/>
      <x:c r="B17" s="149"/>
      <x:c r="C17" s="150"/>
      <x:c r="D17" s="149"/>
      <x:c r="E17" s="144"/>
      <x:c r="F17" s="150"/>
      <x:c r="G17" s="150"/>
      <x:c r="H17" s="150"/>
      <x:c r="I17" s="149"/>
      <x:c r="J17" s="150"/>
      <x:c r="K17" s="138"/>
      <x:c r="L17" s="149"/>
      <x:c r="M17" s="150"/>
    </x:row>
    <x:row r="18" ht="20.100000381469727" customHeight="1">
      <x:c r="A18" s="148"/>
      <x:c r="B18" s="136"/>
      <x:c r="C18" s="137"/>
      <x:c r="D18" s="136"/>
      <x:c r="E18" s="144"/>
      <x:c r="F18" s="137"/>
      <x:c r="G18" s="137"/>
      <x:c r="H18" s="137"/>
      <x:c r="I18" s="136"/>
      <x:c r="J18" s="137"/>
      <x:c r="K18" s="138"/>
      <x:c r="L18" s="136"/>
      <x:c r="M18" s="137"/>
    </x:row>
    <x:row r="19" ht="20.100000381469727" customHeight="1">
      <x:c r="A19" s="148"/>
      <x:c r="B19" s="149"/>
      <x:c r="C19" s="150"/>
      <x:c r="D19" s="149"/>
      <x:c r="E19" s="144"/>
      <x:c r="F19" s="150"/>
      <x:c r="G19" s="150"/>
      <x:c r="H19" s="150"/>
      <x:c r="I19" s="149"/>
      <x:c r="J19" s="150"/>
      <x:c r="K19" s="138"/>
      <x:c r="L19" s="149"/>
      <x:c r="M19" s="150"/>
    </x:row>
    <x:row r="20" ht="20.100000381469727" customHeight="1">
      <x:c r="A20" s="148"/>
      <x:c r="B20" s="136"/>
      <x:c r="C20" s="137"/>
      <x:c r="D20" s="136"/>
      <x:c r="E20" s="144"/>
      <x:c r="F20" s="137"/>
      <x:c r="G20" s="137"/>
      <x:c r="H20" s="137"/>
      <x:c r="I20" s="136"/>
      <x:c r="J20" s="137"/>
      <x:c r="K20" s="138"/>
      <x:c r="L20" s="136"/>
      <x:c r="M20" s="137"/>
    </x:row>
    <x:row r="21" ht="20.100000381469727" customHeight="1">
      <x:c r="A21" s="148"/>
      <x:c r="B21" s="149"/>
      <x:c r="C21" s="150"/>
      <x:c r="D21" s="149"/>
      <x:c r="E21" s="144"/>
      <x:c r="F21" s="150"/>
      <x:c r="G21" s="150"/>
      <x:c r="H21" s="150"/>
      <x:c r="I21" s="149"/>
      <x:c r="J21" s="150"/>
      <x:c r="K21" s="138"/>
      <x:c r="L21" s="149"/>
      <x:c r="M21" s="150"/>
    </x:row>
    <x:row r="22" ht="20.100000381469727" customHeight="1">
      <x:c r="A22" s="148"/>
      <x:c r="B22" s="136"/>
      <x:c r="C22" s="137"/>
      <x:c r="D22" s="136"/>
      <x:c r="E22" s="144"/>
      <x:c r="F22" s="137"/>
      <x:c r="G22" s="137"/>
      <x:c r="H22" s="137"/>
      <x:c r="I22" s="136"/>
      <x:c r="J22" s="137"/>
      <x:c r="K22" s="138"/>
      <x:c r="L22" s="136"/>
      <x:c r="M22" s="137"/>
    </x:row>
    <x:row r="23" ht="20.100000381469727" customHeight="1">
      <x:c r="A23" s="148"/>
      <x:c r="B23" s="149"/>
      <x:c r="C23" s="150"/>
      <x:c r="D23" s="149"/>
      <x:c r="E23" s="144"/>
      <x:c r="F23" s="150"/>
      <x:c r="G23" s="150"/>
      <x:c r="H23" s="150"/>
      <x:c r="I23" s="149"/>
      <x:c r="J23" s="150"/>
      <x:c r="K23" s="138"/>
      <x:c r="L23" s="149"/>
      <x:c r="M23" s="150"/>
    </x:row>
    <x:row r="24" ht="20.100000381469727" customHeight="1">
      <x:c r="A24" s="148"/>
      <x:c r="B24" s="136"/>
      <x:c r="C24" s="137"/>
      <x:c r="D24" s="136"/>
      <x:c r="E24" s="144"/>
      <x:c r="F24" s="137"/>
      <x:c r="G24" s="137"/>
      <x:c r="H24" s="137"/>
      <x:c r="I24" s="136"/>
      <x:c r="J24" s="137"/>
      <x:c r="K24" s="138"/>
      <x:c r="L24" s="136"/>
      <x:c r="M24" s="137"/>
    </x:row>
  </x:sheetData>
  <x:mergeCells>
    <x:mergeCell ref="A2:M2"/>
    <x:mergeCell ref="A1:M1"/>
  </x:mergeCells>
  <x:conditionalFormatting sqref="E5:E200">
    <x:cfRule type="cellIs" dxfId="161" priority="1" operator="equal">
      <x:formula>"Critical"</x:formula>
    </x:cfRule>
    <x:cfRule type="cellIs" dxfId="160" priority="2" operator="equal">
      <x:formula>"High"</x:formula>
    </x:cfRule>
    <x:cfRule type="cellIs" dxfId="159" priority="3" operator="equal">
      <x:formula>"Medium"</x:formula>
    </x:cfRule>
    <x:cfRule type="cellIs" dxfId="158" priority="4" operator="equal">
      <x:formula>"Low"</x:formula>
    </x:cfRule>
  </x:conditionalFormatting>
  <x:conditionalFormatting sqref="K5:K200">
    <x:cfRule type="cellIs" dxfId="157" priority="5" operator="equal">
      <x:formula>"Done"</x:formula>
    </x:cfRule>
    <x:cfRule type="cellIs" dxfId="156" priority="6" operator="equal">
      <x:formula>"Completed"</x:formula>
    </x:cfRule>
    <x:cfRule type="cellIs" dxfId="155" priority="7" operator="equal">
      <x:formula>"Closed"</x:formula>
    </x:cfRule>
    <x:cfRule type="cellIs" dxfId="154" priority="8" operator="equal">
      <x:formula>"Fixed"</x:formula>
    </x:cfRule>
    <x:cfRule type="cellIs" dxfId="153" priority="9" operator="equal">
      <x:formula>"Approved"</x:formula>
    </x:cfRule>
    <x:cfRule type="cellIs" dxfId="152" priority="10" operator="equal">
      <x:formula>"In Progress"</x:formula>
    </x:cfRule>
    <x:cfRule type="cellIs" dxfId="151" priority="11" operator="equal">
      <x:formula>"Open"</x:formula>
    </x:cfRule>
    <x:cfRule type="cellIs" dxfId="150" priority="12" operator="equal">
      <x:formula>"Pending"</x:formula>
    </x:cfRule>
    <x:cfRule type="cellIs" dxfId="149" priority="13" operator="equal">
      <x:formula>"Blocked"</x:formula>
    </x:cfRule>
    <x:cfRule type="cellIs" dxfId="148" priority="14" operator="equal">
      <x:formula>"Cancelled"</x:formula>
    </x:cfRule>
    <x:cfRule type="cellIs" dxfId="147" priority="15" operator="equal">
      <x:formula>"Rejected"</x:formula>
    </x:cfRule>
    <x:cfRule type="cellIs" dxfId="146" priority="16" operator="equal">
      <x:formula>"Submitted"</x:formula>
    </x:cfRule>
  </x:conditionalFormatting>
  <x:dataValidations count="4">
    <x:dataValidation type="list" allowBlank="1" sqref="D5:D200">
      <x:formula1>"Technical,Process,Resource,Scope,External,Other"</x:formula1>
    </x:dataValidation>
    <x:dataValidation type="list" allowBlank="1" sqref="E5:E200">
      <x:formula1>"Critical,High,Medium,Low"</x:formula1>
    </x:dataValidation>
    <x:dataValidation type="list" allowBlank="1" sqref="K5:K200">
      <x:formula1>"Open,In Progress,Closed,Deferred,Cancelled"</x:formula1>
    </x:dataValidation>
    <x:dataValidation type="list" sqref="H5:H13">
      <x:formula1>"PhuPD,HoangNV,SonLT,HieuLT,TungVPH"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843C0C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customWidth="1"/>
    <x:col min="2" max="2" width="48" customWidth="1"/>
    <x:col min="3" max="3" width="15" customWidth="1"/>
    <x:col min="4" max="5" width="14" customWidth="1"/>
    <x:col min="6" max="6" width="16" customWidth="1"/>
    <x:col min="7" max="7" width="55" customWidth="1"/>
    <x:col min="8" max="8" width="50" customWidth="1"/>
    <x:col min="9" max="9" width="28" customWidth="1"/>
    <x:col min="10" max="10" width="13" customWidth="1"/>
    <x:col min="11" max="11" width="16" customWidth="1"/>
    <x:col min="12" max="12" width="80" customWidth="1"/>
  </x:cols>
  <x:sheetData>
    <x:row r="1" ht="18">
      <x:c r="A1" s="134" t="s">
        <x:v>1915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</x:row>
    <x:row r="2" ht="20.100000381469727" customHeight="1">
      <x:c r="A2" s="129" t="s">
        <x:v>1916</x:v>
      </x:c>
      <x:c r="B2" s="128"/>
      <x:c r="C2" s="128"/>
      <x:c r="D2" s="128"/>
      <x:c r="E2" s="128"/>
      <x:c r="F2" s="128"/>
      <x:c r="G2" s="128"/>
      <x:c r="H2" s="128"/>
      <x:c r="I2" s="128"/>
      <x:c r="J2" s="128"/>
      <x:c r="K2" s="128"/>
      <x:c r="L2" s="128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  <x:c r="L3" s="154"/>
    </x:row>
    <x:row r="4" ht="35.099998474121094" customHeight="1">
      <x:c r="A4" s="313" t="s">
        <x:v>1257</x:v>
      </x:c>
      <x:c r="B4" s="313" t="s">
        <x:v>1917</x:v>
      </x:c>
      <x:c r="C4" s="313" t="s">
        <x:v>1869</x:v>
      </x:c>
      <x:c r="D4" s="313" t="s">
        <x:v>1918</x:v>
      </x:c>
      <x:c r="E4" s="313" t="s">
        <x:v>1919</x:v>
      </x:c>
      <x:c r="F4" s="313" t="s">
        <x:v>1920</x:v>
      </x:c>
      <x:c r="G4" s="313" t="s">
        <x:v>1921</x:v>
      </x:c>
      <x:c r="H4" s="313" t="s">
        <x:v>1922</x:v>
      </x:c>
      <x:c r="I4" s="313" t="s">
        <x:v>1679</x:v>
      </x:c>
      <x:c r="J4" s="313" t="s">
        <x:v>1722</x:v>
      </x:c>
      <x:c r="K4" s="313" t="s">
        <x:v>1226</x:v>
      </x:c>
      <x:c r="L4" s="313" t="s">
        <x:v>1263</x:v>
      </x:c>
      <x:c r="M4" s="261"/>
    </x:row>
    <x:row r="5" ht="135" customHeight="1">
      <x:c r="A5" s="314" t="s">
        <x:v>1923</x:v>
      </x:c>
      <x:c r="B5" s="306" t="s">
        <x:v>1924</x:v>
      </x:c>
      <x:c r="C5" s="306" t="s">
        <x:v>1875</x:v>
      </x:c>
      <x:c r="D5" s="305" t="s">
        <x:v>1728</x:v>
      </x:c>
      <x:c r="E5" s="305" t="s">
        <x:v>1728</x:v>
      </x:c>
      <x:c r="F5" s="315" t="n">
        <x:f>IF(OR(D5="",E5=""),"",IF(D5="High",3,IF(D5="Medium",2,1))*IF(E5="High",3,IF(E5="Medium",2,1)))</x:f>
        <x:v>9</x:v>
      </x:c>
      <x:c r="G5" s="306" t="str">
        <x:v>Baseline the centre-student-only scope and 55-feature allocation. Exclude trials, teacher monitoring and classroom operations; review course/multi-skill priorities.</x:v>
      </x:c>
      <x:c r="H5" s="306" t="s">
        <x:v>1925</x:v>
      </x:c>
      <x:c r="I5" s="306" t="s">
        <x:v>1516</x:v>
      </x:c>
      <x:c r="J5" s="302">
        <x:v>46304</x:v>
      </x:c>
      <x:c r="K5" s="252" t="s">
        <x:v>1729</x:v>
      </x:c>
      <x:c r="L5" s="306" t="s">
        <x:v>1926</x:v>
      </x:c>
      <x:c r="M5" s="261"/>
    </x:row>
    <x:row r="6" ht="135" customHeight="1">
      <x:c r="A6" s="314" t="s">
        <x:v>1927</x:v>
      </x:c>
      <x:c r="B6" s="255" t="s">
        <x:v>1928</x:v>
      </x:c>
      <x:c r="C6" s="255" t="s">
        <x:v>1886</x:v>
      </x:c>
      <x:c r="D6" s="305" t="s">
        <x:v>1365</x:v>
      </x:c>
      <x:c r="E6" s="305" t="s">
        <x:v>1728</x:v>
      </x:c>
      <x:c r="F6" s="316" t="n">
        <x:f>IF(OR(D6="",E6=""),"",IF(D6="High",3,IF(D6="Medium",2,1))*IF(E6="High",3,IF(E6="Medium",2,1)))</x:f>
        <x:v>6</x:v>
      </x:c>
      <x:c r="G6" s="255" t="s">
        <x:v>1929</x:v>
      </x:c>
      <x:c r="H6" s="255" t="s">
        <x:v>1930</x:v>
      </x:c>
      <x:c r="I6" s="255" t="s">
        <x:v>1360</x:v>
      </x:c>
      <x:c r="J6" s="284">
        <x:v>46307</x:v>
      </x:c>
      <x:c r="K6" s="252" t="s">
        <x:v>1729</x:v>
      </x:c>
      <x:c r="L6" s="255" t="s">
        <x:v>1931</x:v>
      </x:c>
      <x:c r="M6" s="261"/>
    </x:row>
    <x:row r="7" ht="135" customHeight="1">
      <x:c r="A7" s="314" t="s">
        <x:v>1932</x:v>
      </x:c>
      <x:c r="B7" s="306" t="s">
        <x:v>1933</x:v>
      </x:c>
      <x:c r="C7" s="306" t="s">
        <x:v>1911</x:v>
      </x:c>
      <x:c r="D7" s="305" t="s">
        <x:v>1365</x:v>
      </x:c>
      <x:c r="E7" s="305" t="s">
        <x:v>1728</x:v>
      </x:c>
      <x:c r="F7" s="316" t="n">
        <x:f>IF(OR(D7="",E7=""),"",IF(D7="High",3,IF(D7="Medium",2,1))*IF(E7="High",3,IF(E7="Medium",2,1)))</x:f>
        <x:v>6</x:v>
      </x:c>
      <x:c r="G7" s="306" t="s">
        <x:v>1934</x:v>
      </x:c>
      <x:c r="H7" s="306" t="s">
        <x:v>1935</x:v>
      </x:c>
      <x:c r="I7" s="306" t="s">
        <x:v>1516</x:v>
      </x:c>
      <x:c r="J7" s="302">
        <x:v>46316</x:v>
      </x:c>
      <x:c r="K7" s="252" t="s">
        <x:v>1729</x:v>
      </x:c>
      <x:c r="L7" s="306" t="s">
        <x:v>1936</x:v>
      </x:c>
      <x:c r="M7" s="261"/>
    </x:row>
    <x:row r="8" ht="135" customHeight="1">
      <x:c r="A8" s="314" t="s">
        <x:v>1937</x:v>
      </x:c>
      <x:c r="B8" s="255" t="s">
        <x:v>1938</x:v>
      </x:c>
      <x:c r="C8" s="255" t="s">
        <x:v>1886</x:v>
      </x:c>
      <x:c r="D8" s="305" t="s">
        <x:v>1365</x:v>
      </x:c>
      <x:c r="E8" s="305" t="s">
        <x:v>1728</x:v>
      </x:c>
      <x:c r="F8" s="316" t="n">
        <x:f>IF(OR(D8="",E8=""),"",IF(D8="High",3,IF(D8="Medium",2,1))*IF(E8="High",3,IF(E8="Medium",2,1)))</x:f>
        <x:v>6</x:v>
      </x:c>
      <x:c r="G8" s="255" t="s">
        <x:v>1939</x:v>
      </x:c>
      <x:c r="H8" s="255" t="s">
        <x:v>1940</x:v>
      </x:c>
      <x:c r="I8" s="255" t="s">
        <x:v>1516</x:v>
      </x:c>
      <x:c r="J8" s="284">
        <x:v>46316</x:v>
      </x:c>
      <x:c r="K8" s="252" t="s">
        <x:v>1729</x:v>
      </x:c>
      <x:c r="L8" s="255" t="s">
        <x:v>1941</x:v>
      </x:c>
      <x:c r="M8" s="261"/>
    </x:row>
    <x:row r="9" ht="135" customHeight="1">
      <x:c r="A9" s="314" t="s">
        <x:v>1942</x:v>
      </x:c>
      <x:c r="B9" s="306" t="s">
        <x:v>1943</x:v>
      </x:c>
      <x:c r="C9" s="306" t="str">
        <x:v>Technical</x:v>
      </x:c>
      <x:c r="D9" s="305" t="s">
        <x:v>1365</x:v>
      </x:c>
      <x:c r="E9" s="305" t="s">
        <x:v>1728</x:v>
      </x:c>
      <x:c r="F9" s="316" t="n">
        <x:f>IF(OR(D9="",E9=""),"",IF(D9="High",3,IF(D9="Medium",2,1))*IF(E9="High",3,IF(E9="Medium",2,1)))</x:f>
        <x:v>6</x:v>
      </x:c>
      <x:c r="G9" s="306" t="s">
        <x:v>1944</x:v>
      </x:c>
      <x:c r="H9" s="306" t="s">
        <x:v>1945</x:v>
      </x:c>
      <x:c r="I9" s="306" t="s">
        <x:v>1536</x:v>
      </x:c>
      <x:c r="J9" s="302">
        <x:v>46316</x:v>
      </x:c>
      <x:c r="K9" s="252" t="s">
        <x:v>1729</x:v>
      </x:c>
      <x:c r="L9" s="306" t="s">
        <x:v>1946</x:v>
      </x:c>
      <x:c r="M9" s="261"/>
    </x:row>
    <x:row r="10" ht="135" customHeight="1">
      <x:c r="A10" s="314" t="s">
        <x:v>1947</x:v>
      </x:c>
      <x:c r="B10" s="255" t="s">
        <x:v>1948</x:v>
      </x:c>
      <x:c r="C10" s="255" t="s">
        <x:v>1949</x:v>
      </x:c>
      <x:c r="D10" s="305" t="s">
        <x:v>1365</x:v>
      </x:c>
      <x:c r="E10" s="305" t="s">
        <x:v>1728</x:v>
      </x:c>
      <x:c r="F10" s="315" t="n">
        <x:f>IF(OR(D10="",E10=""),"",IF(D10="High",3,IF(D10="Medium",2,1))*IF(E10="High",3,IF(E10="Medium",2,1)))</x:f>
        <x:v>6</x:v>
      </x:c>
      <x:c r="G10" s="255" t="s">
        <x:v>1950</x:v>
      </x:c>
      <x:c r="H10" s="255" t="s">
        <x:v>1951</x:v>
      </x:c>
      <x:c r="I10" s="255" t="s">
        <x:v>1519</x:v>
      </x:c>
      <x:c r="J10" s="284">
        <x:v>46316</x:v>
      </x:c>
      <x:c r="K10" s="252" t="s">
        <x:v>1729</x:v>
      </x:c>
      <x:c r="L10" s="255" t="s">
        <x:v>1952</x:v>
      </x:c>
      <x:c r="M10" s="261"/>
    </x:row>
    <x:row r="11" ht="135" customHeight="1">
      <x:c r="A11" s="314" t="s">
        <x:v>1953</x:v>
      </x:c>
      <x:c r="B11" s="255" t="s">
        <x:v>1954</x:v>
      </x:c>
      <x:c r="C11" s="255" t="s">
        <x:v>1886</x:v>
      </x:c>
      <x:c r="D11" s="305" t="s">
        <x:v>1365</x:v>
      </x:c>
      <x:c r="E11" s="305" t="s">
        <x:v>1728</x:v>
      </x:c>
      <x:c r="F11" s="256" t="n">
        <x:f>IF(OR(D11="",E11=""),"",IF(D11="High",3,IF(D11="Medium",2,1))*IF(E11="High",3,IF(E11="Medium",2,1)))</x:f>
        <x:v>6</x:v>
      </x:c>
      <x:c r="G11" s="255" t="s">
        <x:v>1955</x:v>
      </x:c>
      <x:c r="H11" s="255" t="s">
        <x:v>1956</x:v>
      </x:c>
      <x:c r="I11" s="255" t="s">
        <x:v>1519</x:v>
      </x:c>
      <x:c r="J11" s="284">
        <x:v>46316</x:v>
      </x:c>
      <x:c r="K11" s="252" t="s">
        <x:v>1729</x:v>
      </x:c>
      <x:c r="L11" s="255" t="s">
        <x:v>1957</x:v>
      </x:c>
      <x:c r="M11" s="261"/>
    </x:row>
    <x:row r="12" ht="135" customHeight="1">
      <x:c r="A12" s="314" t="s">
        <x:v>1958</x:v>
      </x:c>
      <x:c r="B12" s="306" t="s">
        <x:v>1959</x:v>
      </x:c>
      <x:c r="C12" s="306" t="s">
        <x:v>1960</x:v>
      </x:c>
      <x:c r="D12" s="305" t="s">
        <x:v>1365</x:v>
      </x:c>
      <x:c r="E12" s="305" t="s">
        <x:v>1365</x:v>
      </x:c>
      <x:c r="F12" s="256" t="n">
        <x:f>IF(OR(D12="",E12=""),"",IF(D12="High",3,IF(D12="Medium",2,1))*IF(E12="High",3,IF(E12="Medium",2,1)))</x:f>
        <x:v>4</x:v>
      </x:c>
      <x:c r="G12" s="306" t="s">
        <x:v>1961</x:v>
      </x:c>
      <x:c r="H12" s="306" t="s">
        <x:v>1962</x:v>
      </x:c>
      <x:c r="I12" s="306" t="s">
        <x:v>1381</x:v>
      </x:c>
      <x:c r="J12" s="302">
        <x:v>46316</x:v>
      </x:c>
      <x:c r="K12" s="252" t="s">
        <x:v>1729</x:v>
      </x:c>
      <x:c r="L12" s="306" t="s">
        <x:v>1963</x:v>
      </x:c>
      <x:c r="M12" s="261"/>
    </x:row>
    <x:row r="13" ht="135" customHeight="1">
      <x:c r="A13" s="314" t="s">
        <x:v>1964</x:v>
      </x:c>
      <x:c r="B13" s="255" t="s">
        <x:v>1965</x:v>
      </x:c>
      <x:c r="C13" s="255" t="s">
        <x:v>1949</x:v>
      </x:c>
      <x:c r="D13" s="305" t="s">
        <x:v>1966</x:v>
      </x:c>
      <x:c r="E13" s="305" t="s">
        <x:v>1728</x:v>
      </x:c>
      <x:c r="F13" s="256" t="n">
        <x:f>IF(OR(D13="",E13=""),"",IF(D13="High",3,IF(D13="Medium",2,1))*IF(E13="High",3,IF(E13="Medium",2,1)))</x:f>
        <x:v>3</x:v>
      </x:c>
      <x:c r="G13" s="255" t="s">
        <x:v>1967</x:v>
      </x:c>
      <x:c r="H13" s="255" t="s">
        <x:v>1968</x:v>
      </x:c>
      <x:c r="I13" s="255" t="s">
        <x:v>1516</x:v>
      </x:c>
      <x:c r="J13" s="284">
        <x:v>46311</x:v>
      </x:c>
      <x:c r="K13" s="252" t="s">
        <x:v>1729</x:v>
      </x:c>
      <x:c r="L13" s="255" t="s">
        <x:v>1969</x:v>
      </x:c>
      <x:c r="M13" s="261"/>
    </x:row>
    <x:row r="14" ht="135" customHeight="1">
      <x:c r="A14" s="314" t="s">
        <x:v>1970</x:v>
      </x:c>
      <x:c r="B14" s="306" t="s">
        <x:v>1971</x:v>
      </x:c>
      <x:c r="C14" s="306" t="s">
        <x:v>1960</x:v>
      </x:c>
      <x:c r="D14" s="305" t="s">
        <x:v>1365</x:v>
      </x:c>
      <x:c r="E14" s="305" t="s">
        <x:v>1365</x:v>
      </x:c>
      <x:c r="F14" s="256" t="n">
        <x:f>IF(OR(D14="",E14=""),"",IF(D14="High",3,IF(D14="Medium",2,1))*IF(E14="High",3,IF(E14="Medium",2,1)))</x:f>
        <x:v>4</x:v>
      </x:c>
      <x:c r="G14" s="306" t="s">
        <x:v>1972</x:v>
      </x:c>
      <x:c r="H14" s="306" t="s">
        <x:v>1973</x:v>
      </x:c>
      <x:c r="I14" s="306" t="s">
        <x:v>1519</x:v>
      </x:c>
      <x:c r="J14" s="302">
        <x:v>46316</x:v>
      </x:c>
      <x:c r="K14" s="252" t="s">
        <x:v>1729</x:v>
      </x:c>
      <x:c r="L14" s="306" t="s">
        <x:v>1974</x:v>
      </x:c>
      <x:c r="M14" s="261"/>
    </x:row>
    <x:row r="15" ht="135" customHeight="1">
      <x:c r="A15" s="314" t="s">
        <x:v>1975</x:v>
      </x:c>
      <x:c r="B15" s="255" t="s">
        <x:v>1976</x:v>
      </x:c>
      <x:c r="C15" s="255" t="str">
        <x:v>Technical</x:v>
      </x:c>
      <x:c r="D15" s="305" t="s">
        <x:v>1365</x:v>
      </x:c>
      <x:c r="E15" s="305" t="s">
        <x:v>1728</x:v>
      </x:c>
      <x:c r="F15" s="256" t="n">
        <x:f>IF(OR(D15="",E15=""),"",IF(D15="High",3,IF(D15="Medium",2,1))*IF(E15="High",3,IF(E15="Medium",2,1)))</x:f>
        <x:v>6</x:v>
      </x:c>
      <x:c r="G15" s="255" t="s">
        <x:v>1977</x:v>
      </x:c>
      <x:c r="H15" s="255" t="s">
        <x:v>1978</x:v>
      </x:c>
      <x:c r="I15" s="255" t="s">
        <x:v>1516</x:v>
      </x:c>
      <x:c r="J15" s="284">
        <x:v>46316</x:v>
      </x:c>
      <x:c r="K15" s="252" t="s">
        <x:v>1729</x:v>
      </x:c>
      <x:c r="L15" s="255" t="s">
        <x:v>1979</x:v>
      </x:c>
      <x:c r="M15" s="261"/>
    </x:row>
    <x:row r="16">
      <x:c r="A16" s="151"/>
      <x:c r="B16" s="147"/>
      <x:c r="C16" s="147"/>
      <x:c r="D16" s="144"/>
      <x:c r="E16" s="144"/>
      <x:c r="F16" s="144"/>
      <x:c r="G16" s="147"/>
      <x:c r="H16" s="147"/>
      <x:c r="I16" s="147"/>
      <x:c r="J16" s="146"/>
      <x:c r="K16" s="138"/>
      <x:c r="L16" s="147"/>
    </x:row>
    <x:row r="17">
      <x:c r="A17" s="151"/>
      <x:c r="B17" s="137"/>
      <x:c r="C17" s="137"/>
      <x:c r="D17" s="144"/>
      <x:c r="E17" s="144"/>
      <x:c r="F17" s="144"/>
      <x:c r="G17" s="137"/>
      <x:c r="H17" s="137"/>
      <x:c r="I17" s="137"/>
      <x:c r="J17" s="136"/>
      <x:c r="K17" s="138"/>
      <x:c r="L17" s="137"/>
    </x:row>
    <x:row r="18">
      <x:c r="A18" s="151"/>
      <x:c r="B18" s="147"/>
      <x:c r="C18" s="147"/>
      <x:c r="D18" s="144"/>
      <x:c r="E18" s="144"/>
      <x:c r="F18" s="144"/>
      <x:c r="G18" s="147"/>
      <x:c r="H18" s="147"/>
      <x:c r="I18" s="147"/>
      <x:c r="J18" s="146"/>
      <x:c r="K18" s="138"/>
      <x:c r="L18" s="147"/>
    </x:row>
    <x:row r="19">
      <x:c r="A19" s="151"/>
      <x:c r="B19" s="137"/>
      <x:c r="C19" s="137"/>
      <x:c r="D19" s="144"/>
      <x:c r="E19" s="144"/>
      <x:c r="F19" s="144"/>
      <x:c r="G19" s="137"/>
      <x:c r="H19" s="137"/>
      <x:c r="I19" s="137"/>
      <x:c r="J19" s="136"/>
      <x:c r="K19" s="138"/>
      <x:c r="L19" s="137"/>
    </x:row>
  </x:sheetData>
  <x:mergeCells>
    <x:mergeCell ref="A2:L2"/>
    <x:mergeCell ref="A1:L1"/>
  </x:mergeCells>
  <x:conditionalFormatting sqref="F5:F15">
    <x:cfRule type="cellIs" dxfId="145" priority="13" operator="between">
      <x:formula>6</x:formula>
      <x:formula>9</x:formula>
    </x:cfRule>
    <x:cfRule type="cellIs" dxfId="144" priority="14" operator="between">
      <x:formula>4</x:formula>
      <x:formula>5</x:formula>
    </x:cfRule>
    <x:cfRule type="cellIs" dxfId="143" priority="15" operator="between">
      <x:formula>2</x:formula>
      <x:formula>3</x:formula>
    </x:cfRule>
    <x:cfRule type="cellIs" dxfId="142" priority="16" operator="between">
      <x:formula>1</x:formula>
      <x:formula>1</x:formula>
    </x:cfRule>
  </x:conditionalFormatting>
  <x:conditionalFormatting sqref="K5:K100">
    <x:cfRule type="cellIs" dxfId="141" priority="1" operator="equal">
      <x:formula>"Done"</x:formula>
    </x:cfRule>
    <x:cfRule type="cellIs" dxfId="140" priority="2" operator="equal">
      <x:formula>"Completed"</x:formula>
    </x:cfRule>
    <x:cfRule type="cellIs" dxfId="139" priority="3" operator="equal">
      <x:formula>"Closed"</x:formula>
    </x:cfRule>
    <x:cfRule type="cellIs" dxfId="138" priority="4" operator="equal">
      <x:formula>"Fixed"</x:formula>
    </x:cfRule>
    <x:cfRule type="cellIs" dxfId="137" priority="5" operator="equal">
      <x:formula>"Approved"</x:formula>
    </x:cfRule>
    <x:cfRule type="cellIs" dxfId="136" priority="6" operator="equal">
      <x:formula>"In Progress"</x:formula>
    </x:cfRule>
    <x:cfRule type="cellIs" dxfId="135" priority="7" operator="equal">
      <x:formula>"Open"</x:formula>
    </x:cfRule>
    <x:cfRule type="cellIs" dxfId="134" priority="8" operator="equal">
      <x:formula>"Pending"</x:formula>
    </x:cfRule>
    <x:cfRule type="cellIs" dxfId="133" priority="9" operator="equal">
      <x:formula>"Blocked"</x:formula>
    </x:cfRule>
    <x:cfRule type="cellIs" dxfId="132" priority="10" operator="equal">
      <x:formula>"Cancelled"</x:formula>
    </x:cfRule>
    <x:cfRule type="cellIs" dxfId="131" priority="11" operator="equal">
      <x:formula>"Rejected"</x:formula>
    </x:cfRule>
    <x:cfRule type="cellIs" dxfId="130" priority="12" operator="equal">
      <x:formula>"Submitted"</x:formula>
    </x:cfRule>
  </x:conditionalFormatting>
  <x:dataValidations count="4">
    <x:dataValidation type="list" allowBlank="1" sqref="D5:E100">
      <x:formula1>"High,Medium,Low"</x:formula1>
    </x:dataValidation>
    <x:dataValidation type="list" allowBlank="1" sqref="K5:K100">
      <x:formula1>"Open,Mitigated,Occurred,Closed"</x:formula1>
    </x:dataValidation>
    <x:dataValidation type="list" sqref="I5:I15">
      <x:formula1>"PhuPD,HoangNV,SonLT,HieuLT,TungVPH"</x:formula1>
    </x:dataValidation>
    <x:dataValidation type="list" sqref="C5:C100">
      <x:formula1>"Technical,Schedule,Resource,Scope,External,Quality,Other"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595959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customWidth="1"/>
    <x:col min="2" max="2" width="13" customWidth="1"/>
    <x:col min="3" max="3" width="48" customWidth="1"/>
    <x:col min="4" max="4" width="24" customWidth="1"/>
    <x:col min="5" max="5" width="43" customWidth="1"/>
    <x:col min="6" max="6" width="57" customWidth="1"/>
    <x:col min="7" max="7" width="18" customWidth="1"/>
    <x:col min="8" max="8" width="50" customWidth="1"/>
    <x:col min="9" max="9" width="12" customWidth="1"/>
    <x:col min="10" max="10" width="17" customWidth="1"/>
    <x:col min="11" max="11" width="18" customWidth="1"/>
    <x:col min="12" max="12" width="80" customWidth="1"/>
  </x:cols>
  <x:sheetData>
    <x:row r="1" ht="28.149999618530273" customHeight="1">
      <x:c r="A1" s="134" t="s">
        <x:v>1980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</x:row>
    <x:row r="2" ht="20.100000381469727" customHeight="1">
      <x:c r="A2" s="129" t="s">
        <x:v>1981</x:v>
      </x:c>
      <x:c r="B2" s="128"/>
      <x:c r="C2" s="128"/>
      <x:c r="D2" s="128"/>
      <x:c r="E2" s="128"/>
      <x:c r="F2" s="128"/>
      <x:c r="G2" s="128"/>
      <x:c r="H2" s="128"/>
      <x:c r="I2" s="128"/>
      <x:c r="J2" s="128"/>
      <x:c r="K2" s="128"/>
      <x:c r="L2" s="128"/>
    </x:row>
    <x:row r="3" ht="6" customHeight="1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  <x:c r="L3" s="154"/>
    </x:row>
    <x:row r="4" ht="35.099998474121094" customHeight="1">
      <x:c r="A4" s="317" t="s">
        <x:v>1257</x:v>
      </x:c>
      <x:c r="B4" s="317" t="s">
        <x:v>1717</x:v>
      </x:c>
      <x:c r="C4" s="317" t="s">
        <x:v>1982</x:v>
      </x:c>
      <x:c r="D4" s="317" t="s">
        <x:v>1983</x:v>
      </x:c>
      <x:c r="E4" s="317" t="s">
        <x:v>1984</x:v>
      </x:c>
      <x:c r="F4" s="317" t="s">
        <x:v>1985</x:v>
      </x:c>
      <x:c r="G4" s="317" t="s">
        <x:v>1986</x:v>
      </x:c>
      <x:c r="H4" s="317" t="s">
        <x:v>1987</x:v>
      </x:c>
      <x:c r="I4" s="317" t="s">
        <x:v>1721</x:v>
      </x:c>
      <x:c r="J4" s="317" t="s">
        <x:v>1262</x:v>
      </x:c>
      <x:c r="K4" s="317" t="s">
        <x:v>1226</x:v>
      </x:c>
      <x:c r="L4" s="317" t="s">
        <x:v>1263</x:v>
      </x:c>
    </x:row>
    <x:row r="5" ht="144.9499969482422" customHeight="1">
      <x:c r="A5" s="318" t="s">
        <x:v>1988</x:v>
      </x:c>
      <x:c r="B5" s="283">
        <x:v>46287</x:v>
      </x:c>
      <x:c r="C5" s="319" t="s">
        <x:v>1989</x:v>
      </x:c>
      <x:c r="D5" s="320" t="s">
        <x:v>1990</x:v>
      </x:c>
      <x:c r="E5" s="320" t="s">
        <x:v>1991</x:v>
      </x:c>
      <x:c r="F5" s="320" t="s">
        <x:v>1992</x:v>
      </x:c>
      <x:c r="G5" s="285">
        <x:v>1</x:v>
      </x:c>
      <x:c r="H5" s="252" t="s">
        <x:v>1993</x:v>
      </x:c>
      <x:c r="I5" s="305" t="s">
        <x:v>1728</x:v>
      </x:c>
      <x:c r="J5" s="252"/>
      <x:c r="K5" s="252" t="s">
        <x:v>1994</x:v>
      </x:c>
      <x:c r="L5" s="320" t="s">
        <x:v>1995</x:v>
      </x:c>
    </x:row>
    <x:row r="6" ht="144.9499969482422" customHeight="1">
      <x:c r="A6" s="318" t="s">
        <x:v>1996</x:v>
      </x:c>
      <x:c r="B6" s="284">
        <x:v>46296</x:v>
      </x:c>
      <x:c r="C6" s="255" t="s">
        <x:v>1997</x:v>
      </x:c>
      <x:c r="D6" s="255" t="s">
        <x:v>1998</x:v>
      </x:c>
      <x:c r="E6" s="255" t="s">
        <x:v>1999</x:v>
      </x:c>
      <x:c r="F6" s="255" t="s">
        <x:v>2000</x:v>
      </x:c>
      <x:c r="G6" s="286">
        <x:v>3</x:v>
      </x:c>
      <x:c r="H6" s="256" t="s">
        <x:v>2001</x:v>
      </x:c>
      <x:c r="I6" s="305" t="s">
        <x:v>1728</x:v>
      </x:c>
      <x:c r="J6" s="252"/>
      <x:c r="K6" s="252" t="s">
        <x:v>1994</x:v>
      </x:c>
      <x:c r="L6" s="255" t="s">
        <x:v>2002</x:v>
      </x:c>
    </x:row>
    <x:row r="7" ht="144.9499969482422" customHeight="1">
      <x:c r="A7" s="318" t="s">
        <x:v>2003</x:v>
      </x:c>
      <x:c r="B7" s="283">
        <x:v>46296</x:v>
      </x:c>
      <x:c r="C7" s="320" t="s">
        <x:v>2004</x:v>
      </x:c>
      <x:c r="D7" s="320" t="s">
        <x:v>2005</x:v>
      </x:c>
      <x:c r="E7" s="320" t="s">
        <x:v>2006</x:v>
      </x:c>
      <x:c r="F7" s="320" t="s">
        <x:v>2007</x:v>
      </x:c>
      <x:c r="G7" s="285">
        <x:v>4</x:v>
      </x:c>
      <x:c r="H7" s="252" t="s">
        <x:v>2008</x:v>
      </x:c>
      <x:c r="I7" s="305" t="s">
        <x:v>1728</x:v>
      </x:c>
      <x:c r="J7" s="252"/>
      <x:c r="K7" s="252" t="s">
        <x:v>1994</x:v>
      </x:c>
      <x:c r="L7" s="320" t="s">
        <x:v>2009</x:v>
      </x:c>
    </x:row>
    <x:row r="8" ht="144.9499969482422" customHeight="1">
      <x:c r="A8" s="318" t="s">
        <x:v>2010</x:v>
      </x:c>
      <x:c r="B8" s="284">
        <x:v>46296</x:v>
      </x:c>
      <x:c r="C8" s="255" t="s">
        <x:v>2011</x:v>
      </x:c>
      <x:c r="D8" s="255" t="s">
        <x:v>2012</x:v>
      </x:c>
      <x:c r="E8" s="255" t="s">
        <x:v>2013</x:v>
      </x:c>
      <x:c r="F8" s="255" t="s">
        <x:v>2014</x:v>
      </x:c>
      <x:c r="G8" s="286">
        <x:v>2</x:v>
      </x:c>
      <x:c r="H8" s="256" t="s">
        <x:v>2015</x:v>
      </x:c>
      <x:c r="I8" s="305" t="s">
        <x:v>1728</x:v>
      </x:c>
      <x:c r="J8" s="252"/>
      <x:c r="K8" s="252" t="s">
        <x:v>1994</x:v>
      </x:c>
      <x:c r="L8" s="255" t="s">
        <x:v>2016</x:v>
      </x:c>
    </x:row>
    <x:row r="9" ht="144.9499969482422" customHeight="1">
      <x:c r="A9" s="318" t="s">
        <x:v>2017</x:v>
      </x:c>
      <x:c r="B9" s="283">
        <x:v>46298</x:v>
      </x:c>
      <x:c r="C9" s="320" t="s">
        <x:v>2018</x:v>
      </x:c>
      <x:c r="D9" s="320" t="s">
        <x:v>2019</x:v>
      </x:c>
      <x:c r="E9" s="320" t="s">
        <x:v>2020</x:v>
      </x:c>
      <x:c r="F9" s="320" t="s">
        <x:v>2021</x:v>
      </x:c>
      <x:c r="G9" s="285">
        <x:v>2</x:v>
      </x:c>
      <x:c r="H9" s="252" t="s">
        <x:v>2022</x:v>
      </x:c>
      <x:c r="I9" s="305" t="s">
        <x:v>1728</x:v>
      </x:c>
      <x:c r="J9" s="252"/>
      <x:c r="K9" s="252" t="s">
        <x:v>1994</x:v>
      </x:c>
      <x:c r="L9" s="320" t="s">
        <x:v>2023</x:v>
      </x:c>
    </x:row>
    <x:row r="10" ht="144.9499969482422" customHeight="1">
      <x:c r="A10" s="318" t="s">
        <x:v>2024</x:v>
      </x:c>
      <x:c r="B10" s="284">
        <x:v>46302</x:v>
      </x:c>
      <x:c r="C10" s="255" t="s">
        <x:v>2025</x:v>
      </x:c>
      <x:c r="D10" s="255" t="s">
        <x:v>2026</x:v>
      </x:c>
      <x:c r="E10" s="255" t="s">
        <x:v>2027</x:v>
      </x:c>
      <x:c r="F10" s="255" t="s">
        <x:v>2028</x:v>
      </x:c>
      <x:c r="G10" s="286">
        <x:v>3</x:v>
      </x:c>
      <x:c r="H10" s="256" t="str">
        <x:v>BE merged 07/10; FE preparation started 08/10. Iteration 2 delivery planned 28/10–10/11; measured schedule delta unavailable.</x:v>
      </x:c>
      <x:c r="I10" s="305" t="s">
        <x:v>1728</x:v>
      </x:c>
      <x:c r="J10" s="252"/>
      <x:c r="K10" s="252" t="s">
        <x:v>1994</x:v>
      </x:c>
      <x:c r="L10" s="255" t="s">
        <x:v>2029</x:v>
      </x:c>
    </x:row>
    <x:row r="11" ht="144.9499969482422" customHeight="1">
      <x:c r="A11" s="318" t="s">
        <x:v>2030</x:v>
      </x:c>
      <x:c r="B11" s="283">
        <x:v>46302</x:v>
      </x:c>
      <x:c r="C11" s="320" t="s">
        <x:v>2031</x:v>
      </x:c>
      <x:c r="D11" s="320" t="s">
        <x:v>2032</x:v>
      </x:c>
      <x:c r="E11" s="320" t="s">
        <x:v>2033</x:v>
      </x:c>
      <x:c r="F11" s="320" t="s">
        <x:v>2034</x:v>
      </x:c>
      <x:c r="G11" s="285">
        <x:v>1</x:v>
      </x:c>
      <x:c r="H11" s="252" t="s">
        <x:v>2035</x:v>
      </x:c>
      <x:c r="I11" s="305" t="s">
        <x:v>1728</x:v>
      </x:c>
      <x:c r="J11" s="252"/>
      <x:c r="K11" s="252" t="str">
        <x:v>Pending</x:v>
      </x:c>
      <x:c r="L11" s="320" t="str">
        <x:v>Historical 07/10 scope revision awaiting review. Superseded by Report 1 v1.0.0 approval on 09/10 (C-010); obsolete v1.1.0 reference removed.</x:v>
      </x:c>
    </x:row>
    <x:row r="12" ht="144.9499969482422" customHeight="1">
      <x:c r="A12" s="318" t="s">
        <x:v>2036</x:v>
      </x:c>
      <x:c r="B12" s="284">
        <x:v>46302</x:v>
      </x:c>
      <x:c r="C12" s="255" t="s">
        <x:v>2037</x:v>
      </x:c>
      <x:c r="D12" s="255" t="s">
        <x:v>2038</x:v>
      </x:c>
      <x:c r="E12" s="255" t="s">
        <x:v>2039</x:v>
      </x:c>
      <x:c r="F12" s="255" t="s">
        <x:v>2040</x:v>
      </x:c>
      <x:c r="G12" s="286">
        <x:v>3</x:v>
      </x:c>
      <x:c r="H12" s="256" t="str">
        <x:v>BE merged 07/10; FE preparation started 08/10. Iteration 2 delivery planned 28/10–10/11; measured schedule delta unavailable.</x:v>
      </x:c>
      <x:c r="I12" s="305" t="s">
        <x:v>1728</x:v>
      </x:c>
      <x:c r="J12" s="252"/>
      <x:c r="K12" s="252" t="s">
        <x:v>1994</x:v>
      </x:c>
      <x:c r="L12" s="255" t="s">
        <x:v>2041</x:v>
      </x:c>
    </x:row>
    <x:row r="13" ht="110" customHeight="1">
      <x:c r="A13" s="318" t="str">
        <x:v>C-009</x:v>
      </x:c>
      <x:c r="B13" s="283" t="n">
        <x:v>46303</x:v>
      </x:c>
      <x:c r="C13" s="320" t="str">
        <x:v>Add frontend course listing and placement-test/result integration.</x:v>
      </x:c>
      <x:c r="D13" s="320" t="str">
        <x:v>HoangNV</x:v>
      </x:c>
      <x:c r="E13" s="320" t="str">
        <x:v>FE LearningApi / course and placement screens; FT-20/35, WBS-018/073</x:v>
      </x:c>
      <x:c r="F13" s="320" t="str">
        <x:v>Frontend implementation started; complete course-final-test and mixed-skill acceptance remains separate.</x:v>
      </x:c>
      <x:c r="G13" s="285" t="n">
        <x:v>0.5</x:v>
      </x:c>
      <x:c r="H13" s="252" t="str">
        <x:v>Preparatory implementation before Iteration 2 delivery.</x:v>
      </x:c>
      <x:c r="I13" s="305" t="str">
        <x:v>Medium</x:v>
      </x:c>
      <x:c r="J13" s="252"/>
      <x:c r="K13" s="252" t="str">
        <x:v>Implemented</x:v>
      </x:c>
      <x:c r="L13" s="320" t="str">
        <x:v>FE caa5726 / 59cd29d on 08/10. Incremental effort is estimated; no formal approval is implied.</x:v>
      </x:c>
    </x:row>
    <x:row r="14" ht="110" customHeight="1">
      <x:c r="A14" s="318" t="str">
        <x:v>C-010</x:v>
      </x:c>
      <x:c r="B14" s="284" t="n">
        <x:v>46304</x:v>
      </x:c>
      <x:c r="C14" s="255" t="str">
        <x:v>Approve Report 1 v1.0.0 and narrow users to IELTS Space current/waiting-list students.</x:v>
      </x:c>
      <x:c r="D14" s="255" t="str">
        <x:v>LinhNDM</x:v>
      </x:c>
      <x:c r="E14" s="255" t="str">
        <x:v>Report 1 / SRS / RTW / FDS / Test Plan; WBS-065/077</x:v>
      </x:c>
      <x:c r="F14" s="255" t="str">
        <x:v>Remove prospective-student trials, enrolment and teacher monitoring; classroom operations/live classes excluded.</x:v>
      </x:c>
      <x:c r="G14" s="286" t="n">
        <x:v>0.5</x:v>
      </x:c>
      <x:c r="H14" s="256" t="str">
        <x:v>Reconcile downstream documents before the Iteration 1 review.</x:v>
      </x:c>
      <x:c r="I14" s="305" t="str">
        <x:v>High</x:v>
      </x:c>
      <x:c r="J14" s="252" t="str">
        <x:v>LinhNDM</x:v>
      </x:c>
      <x:c r="K14" s="252" t="str">
        <x:v>Approved</x:v>
      </x:c>
      <x:c r="L14" s="255" t="str">
        <x:v>Report 1 v1.0.0 dated 09/10/2026; Reviewer LinhNDM; Status Approved. Downstream reconciliation remains I-005/I-008.</x:v>
      </x:c>
    </x:row>
    <x:row r="15" ht="20.100000381469727" customHeight="1">
      <x:c r="A15" s="152"/>
      <x:c r="B15" s="138"/>
      <x:c r="C15" s="153"/>
      <x:c r="D15" s="153"/>
      <x:c r="E15" s="153"/>
      <x:c r="F15" s="153"/>
      <x:c r="G15" s="138"/>
      <x:c r="H15" s="138"/>
      <x:c r="I15" s="144"/>
      <x:c r="J15" s="153"/>
      <x:c r="K15" s="138"/>
      <x:c r="L15" s="153"/>
    </x:row>
    <x:row r="16" ht="20.100000381469727" customHeight="1">
      <x:c r="A16" s="152"/>
      <x:c r="B16" s="136"/>
      <x:c r="C16" s="137"/>
      <x:c r="D16" s="137"/>
      <x:c r="E16" s="137"/>
      <x:c r="F16" s="137"/>
      <x:c r="G16" s="136"/>
      <x:c r="H16" s="136"/>
      <x:c r="I16" s="144"/>
      <x:c r="J16" s="137"/>
      <x:c r="K16" s="138"/>
      <x:c r="L16" s="137"/>
    </x:row>
    <x:row r="17" ht="20.100000381469727" customHeight="1">
      <x:c r="A17" s="152"/>
      <x:c r="B17" s="138"/>
      <x:c r="C17" s="153"/>
      <x:c r="D17" s="153"/>
      <x:c r="E17" s="153"/>
      <x:c r="F17" s="153"/>
      <x:c r="G17" s="138"/>
      <x:c r="H17" s="138"/>
      <x:c r="I17" s="144"/>
      <x:c r="J17" s="153"/>
      <x:c r="K17" s="138"/>
      <x:c r="L17" s="153"/>
    </x:row>
    <x:row r="18" ht="20.100000381469727" customHeight="1">
      <x:c r="A18" s="152"/>
      <x:c r="B18" s="136"/>
      <x:c r="C18" s="137"/>
      <x:c r="D18" s="137"/>
      <x:c r="E18" s="137"/>
      <x:c r="F18" s="137"/>
      <x:c r="G18" s="136"/>
      <x:c r="H18" s="136"/>
      <x:c r="I18" s="144"/>
      <x:c r="J18" s="137"/>
      <x:c r="K18" s="138"/>
      <x:c r="L18" s="137"/>
    </x:row>
    <x:row r="19" ht="20.100000381469727" customHeight="1">
      <x:c r="A19" s="152"/>
      <x:c r="B19" s="138"/>
      <x:c r="C19" s="153"/>
      <x:c r="D19" s="153"/>
      <x:c r="E19" s="153"/>
      <x:c r="F19" s="153"/>
      <x:c r="G19" s="138"/>
      <x:c r="H19" s="138"/>
      <x:c r="I19" s="144"/>
      <x:c r="J19" s="153"/>
      <x:c r="K19" s="138"/>
      <x:c r="L19" s="153"/>
    </x:row>
    <x:row r="20" ht="20.100000381469727" customHeight="1">
      <x:c r="A20" s="152"/>
      <x:c r="B20" s="136"/>
      <x:c r="C20" s="137"/>
      <x:c r="D20" s="137"/>
      <x:c r="E20" s="137"/>
      <x:c r="F20" s="137"/>
      <x:c r="G20" s="136"/>
      <x:c r="H20" s="136"/>
      <x:c r="I20" s="144"/>
      <x:c r="J20" s="137"/>
      <x:c r="K20" s="138"/>
      <x:c r="L20" s="137"/>
    </x:row>
    <x:row r="21" ht="20.100000381469727" customHeight="1">
      <x:c r="A21" s="152"/>
      <x:c r="B21" s="138"/>
      <x:c r="C21" s="153"/>
      <x:c r="D21" s="153"/>
      <x:c r="E21" s="153"/>
      <x:c r="F21" s="153"/>
      <x:c r="G21" s="138"/>
      <x:c r="H21" s="138"/>
      <x:c r="I21" s="144"/>
      <x:c r="J21" s="153"/>
      <x:c r="K21" s="138"/>
      <x:c r="L21" s="153"/>
    </x:row>
    <x:row r="22" ht="20.100000381469727" customHeight="1">
      <x:c r="A22" s="152"/>
      <x:c r="B22" s="136"/>
      <x:c r="C22" s="137"/>
      <x:c r="D22" s="137"/>
      <x:c r="E22" s="137"/>
      <x:c r="F22" s="137"/>
      <x:c r="G22" s="136"/>
      <x:c r="H22" s="136"/>
      <x:c r="I22" s="144"/>
      <x:c r="J22" s="137"/>
      <x:c r="K22" s="138"/>
      <x:c r="L22" s="137"/>
    </x:row>
    <x:row r="23" ht="20.100000381469727" customHeight="1">
      <x:c r="A23" s="152"/>
      <x:c r="B23" s="138"/>
      <x:c r="C23" s="153"/>
      <x:c r="D23" s="153"/>
      <x:c r="E23" s="153"/>
      <x:c r="F23" s="153"/>
      <x:c r="G23" s="138"/>
      <x:c r="H23" s="138"/>
      <x:c r="I23" s="144"/>
      <x:c r="J23" s="153"/>
      <x:c r="K23" s="138"/>
      <x:c r="L23" s="153"/>
    </x:row>
    <x:row r="24" ht="20.100000381469727" customHeight="1">
      <x:c r="A24" s="152"/>
      <x:c r="B24" s="136"/>
      <x:c r="C24" s="137"/>
      <x:c r="D24" s="137"/>
      <x:c r="E24" s="137"/>
      <x:c r="F24" s="137"/>
      <x:c r="G24" s="136"/>
      <x:c r="H24" s="136"/>
      <x:c r="I24" s="144"/>
      <x:c r="J24" s="137"/>
      <x:c r="K24" s="138"/>
      <x:c r="L24" s="137"/>
    </x:row>
  </x:sheetData>
  <x:mergeCells>
    <x:mergeCell ref="A2:L2"/>
    <x:mergeCell ref="A1:L1"/>
  </x:mergeCells>
  <x:conditionalFormatting sqref="I5:I200">
    <x:cfRule type="cellIs" dxfId="129" priority="1" operator="equal">
      <x:formula>"Critical"</x:formula>
    </x:cfRule>
    <x:cfRule type="cellIs" dxfId="128" priority="2" operator="equal">
      <x:formula>"High"</x:formula>
    </x:cfRule>
    <x:cfRule type="cellIs" dxfId="127" priority="3" operator="equal">
      <x:formula>"Medium"</x:formula>
    </x:cfRule>
    <x:cfRule type="cellIs" dxfId="126" priority="4" operator="equal">
      <x:formula>"Low"</x:formula>
    </x:cfRule>
  </x:conditionalFormatting>
  <x:conditionalFormatting sqref="K5:K200">
    <x:cfRule type="cellIs" dxfId="125" priority="5" operator="equal">
      <x:formula>"Done"</x:formula>
    </x:cfRule>
    <x:cfRule type="cellIs" dxfId="124" priority="6" operator="equal">
      <x:formula>"Completed"</x:formula>
    </x:cfRule>
    <x:cfRule type="cellIs" dxfId="123" priority="7" operator="equal">
      <x:formula>"Closed"</x:formula>
    </x:cfRule>
    <x:cfRule type="cellIs" dxfId="122" priority="8" operator="equal">
      <x:formula>"Fixed"</x:formula>
    </x:cfRule>
    <x:cfRule type="cellIs" dxfId="121" priority="9" operator="equal">
      <x:formula>"Approved"</x:formula>
    </x:cfRule>
    <x:cfRule type="cellIs" dxfId="120" priority="10" operator="equal">
      <x:formula>"In Progress"</x:formula>
    </x:cfRule>
    <x:cfRule type="cellIs" dxfId="119" priority="11" operator="equal">
      <x:formula>"Open"</x:formula>
    </x:cfRule>
    <x:cfRule type="cellIs" dxfId="118" priority="12" operator="equal">
      <x:formula>"Pending"</x:formula>
    </x:cfRule>
    <x:cfRule type="cellIs" dxfId="117" priority="13" operator="equal">
      <x:formula>"Blocked"</x:formula>
    </x:cfRule>
    <x:cfRule type="cellIs" dxfId="116" priority="14" operator="equal">
      <x:formula>"Cancelled"</x:formula>
    </x:cfRule>
    <x:cfRule type="cellIs" dxfId="115" priority="15" operator="equal">
      <x:formula>"Rejected"</x:formula>
    </x:cfRule>
    <x:cfRule type="cellIs" dxfId="114" priority="16" operator="equal">
      <x:formula>"Submitted"</x:formula>
    </x:cfRule>
  </x:conditionalFormatting>
  <x:dataValidations count="2">
    <x:dataValidation type="list" allowBlank="1" sqref="I5:I200">
      <x:formula1>"Critical,High,Medium,Low"</x:formula1>
    </x:dataValidation>
    <x:dataValidation type="list" sqref="K5:K200">
      <x:formula1>"Pending,Approved,Rejected,Deferred,Implemented"</x:formula1>
    </x:dataValidation>
  </x:dataValidations>
  <x:pageMargins left="0.7" right="0.7" top="0.75" bottom="0.75" header="0.3" footer="0.3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Scope</vt:lpstr>
      <vt:lpstr>WBS</vt:lpstr>
      <vt:lpstr>Q&amp;A</vt:lpstr>
      <vt:lpstr>TimeLogs</vt:lpstr>
      <vt:lpstr>Defects</vt:lpstr>
      <vt:lpstr>Issues</vt:lpstr>
      <vt:lpstr>Risks</vt:lpstr>
      <vt:lpstr>ChangeLog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Charlton Barentine</cp:lastModifiedBy>
  <dcterms:modified xsi:type="dcterms:W3CDTF">2026-10-09T08:31:10Z</dcterms:modified>
</cp:coreProperties>
</file>