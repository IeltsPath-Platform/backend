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Xjodia\Downloads\"/>
    </mc:Choice>
  </mc:AlternateContent>
  <xr:revisionPtr revIDLastSave="0" documentId="13_ncr:1_{6371546C-D044-4F74-B884-4C617E809C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Scope" sheetId="2" r:id="rId2"/>
    <sheet name="WBS" sheetId="3" r:id="rId3"/>
    <sheet name="Q&amp;A" sheetId="4" r:id="rId4"/>
    <sheet name="TimeLogs" sheetId="5" r:id="rId5"/>
    <sheet name="Defects" sheetId="6" r:id="rId6"/>
    <sheet name="Issues" sheetId="7" r:id="rId7"/>
    <sheet name="Risks" sheetId="8" r:id="rId8"/>
    <sheet name="ChangeLo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8" l="1"/>
  <c r="F14" i="8"/>
  <c r="F13" i="8"/>
  <c r="F12" i="8"/>
  <c r="F11" i="8"/>
  <c r="F10" i="8"/>
  <c r="F9" i="8"/>
  <c r="F8" i="8"/>
  <c r="F7" i="8"/>
  <c r="F6" i="8"/>
  <c r="F5" i="8"/>
  <c r="E76" i="5"/>
  <c r="D76" i="5"/>
  <c r="C76" i="5"/>
  <c r="B76" i="5"/>
  <c r="E75" i="5"/>
  <c r="D75" i="5"/>
  <c r="C75" i="5"/>
  <c r="B75" i="5"/>
  <c r="E74" i="5"/>
  <c r="D74" i="5"/>
  <c r="C74" i="5"/>
  <c r="B74" i="5"/>
  <c r="E73" i="5"/>
  <c r="D73" i="5"/>
  <c r="C73" i="5"/>
  <c r="B73" i="5"/>
  <c r="E72" i="5"/>
  <c r="D72" i="5"/>
  <c r="C72" i="5"/>
  <c r="B72" i="5"/>
  <c r="E71" i="5"/>
  <c r="D71" i="5"/>
  <c r="C71" i="5"/>
  <c r="B71" i="5"/>
  <c r="B66" i="5"/>
  <c r="B65" i="5"/>
  <c r="B64" i="5"/>
  <c r="B63" i="5"/>
  <c r="B62" i="5"/>
  <c r="B61" i="5"/>
  <c r="B60" i="5"/>
  <c r="B59" i="5"/>
  <c r="B58" i="5"/>
  <c r="G93" i="3"/>
  <c r="F93" i="3"/>
  <c r="E93" i="3"/>
  <c r="D93" i="3"/>
  <c r="C93" i="3"/>
  <c r="B93" i="3"/>
  <c r="G92" i="3"/>
  <c r="F92" i="3"/>
  <c r="E92" i="3"/>
  <c r="D92" i="3"/>
  <c r="C92" i="3"/>
  <c r="B92" i="3"/>
  <c r="G91" i="3"/>
  <c r="F91" i="3"/>
  <c r="E91" i="3"/>
  <c r="D91" i="3"/>
  <c r="C91" i="3"/>
  <c r="B91" i="3"/>
  <c r="G90" i="3"/>
  <c r="F90" i="3"/>
  <c r="E90" i="3"/>
  <c r="D90" i="3"/>
  <c r="C90" i="3"/>
  <c r="B90" i="3"/>
  <c r="F44" i="2"/>
  <c r="F43" i="2"/>
  <c r="F41" i="2"/>
  <c r="F40" i="2"/>
  <c r="F39" i="2"/>
  <c r="F38" i="2"/>
  <c r="F36" i="2"/>
  <c r="F35" i="2"/>
  <c r="F34" i="2"/>
  <c r="F33" i="2"/>
  <c r="F32" i="2"/>
  <c r="F31" i="2"/>
  <c r="F29" i="2"/>
  <c r="F28" i="2"/>
  <c r="F27" i="2"/>
  <c r="F26" i="2"/>
  <c r="F25" i="2"/>
  <c r="F24" i="2"/>
  <c r="F22" i="2"/>
  <c r="F21" i="2"/>
  <c r="F20" i="2"/>
  <c r="F19" i="2"/>
  <c r="F18" i="2"/>
  <c r="F17" i="2"/>
  <c r="F15" i="2"/>
  <c r="F14" i="2"/>
  <c r="F13" i="2"/>
  <c r="F12" i="2"/>
  <c r="F10" i="2"/>
  <c r="F9" i="2"/>
  <c r="F8" i="2"/>
  <c r="F6" i="2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F18" i="1"/>
  <c r="E18" i="1"/>
  <c r="F17" i="1"/>
  <c r="E17" i="1"/>
  <c r="F16" i="1"/>
  <c r="E16" i="1"/>
  <c r="F15" i="1"/>
  <c r="E15" i="1"/>
  <c r="F14" i="1"/>
  <c r="E14" i="1"/>
  <c r="F13" i="1"/>
  <c r="E13" i="1"/>
  <c r="E8" i="1"/>
  <c r="D8" i="1"/>
  <c r="C8" i="1"/>
  <c r="B8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<sst xmlns="http://schemas.openxmlformats.org/spreadsheetml/2006/main" count="2343" uniqueCount="1211">
  <si>
    <t>In Progress</t>
  </si>
  <si>
    <t>Not Started</t>
  </si>
  <si>
    <t>Deadline</t>
  </si>
  <si>
    <t>In Charge</t>
  </si>
  <si>
    <t>Status</t>
  </si>
  <si>
    <t>Week 1</t>
  </si>
  <si>
    <t>Week 3</t>
  </si>
  <si>
    <t>Week 5</t>
  </si>
  <si>
    <t>Week 11</t>
  </si>
  <si>
    <t>Week 13</t>
  </si>
  <si>
    <t>Week 14</t>
  </si>
  <si>
    <t>Iteration</t>
  </si>
  <si>
    <t>Done</t>
  </si>
  <si>
    <t>% Complete</t>
  </si>
  <si>
    <t>Iteration 1</t>
  </si>
  <si>
    <t>Iteration 2</t>
  </si>
  <si>
    <t>Iteration 3</t>
  </si>
  <si>
    <t>Scope — Project Deliverables &amp; Milestones</t>
  </si>
  <si>
    <t>Track all deliverables by stage  ·  Update Status and Actual Effort each week  ·  % Complete auto-calculated</t>
  </si>
  <si>
    <t>#</t>
  </si>
  <si>
    <t>Work Package / Deliverable</t>
  </si>
  <si>
    <t>Est. Effort (pds)</t>
  </si>
  <si>
    <t>Actual Effort (pds)</t>
  </si>
  <si>
    <t>Dependency</t>
  </si>
  <si>
    <t>Approved By</t>
  </si>
  <si>
    <t>Notes</t>
  </si>
  <si>
    <t xml:space="preserve">  Stage 1: Project Initiating (Week 1)</t>
  </si>
  <si>
    <t>1.1</t>
  </si>
  <si>
    <t>Report 1 — Project Introduction</t>
  </si>
  <si>
    <t>PhuPD</t>
  </si>
  <si>
    <t xml:space="preserve">  Stage 2: Project Planning &amp; Initial Requirements (Weeks 2–3)</t>
  </si>
  <si>
    <t>2.1</t>
  </si>
  <si>
    <t>Report 2 — Project Management Plan v1.0</t>
  </si>
  <si>
    <t>PhuPD, HieuLT, TungVPH</t>
  </si>
  <si>
    <t>Week 2</t>
  </si>
  <si>
    <t>1.1, 2.1</t>
  </si>
  <si>
    <t>Planning, roles, timeline, risk, communication, tracking</t>
  </si>
  <si>
    <t>2.2</t>
  </si>
  <si>
    <t>Report 3 — SRS v0.9 (Overall Requirements)</t>
  </si>
  <si>
    <t>All team</t>
  </si>
  <si>
    <t>Scope, actors, functional requirements finalized</t>
  </si>
  <si>
    <t>2.3</t>
  </si>
  <si>
    <t>Vertical Prototypes (Code Demo)</t>
  </si>
  <si>
    <t>BE + FE</t>
  </si>
  <si>
    <t>Demonstrate a small end-to-end flow to prove the stack works.</t>
  </si>
  <si>
    <t xml:space="preserve">  Stage 3: Software Design (Weeks 4–5)</t>
  </si>
  <si>
    <t>3.1</t>
  </si>
  <si>
    <t>Vertical Prototypes (POC / Proof of Concepts)</t>
  </si>
  <si>
    <t>Week 4</t>
  </si>
  <si>
    <t>Develop a Proof of Concept (POC) for technical components that involve risk or uncertainty.</t>
  </si>
  <si>
    <t>3.2</t>
  </si>
  <si>
    <t>Report 3 — SRS v1.0 (Detailed — Iteration 1)</t>
  </si>
  <si>
    <t>2.1, 3.2</t>
  </si>
  <si>
    <t>Detailed requirements for features to be implemented in Iteration 1</t>
  </si>
  <si>
    <t>3.3</t>
  </si>
  <si>
    <t>Report 4 — SDS v1.0 (High Level Design)</t>
  </si>
  <si>
    <t>2.1, 2.2</t>
  </si>
  <si>
    <t>Architecture, service/module, DB high-level, API/interface, deployment overview</t>
  </si>
  <si>
    <t>3.4</t>
  </si>
  <si>
    <t>Report 5 — Test Planning</t>
  </si>
  <si>
    <t>Test strategy, test types, environment, entry/exit criteria, responsibilities</t>
  </si>
  <si>
    <t xml:space="preserve">  Stage 4a: Implementation — Iteration 1 (Weeks 6–7)</t>
  </si>
  <si>
    <t>4.1.1</t>
  </si>
  <si>
    <t>Report 4 — SDS v1.1 (Detailed Design)</t>
  </si>
  <si>
    <t>Week 6</t>
  </si>
  <si>
    <t>4.1.2</t>
  </si>
  <si>
    <t>Code Package &amp; Unit Testing Report — Iteration 1</t>
  </si>
  <si>
    <t>4.1.3</t>
  </si>
  <si>
    <t>Report 5 — Integration Test Cases — Iteration 1</t>
  </si>
  <si>
    <t>4.1.4</t>
  </si>
  <si>
    <t>Report 5 — Integration Test Report — Iteration 1</t>
  </si>
  <si>
    <t>Week 7</t>
  </si>
  <si>
    <t>4.1.5</t>
  </si>
  <si>
    <t>Report 3 — SRS v1.1 (Detailed — Iteration 2)</t>
  </si>
  <si>
    <t>4.1.6</t>
  </si>
  <si>
    <t>Software Package Version 1</t>
  </si>
  <si>
    <t xml:space="preserve">  Stage 4b: Implementation — Iteration 2 (Weeks 8–9)</t>
  </si>
  <si>
    <t>4.2.1</t>
  </si>
  <si>
    <t>Report 4 — SDS v1.2</t>
  </si>
  <si>
    <t>Week 8</t>
  </si>
  <si>
    <t>4.2.2</t>
  </si>
  <si>
    <t>Code Package &amp; Unit Testing Report — Iteration 2</t>
  </si>
  <si>
    <t>4.2.3</t>
  </si>
  <si>
    <t>Report 5 — Integration Test Cases — Iteration 2</t>
  </si>
  <si>
    <t>4.2.4</t>
  </si>
  <si>
    <t>Report 5 — Integration Test Report — Iteration 2</t>
  </si>
  <si>
    <t>Week 9</t>
  </si>
  <si>
    <t>4.2.5</t>
  </si>
  <si>
    <t>Report 3 — SRS v1.2 (Detailed — Iteration 3)</t>
  </si>
  <si>
    <t>4.2.6</t>
  </si>
  <si>
    <t>Software Package Version 2</t>
  </si>
  <si>
    <t xml:space="preserve">  Stage 4c: Implementation — Iteration 3 (Weeks 10–11)</t>
  </si>
  <si>
    <t>4.3.1</t>
  </si>
  <si>
    <t>Report 4 — SDS v1.3</t>
  </si>
  <si>
    <t>Week 10</t>
  </si>
  <si>
    <t>4.3.2</t>
  </si>
  <si>
    <t>Code Package &amp; Unit Testing Report — Iteration 3</t>
  </si>
  <si>
    <t>4.3.3</t>
  </si>
  <si>
    <t>Report 5 — Integration Test Cases — Iteration 3</t>
  </si>
  <si>
    <t>4.3.4</t>
  </si>
  <si>
    <t>Report 5 — Integration Test Report — Iteration 3</t>
  </si>
  <si>
    <t>4.3.5</t>
  </si>
  <si>
    <t>Report 5 — System Test Cases</t>
  </si>
  <si>
    <t>4.3.6</t>
  </si>
  <si>
    <t>Software Package Version 3</t>
  </si>
  <si>
    <t xml:space="preserve">  Stage 5: Verification &amp; Validation (Weeks 12–13)</t>
  </si>
  <si>
    <t>5.1</t>
  </si>
  <si>
    <t>Report 5 — System Test Report</t>
  </si>
  <si>
    <t>Week 12</t>
  </si>
  <si>
    <t>5.2</t>
  </si>
  <si>
    <t>Report 6 — User Guides (Installation + User Manuals)</t>
  </si>
  <si>
    <t>5.3</t>
  </si>
  <si>
    <t>Acceptance Test and Support</t>
  </si>
  <si>
    <t>5.4</t>
  </si>
  <si>
    <t>Final Software Package (Docs + Source Codes)</t>
  </si>
  <si>
    <t xml:space="preserve">  Stage 6: Closing (Week 14)</t>
  </si>
  <si>
    <t>6.1</t>
  </si>
  <si>
    <t>Report 7 — Final Project Report</t>
  </si>
  <si>
    <t>6.2</t>
  </si>
  <si>
    <t>Presentation File</t>
  </si>
  <si>
    <t>Activity</t>
  </si>
  <si>
    <t>Training</t>
  </si>
  <si>
    <t>Analyzing</t>
  </si>
  <si>
    <t>Designing</t>
  </si>
  <si>
    <t>Coding</t>
  </si>
  <si>
    <t>Testing</t>
  </si>
  <si>
    <t>Reviewing</t>
  </si>
  <si>
    <t>Deploying</t>
  </si>
  <si>
    <t>Meeting</t>
  </si>
  <si>
    <t>Owner</t>
  </si>
  <si>
    <t>WBS-001 — Home</t>
  </si>
  <si>
    <t>Screen</t>
  </si>
  <si>
    <t>Public / Access</t>
  </si>
  <si>
    <t>FT-10, FT-11, FT-12</t>
  </si>
  <si>
    <t>Simple</t>
  </si>
  <si>
    <t>WBS-002 — Login</t>
  </si>
  <si>
    <t>Authentication</t>
  </si>
  <si>
    <t>FT-02, FT-03, FT-05, FT-07</t>
  </si>
  <si>
    <t>Lets a registered user sign in with email and password, so the app can return to the page the user wanted or open the learning path. Route: /login · Public page (GuestOnly)</t>
  </si>
  <si>
    <t>Medium</t>
  </si>
  <si>
    <t>WBS-003 — Register</t>
  </si>
  <si>
    <t>FT-01, FT-02</t>
  </si>
  <si>
    <t>Lets a guest create a learner account and signs the guest in straight away, so learning can start. Route: /register · Public page (GuestOnly)</t>
  </si>
  <si>
    <t>WBS-004 — Forgot Password</t>
  </si>
  <si>
    <t>FT-04</t>
  </si>
  <si>
    <t>Lets a user who forgot the password ask for a reset code, so a new password can be set. Route: /forgot-password · Public page (GuestOnly)</t>
  </si>
  <si>
    <t>WBS-005 — Reset Password</t>
  </si>
  <si>
    <t>Lets the user set a new password with the reset code, so the user can sign in again. Route: /reset-password?token=… · Public page (GuestOnly)</t>
  </si>
  <si>
    <t>WBS-006 — OAuth Callback</t>
  </si>
  <si>
    <t>FT-05</t>
  </si>
  <si>
    <t>Finishes a sign-in with the OAuth identity provider and opens the learning path. Route: /auth/oauth/callback · Public page (GuestOnly)</t>
  </si>
  <si>
    <t>WBS-007 — Overview</t>
  </si>
  <si>
    <t>Prototype</t>
  </si>
  <si>
    <t>FT-26, FT-44, FT-45 (intended)</t>
  </si>
  <si>
    <t>Gives the learner a dashboard of study time, four-skill progress, words to review, mentor feedback, courses and the study streak. Route: /overview · RequireAuth (default route when signed in)</t>
  </si>
  <si>
    <t>WBS-008 — Learning Path</t>
  </si>
  <si>
    <t>Core Learning</t>
  </si>
  <si>
    <t>FT-13, FT-20, FT-28</t>
  </si>
  <si>
    <t>WBS-009 — Topic Detail</t>
  </si>
  <si>
    <t>FT-20, FT-21, FT-27, FT-29</t>
  </si>
  <si>
    <t>Lists the ordered lessons of a topic and the final test card, so the learner can open the next lesson, go to practice or start the final test. Route: /learn/topics/:topicId · RequireAuth</t>
  </si>
  <si>
    <t>WBS-010 — Lesson Player</t>
  </si>
  <si>
    <t>FT-21, FT-22, FT-23, FT-24, FT-25</t>
  </si>
  <si>
    <t>Presents a lesson's blocks in order — text, passage, audio, exercises and essays — grades each exercise block, so the learner can pass the lesson and move on. Route: /learn/lessons/:lessonId · RequireAuth</t>
  </si>
  <si>
    <t>WBS-011 — Writing Feedback</t>
  </si>
  <si>
    <t>FT-12, FT-25</t>
  </si>
  <si>
    <t>Shows the AI grading of a Writing essay — estimated band, pass or not, criteria, corrections and the sample answer — so the learner can improve the next essay. Route: Inline panel in /learn/lessons/:lessonId (EssayBlock)</t>
  </si>
  <si>
    <t>WBS-012 — Practice Set</t>
  </si>
  <si>
    <t>FT-23, FT-24, FT-26, FT-27</t>
  </si>
  <si>
    <t>Lists the practice sets of a completed lesson and lets the learner answer one set, see every solution and start the review it creates. Route: /learn/lessons/:lessonId/practice · RequireAuth</t>
  </si>
  <si>
    <t>WBS-013 — Review List</t>
  </si>
  <si>
    <t>FT-28</t>
  </si>
  <si>
    <t>Lists the learner's reviews, oldest first, so the learner can finish the ones that block a skill. Route: /learn/reviews (proposed)</t>
  </si>
  <si>
    <t>WBS-014 — Review Session</t>
  </si>
  <si>
    <t>FT-23, FT-24, FT-26, FT-28</t>
  </si>
  <si>
    <t>Guides the learner through one review — theory with a quick check, then a set of questions — so a weak knowledge point is repaired and the skill is unblocked. Route: /learn/reviews/:reviewId · RequireAuth</t>
  </si>
  <si>
    <t>WBS-015 — Mastery</t>
  </si>
  <si>
    <t>FT-26</t>
  </si>
  <si>
    <t>Shows the learner's mastery from 0 to 1 for every knowledge point, grouped by skill and topic, so the learner can see strong and weak points. Route: /learn/mastery (proposed)</t>
  </si>
  <si>
    <t>WBS-016 — Test Attempt</t>
  </si>
  <si>
    <t>FT-24, FT-30, FT-31</t>
  </si>
  <si>
    <t>Lets the learner sit the topic final test section by section, with answers saved as they go, and submit it for grading. Route: /learn/tests/:attemptId?topic=… · RequireAuth</t>
  </si>
  <si>
    <t>WBS-017 — Test Result</t>
  </si>
  <si>
    <t>FT-14, FT-24, FT-29, FT-31, FT-33</t>
  </si>
  <si>
    <t>Shows the score of the submitted topic test, per-question correctness and — at 70% or more — the correct answers, and tells the learner whether the topic is passed. Route: /learn/tests/:attemptId/result?topic=… · RequireAuth</t>
  </si>
  <si>
    <t>WBS-018 — Mock &amp; Placement Tests</t>
  </si>
  <si>
    <t>FT-34, FT-35</t>
  </si>
  <si>
    <t>Lists the published mock tests and the one-time placement test, so the learner can estimate a starting level or practise under exam conditions. Route: /tests (proposed)</t>
  </si>
  <si>
    <t>WBS-019 — Practice Test Catalog</t>
  </si>
  <si>
    <t>— (no SRS feature; closest FT-34 Mock test)</t>
  </si>
  <si>
    <t>Lets the learner browse practice tests by skill and open one in practice or exam mode. Route: /practice-tests · RequireAuth</t>
  </si>
  <si>
    <t>WBS-020 — Practice Workspaces (Reading, Listening, Writing, Speaking)</t>
  </si>
  <si>
    <t>— (closest FT-25, FT-39, FT-42, FT-43)</t>
  </si>
  <si>
    <t>Gives a full-screen workspace for one practice test per skill, with tools for highlighting, notes, a small dictionary and flashcards. Route: /practice/test/:testId · /practice/listening/:testId · /practice/writing/:taskId · /practice/speaking/:cueId · RequireAuth</t>
  </si>
  <si>
    <t>WBS-021 — Classroom</t>
  </si>
  <si>
    <t>— (mentor classes are not in the SRS)</t>
  </si>
  <si>
    <t>Shows the learner's class, teacher and a calendar of class sessions with a link to join or open each session. Route: /classroom · RequireAuth</t>
  </si>
  <si>
    <t>WBS-022 — Classroom Lesson Workspace</t>
  </si>
  <si>
    <t>— (closest FT-36, FT-43)</t>
  </si>
  <si>
    <t>Shows one class session with its materials, a short quiz and the topic vocabulary to review. Route: /lessons/:lessonId · RequireAuth</t>
  </si>
  <si>
    <t>WBS-023 — Profile &amp; Account</t>
  </si>
  <si>
    <t>Self-study / Account</t>
  </si>
  <si>
    <t>FT-05, FT-06</t>
  </si>
  <si>
    <t>Lets a user keep account details and the learner profile up to date and manage linked sign-in providers. Route: /account/profile</t>
  </si>
  <si>
    <t>WBS-024 — Learning Goals</t>
  </si>
  <si>
    <t>FT-09, FT-35</t>
  </si>
  <si>
    <t>Lets the learner set one active goal — target band, exam date and daily study minutes — and pause, resume or close it, so progress can be tracked against a target. Route: /account/goals</t>
  </si>
  <si>
    <t>WBS-025 — Subscription &amp; Points</t>
  </si>
  <si>
    <t>FT-10, FT-11, FT-12, FT-14</t>
  </si>
  <si>
    <t>Shows the learner's subscription, examiner credits, point balance and history, and lets the learner redeem an activation key for Premium days or points. Route: /account/subscription</t>
  </si>
  <si>
    <t>WBS-026 — Activity &amp; Streak</t>
  </si>
  <si>
    <t>FT-44, FT-45</t>
  </si>
  <si>
    <t>Shows the learner's study activities and current and longest streak, so the learner can keep a daily study habit. Route: /account/activity</t>
  </si>
  <si>
    <t>WBS-027 — Notification Centre</t>
  </si>
  <si>
    <t>FT-51, FT-52, FT-53, FT-54</t>
  </si>
  <si>
    <t>Lists the learner's in-app notifications and lets the learner choose channels, reminder time and registered devices. Route: /notifications</t>
  </si>
  <si>
    <t>WBS-028 — Vocabulary</t>
  </si>
  <si>
    <t>FT-36, FT-43</t>
  </si>
  <si>
    <t>Lets the learner look up topic vocabulary, hear the pronunciation and save words to review later. Route: /vocabulary · Public page</t>
  </si>
  <si>
    <t>WBS-029 — Video Library</t>
  </si>
  <si>
    <t>FT-37, FT-38</t>
  </si>
  <si>
    <t>Lists the published learning videos with the learner's progress, so the learner can pick one to watch. Route: /library/videos</t>
  </si>
  <si>
    <t>WBS-030 — Video Player</t>
  </si>
  <si>
    <t>FT-37, FT-38, FT-39, FT-40, FT-41</t>
  </si>
  <si>
    <t>Plays a learning video with its segment transcript, remembers progress, saves segments and lets the learner practise shadowing and dictation on a segment. Route: /library/videos/:videoId</t>
  </si>
  <si>
    <t>Complex</t>
  </si>
  <si>
    <t>WBS-031 — My Notes</t>
  </si>
  <si>
    <t>FT-42</t>
  </si>
  <si>
    <t>Lets the learner write private notes, optionally linked to a knowledge point or a Reading section. Route: /library/notes</t>
  </si>
  <si>
    <t>WBS-032 — Flashcards &amp; Decks</t>
  </si>
  <si>
    <t>FT-43</t>
  </si>
  <si>
    <t>Lets the learner create flashcards, group them into decks and study a deck card by card. Route: /library/flashcards</t>
  </si>
  <si>
    <t>WBS-033 — Game Lobby</t>
  </si>
  <si>
    <t>FT-46, FT-47, FT-48</t>
  </si>
  <si>
    <t>Lets the learner start a single-player game, create or join a multiplayer room, and see past sessions. Route: /games</t>
  </si>
  <si>
    <t>WBS-034 — Single-player Game</t>
  </si>
  <si>
    <t>FT-46</t>
  </si>
  <si>
    <t>Plays a single-player vocabulary or grammar game item by item on a frozen content snapshot and shows the final score. Route: /games/sessions/:sessionId</t>
  </si>
  <si>
    <t>WBS-035 — Game Room</t>
  </si>
  <si>
    <t>FT-47</t>
  </si>
  <si>
    <t>Gathers players in a multiplayer room, lets the host start the match and plays it in real time over WebSocket, ending with a ranking. Route: /games/rooms/:roomId</t>
  </si>
  <si>
    <t>WBS-036 — Community Feed</t>
  </si>
  <si>
    <t>FT-49, FT-50</t>
  </si>
  <si>
    <t>Lists active community posts newest first and lets users write a post, react, and — for Administrators — hide posts that break the rules. Route: /community</t>
  </si>
  <si>
    <t>WBS-037 — Post Detail</t>
  </si>
  <si>
    <t>Shows one post with its comments and lets users comment, reply, edit or delete their own content, and Administrators hide or restore it. Route: /community/posts/:postId</t>
  </si>
  <si>
    <t>WBS-038 — User Management</t>
  </si>
  <si>
    <t>Staff</t>
  </si>
  <si>
    <t>FT-07, FT-08</t>
  </si>
  <si>
    <t>Lets an Administrator find accounts, create staff or learner accounts with roles, and open an account to manage it. Route: /admin/users · ADMIN home</t>
  </si>
  <si>
    <t>WBS-039 — User Detail</t>
  </si>
  <si>
    <t>FT-04, FT-05, FT-08, FT-09, FT-10, FT-12, FT-13</t>
  </si>
  <si>
    <t>Lets an Administrator change one account's details, roles and status, and review its profile, goals, linked providers and account action tokens. Route: /admin/users/:userId</t>
  </si>
  <si>
    <t>WBS-040 — Plans &amp; Key Products</t>
  </si>
  <si>
    <t>FT-10, FT-14</t>
  </si>
  <si>
    <t>Lets an Administrator define plans and the key products that activation keys grant (Premium days with examiner credits, or points). Route: /admin/access/plans</t>
  </si>
  <si>
    <t>WBS-041 — Activation Keys</t>
  </si>
  <si>
    <t>FT-11</t>
  </si>
  <si>
    <t>Lets staff generate a batch of activation keys for a key product, copy them once, and revoke keys that were lost before use. Route: /admin/access/keys · SALES_STAFF home</t>
  </si>
  <si>
    <t>WBS-042 — Points &amp; Subscriptions</t>
  </si>
  <si>
    <t>FT-10, FT-12, FT-14</t>
  </si>
  <si>
    <t>Lets an Administrator grant subscription days and examiner credits, adjust or refund a learner's points with a reason, and consume an examiner credit. Route: /admin/access/accounts</t>
  </si>
  <si>
    <t>WBS-043 — Topics &amp; Knowledge Points</t>
  </si>
  <si>
    <t>FT-15</t>
  </si>
  <si>
    <t>Lets an author maintain the topic tree of each skill and the knowledge points each topic teaches. Route: /author/topics · CONTENT_AUTHOR home</t>
  </si>
  <si>
    <t>WBS-044 — Question Bank</t>
  </si>
  <si>
    <t>FT-16</t>
  </si>
  <si>
    <t>Lets an author create versioned questions with answer, explanation, hint, purpose and knowledge points, and filter the bank by purpose and skill. Route: /author/questions</t>
  </si>
  <si>
    <t>WBS-045 — Packages</t>
  </si>
  <si>
    <t>FT-17, FT-34, FT-35</t>
  </si>
  <si>
    <t>Lets an author group questions into versioned packages — practice sets, tests and quizzes — and publish them after the system checks question ownership and purpose. Route: /author/packages</t>
  </si>
  <si>
    <t>WBS-046 — Media Assets</t>
  </si>
  <si>
    <t>FT-18, FT-24</t>
  </si>
  <si>
    <t>Lets an author register passage text, images and Listening audio as assets and link them to sections or question versions. Route: /author/assets</t>
  </si>
  <si>
    <t>WBS-047 — Lesson Builder</t>
  </si>
  <si>
    <t>FT-19</t>
  </si>
  <si>
    <t>Lets an author build a topic's ordered lessons from theory, assets, exercise blocks and essay blocks, and publish them to the learning path. Route: /author/lessons/:lessonId</t>
  </si>
  <si>
    <t>WBS-048 — Vocabulary Management</t>
  </si>
  <si>
    <t>FT-36</t>
  </si>
  <si>
    <t>Lets an author add vocabulary items and their senses to the catalog used by lessons, videos, flashcards and games. Route: /author/vocabulary</t>
  </si>
  <si>
    <t>WBS-049 — Video Management</t>
  </si>
  <si>
    <t>FT-37</t>
  </si>
  <si>
    <t>Lets an author register a YouTube learning video, split it into timed segments with transcripts and linked words, and publish it. Route: /author/videos</t>
  </si>
  <si>
    <t>WBS-050 — Grading Workspace</t>
  </si>
  <si>
    <t>FT-32, FT-52</t>
  </si>
  <si>
    <t>Lets an Examiner open a submitted attempt, enter item scores, errors and knowledge-point judgments, and finalize the result so it reaches the learner's progress. Route: /examiner/grading · EXAMINER home</t>
  </si>
  <si>
    <t>WBS-051 — Backend build foundation</t>
  </si>
  <si>
    <t>Non-UI</t>
  </si>
  <si>
    <t>Infrastructure</t>
  </si>
  <si>
    <t>Maven multi-module, Java service folders and repeatable build baseline.</t>
  </si>
  <si>
    <t>WBS-052 — Config Server and Eureka</t>
  </si>
  <si>
    <t>Centralized configuration and service registration/discovery.</t>
  </si>
  <si>
    <t>WBS-053 — Gateway security and routing</t>
  </si>
  <si>
    <t>Security</t>
  </si>
  <si>
    <t>Route public APIs; verify external JWT; sign internal JWT; enforce roles/ownership and prevent internal-route exposure.</t>
  </si>
  <si>
    <t>WBS-054 — Docker and database baseline</t>
  </si>
  <si>
    <t>Local Docker Compose, service PostgreSQL schemas and Flyway migration foundation.</t>
  </si>
  <si>
    <t>WBS-055 — Frontend build and UI foundation</t>
  </si>
  <si>
    <t>Frontend Foundation</t>
  </si>
  <si>
    <t>React/TypeScript/Vite, Tailwind/shadcn setup, theme, aliases and lint/typecheck/build.</t>
  </si>
  <si>
    <t>WBS-056 — Session and shared request handling</t>
  </si>
  <si>
    <t>Memory-only access token, cookie refresh, single-flight retry, protected routes, timeout and shared error states.</t>
  </si>
  <si>
    <t>WBS-057 — Mastery and submission integrity</t>
  </si>
  <si>
    <t>Persist evidence and mastery, apply per-skill gates, enforce request replay and Writing point-charge consistency.</t>
  </si>
  <si>
    <t>WBS-058 — JOB-01 Assessment outbox relay</t>
  </si>
  <si>
    <t>Background Jobs</t>
  </si>
  <si>
    <t>Publishes the AssessmentCompleted.v2 events that grading writes to the outbox table, so a result reaches the learning service only after its database transaction has committed. Trigger: @Scheduled fixed delay 2 s (assessment.outbox.relay.poll-interval = PT2S); enabled by ASSESSMENT_OUTBOX_RELAY_ENABLED (default true)</t>
  </si>
  <si>
    <t>WBS-059 — JOB-02 AssessmentCompleted.v2 consumer</t>
  </si>
  <si>
    <t>Applies each final assessment result to the learner's progress: knowledge-point evidence, topic test assignment, topic pass and reviews for weak knowledge points. Trigger: @RabbitListener on queue learning.assessment-completed.v2 (manual ack); learning.messaging.consumer-enabled (default true)</t>
  </si>
  <si>
    <t>WBS-060 — JOB-03 AI grading worker</t>
  </si>
  <si>
    <t>WBS-061 — JOB-04 Grading-done alert dispatcher</t>
  </si>
  <si>
    <t>Creates one grading-done notification when an examiner finalizes a result and hands it to the delivery channels the learner enabled. Trigger: RabbitMQ: own queue bound to assessment.events / assessment.completed.v2 [TBC: queue name]</t>
  </si>
  <si>
    <t>WBS-062 — JOB-05 Study reminder scheduler</t>
  </si>
  <si>
    <t>Creates at most one study reminder per learner per day, at the learner's preferred local time, on days without a qualifying study activity. Trigger: @Scheduled every [TBC] minutes; ShedLock or SKIP LOCKED to run on one instance [TBC]</t>
  </si>
  <si>
    <t>WBS-063 — JOB-06 Notification delivery retry</t>
  </si>
  <si>
    <t>Sends pending notification deliveries to Firebase Cloud Messaging or the Email Service and retries failed ones without creating a second notification. Trigger: @Scheduled every [TBC] s</t>
  </si>
  <si>
    <t>WBS-064 — JOB-07 Matchmaking queue sweeper</t>
  </si>
  <si>
    <t>Groups waiting learners of the same game type into a room and starts the match, and removes learners who waited too long. Trigger: @Scheduled every [TBC] s</t>
  </si>
  <si>
    <t>Q-001</t>
  </si>
  <si>
    <t>What does Phase 1 cover, and how does it relate to WBS Iteration 1?</t>
  </si>
  <si>
    <t>High</t>
  </si>
  <si>
    <t>Open</t>
  </si>
  <si>
    <t>Q-002</t>
  </si>
  <si>
    <t>Who are the Phase 1 users and what problem does IELTSPath address?</t>
  </si>
  <si>
    <t>New visitors try the centre teaching before enrolment. Current and waiting-list learners practise between classes and see their own progress.</t>
  </si>
  <si>
    <t>Answered</t>
  </si>
  <si>
    <t>Q-003</t>
  </si>
  <si>
    <t>Which implementation is the current learning backend?</t>
  </si>
  <si>
    <t>Java learning-service owns lesson progress, mastery, review, practice and assessment-result consumption. The former Python AI Learning flow is superseded.</t>
  </si>
  <si>
    <t>Q-004</t>
  </si>
  <si>
    <t>What authentication and authorization contract must FE follow?</t>
  </si>
  <si>
    <t>Use Gateway APIs, Bearer access token and the existing refresh flow. Gateway validates external JWT and signs an internal JWT. Protected services enforce role and ownership.</t>
  </si>
  <si>
    <t>Q-005</t>
  </si>
  <si>
    <t>When does a learner unlock a topic test?</t>
  </si>
  <si>
    <t>Q-006</t>
  </si>
  <si>
    <t>Are live Writing AI grading and points already fully accepted?</t>
  </si>
  <si>
    <t>Lesson essay integration exists: at least 3 points, 3-point charge, request replay and &gt;=60-second FE timeout. Live LLM quality and complete paid retry behaviour need separate acceptance evidence.</t>
  </si>
  <si>
    <t>Q-007</t>
  </si>
  <si>
    <t>Is Listening playback ready for the Phase 1 demo?</t>
  </si>
  <si>
    <t>AudioBlock is integrated. Provide valid media and test playback. Transcript must appear only when the backend exposes it after the permitted submission.</t>
  </si>
  <si>
    <t>Q-008</t>
  </si>
  <si>
    <t>Does premium activation require online payment?</t>
  </si>
  <si>
    <t>No. Sales distribute activation cards outside the system. The system records activations and grants access or points; payment, invoicing and revenue reporting are excluded.</t>
  </si>
  <si>
    <t>Q-009</t>
  </si>
  <si>
    <t>Is a premium badge sufficient access protection?</t>
  </si>
  <si>
    <t>No. Current MVP has UI flags but no learning subscription enforcement. Decide whether Phase 1 is free-only or must add server-side entitlement before a paid release.</t>
  </si>
  <si>
    <t>Q-010</t>
  </si>
  <si>
    <t>Can the 05/10 E2E report be described as full browser acceptance?</t>
  </si>
  <si>
    <t>No. Fresh registration, test submit and result were exercised in browser. Lessons and Practice used API assistance; review was N/A. Full unassisted UI acceptance is still needed.</t>
  </si>
  <si>
    <t>Q-011</t>
  </si>
  <si>
    <t>Are band courses and placement recommendation available across BE and FE?</t>
  </si>
  <si>
    <t>Backend course work merged on 07/10. FE currently loads topics and has no course methods in LearningApi. Live course smoke and phase inclusion remain open.</t>
  </si>
  <si>
    <t>Q-012</t>
  </si>
  <si>
    <t>Are mixed-skill lessons and free assessment AI essays completed?</t>
  </si>
  <si>
    <t>Q-013</t>
  </si>
  <si>
    <t>Should Speaking, full mock tests, mobile, games and community count as Phase 1 accepted features?</t>
  </si>
  <si>
    <t>They are product features in Vision &amp; Scope, but outside the priority test v1 boundary or lack full flow evidence. Confirm future delivery allocation; do not mark accepted from code presence alone.</t>
  </si>
  <si>
    <t>Q-014</t>
  </si>
  <si>
    <t>What are the official reporters, hours, dates and approvals for timesheets?</t>
  </si>
  <si>
    <t>Q-015</t>
  </si>
  <si>
    <t>Have the updated SRS, TDS and test plan been formally approved?</t>
  </si>
  <si>
    <t>TL-001</t>
  </si>
  <si>
    <t>WBS-055</t>
  </si>
  <si>
    <t>Initialize React / TypeScript / Vite and application folders</t>
  </si>
  <si>
    <t>Newly-Created</t>
  </si>
  <si>
    <t>Frontend scaffold</t>
  </si>
  <si>
    <t>Pending</t>
  </si>
  <si>
    <t>TL-002</t>
  </si>
  <si>
    <t>Configure Tailwind, shadcn setup, theme and import aliases</t>
  </si>
  <si>
    <t>FE styling foundation</t>
  </si>
  <si>
    <t>TL-003</t>
  </si>
  <si>
    <t>Configure Node/npm constraints, dependencies, lint/typecheck/build</t>
  </si>
  <si>
    <t>FE tooling baseline</t>
  </si>
  <si>
    <t>TL-004</t>
  </si>
  <si>
    <t>WBS-051</t>
  </si>
  <si>
    <t>Initialize Maven multi-module build and service structure</t>
  </si>
  <si>
    <t>Backend scaffold</t>
  </si>
  <si>
    <t>TL-005</t>
  </si>
  <si>
    <t>WBS-052</t>
  </si>
  <si>
    <t>Set up Config Server, configuration repository and Eureka</t>
  </si>
  <si>
    <t>Service infrastructure</t>
  </si>
  <si>
    <t>TL-006</t>
  </si>
  <si>
    <t>WBS-053</t>
  </si>
  <si>
    <t>Implement Gateway routing, external/internal JWT and service security</t>
  </si>
  <si>
    <t>Ingress and security baseline</t>
  </si>
  <si>
    <t>TL-007</t>
  </si>
  <si>
    <t>WBS-054</t>
  </si>
  <si>
    <t>Set up Docker Compose, PostgreSQL and container configuration</t>
  </si>
  <si>
    <t>Local infrastructure setup</t>
  </si>
  <si>
    <t>TL-008</t>
  </si>
  <si>
    <t>Add user unit tests and HttpOnly-cookie authentication</t>
  </si>
  <si>
    <t>User/auth APIs and tests</t>
  </si>
  <si>
    <t>TL-009</t>
  </si>
  <si>
    <t>TL-010</t>
  </si>
  <si>
    <t>TL-011</t>
  </si>
  <si>
    <t>WBS-057</t>
  </si>
  <si>
    <t>Build the historical Python AI Learning prototype and local runtime</t>
  </si>
  <si>
    <t>Earlier learning prototype</t>
  </si>
  <si>
    <t>TL-012</t>
  </si>
  <si>
    <t>Build mock learning workspace and UI prototype</t>
  </si>
  <si>
    <t>Initial learning UI</t>
  </si>
  <si>
    <t>TL-013</t>
  </si>
  <si>
    <t>Add shared UI utilities, learning pages and interactive workspaces</t>
  </si>
  <si>
    <t>FE pages and UI components</t>
  </si>
  <si>
    <t>TL-014</t>
  </si>
  <si>
    <t>Record learning page and interactive-tool verification</t>
  </si>
  <si>
    <t>UI verification work</t>
  </si>
  <si>
    <t>TL-015</t>
  </si>
  <si>
    <t>TL-016</t>
  </si>
  <si>
    <t>Implement lesson content endpoints and learner answer-redaction guard</t>
  </si>
  <si>
    <t>Content lesson APIs / security</t>
  </si>
  <si>
    <t>TL-017</t>
  </si>
  <si>
    <t>Java learning runtime</t>
  </si>
  <si>
    <t>TL-018</t>
  </si>
  <si>
    <t>TL-019</t>
  </si>
  <si>
    <t>Seed Writing, Listening and Reading-hint learning content</t>
  </si>
  <si>
    <t>Published demo curriculum</t>
  </si>
  <si>
    <t>TL-020</t>
  </si>
  <si>
    <t>Implement lesson essay grading, Listening media contract and hint visibility</t>
  </si>
  <si>
    <t>Writing / Listening / Reading APIs</t>
  </si>
  <si>
    <t>TL-021</t>
  </si>
  <si>
    <t>Record backend MVP end-to-end acceptance evidence</t>
  </si>
  <si>
    <t>Backend E2E report</t>
  </si>
  <si>
    <t>TL-022</t>
  </si>
  <si>
    <t>Implement skill-local progress, required Practice and remediation ladder</t>
  </si>
  <si>
    <t>Practice / review rules</t>
  </si>
  <si>
    <t>TL-023</t>
  </si>
  <si>
    <t>Connect frontend main flow to backend and correct submission behaviour</t>
  </si>
  <si>
    <t>HTTP auth and learning flow</t>
  </si>
  <si>
    <t>TL-024</t>
  </si>
  <si>
    <t>Build home access-plan views/navigation and merge real authentication</t>
  </si>
  <si>
    <t>Home/auth integration</t>
  </si>
  <si>
    <t>TL-025</t>
  </si>
  <si>
    <t>Implement forgot/reset pages and align password length/confirmation</t>
  </si>
  <si>
    <t>Password recovery UI</t>
  </si>
  <si>
    <t>TL-026</t>
  </si>
  <si>
    <t>Fix assessment question snapshot parsing and integrate Practice/review UI</t>
  </si>
  <si>
    <t>Test runner / Practice / Review UI</t>
  </si>
  <si>
    <t>TL-027</t>
  </si>
  <si>
    <t>Document browser core-flow checks and API-assisted fresh-user E2E</t>
  </si>
  <si>
    <t>FE E2E reports</t>
  </si>
  <si>
    <t>TL-028</t>
  </si>
  <si>
    <t>Complete requirements/data/NFR sections and record scope/BA review</t>
  </si>
  <si>
    <t>Requirements and review reports</t>
  </si>
  <si>
    <t>TL-029</t>
  </si>
  <si>
    <t>Implement band courses, placement recommendations and course tests</t>
  </si>
  <si>
    <t>Backend course extension</t>
  </si>
  <si>
    <t>TL-030</t>
  </si>
  <si>
    <t>Stabilize course-test timestamp fixture and add course demo content</t>
  </si>
  <si>
    <t>Course test fix / demo seeds</t>
  </si>
  <si>
    <t>D-001</t>
  </si>
  <si>
    <t>Topic lesson mapper omitted practiceStatus</t>
  </si>
  <si>
    <t>Complete lessons while Practice is REQUIRED; open topic.</t>
  </si>
  <si>
    <t>Show remaining Practice gate and a clear next action.</t>
  </si>
  <si>
    <t>Gate state was dropped from mapped lessons.</t>
  </si>
  <si>
    <t>Frontend</t>
  </si>
  <si>
    <t>Topic mapper and final-test checklist</t>
  </si>
  <si>
    <t>Fixed</t>
  </si>
  <si>
    <t>D-002</t>
  </si>
  <si>
    <t>PRACTICE_REQUIRED error lacked actionable handling</t>
  </si>
  <si>
    <t>Try to assign a test while Practice is required.</t>
  </si>
  <si>
    <t>Explain remaining Practice, show lesson links, reload state.</t>
  </si>
  <si>
    <t>Generic locked message did not explain Practice requirement.</t>
  </si>
  <si>
    <t>Assignment error handling</t>
  </si>
  <si>
    <t>D-003</t>
  </si>
  <si>
    <t>Pending reviews were not hydrated in topic view</t>
  </si>
  <si>
    <t>Open a topic with pending review.</t>
  </si>
  <si>
    <t>Load reviews, display review checklist, hide locked test CTA.</t>
  </si>
  <si>
    <t>Learner could not see why the final test was locked.</t>
  </si>
  <si>
    <t>Topic ReviewGate / GET reviews</t>
  </si>
  <si>
    <t>D-004</t>
  </si>
  <si>
    <t>Primary CTA click reliability requires fresh retest</t>
  </si>
  <si>
    <t>Use accessibility-ref click on login or test CTA.</t>
  </si>
  <si>
    <t>Accessible activation consistently reaches the button handler.</t>
  </si>
  <si>
    <t>Automation sometimes missed; Enter or JS click completed the action.</t>
  </si>
  <si>
    <t>Auth and learning primary CTA</t>
  </si>
  <si>
    <t>D-005</t>
  </si>
  <si>
    <t>Assessment result accessibility snapshot omitted visible score details</t>
  </si>
  <si>
    <t>Inspect result page accessibility tree after submit.</t>
  </si>
  <si>
    <t>Score percent and correct-answer count are perceivable by assistive technology.</t>
  </si>
  <si>
    <t>Interactive snapshot lacked percent/count despite visible UI text.</t>
  </si>
  <si>
    <t>Result summary accessibility</t>
  </si>
  <si>
    <t>D-006</t>
  </si>
  <si>
    <t>Populate Q&amp;A, Defects and Issues statuses; inspect Dashboard formulas.</t>
  </si>
  <si>
    <t>Tracking workbook</t>
  </si>
  <si>
    <t>Dashboard D8, G5/C8 and F5/B8</t>
  </si>
  <si>
    <t>D-007</t>
  </si>
  <si>
    <t>Compare WBS headers with Dashboard iteration COUNTIF/SUMIF formulas.</t>
  </si>
  <si>
    <t>D-008</t>
  </si>
  <si>
    <t>Compare Scope headers and formulas with Dashboard deliverable counts.</t>
  </si>
  <si>
    <t>Count statuses in Scope G and treat effort usage separately from completion.</t>
  </si>
  <si>
    <t>Scope F and Dashboard B5:E5</t>
  </si>
  <si>
    <t>I-001</t>
  </si>
  <si>
    <t>Phase 1 boundary is not explicitly baselined against WBS.</t>
  </si>
  <si>
    <t>Scope</t>
  </si>
  <si>
    <t>Acceptance and phase reporting may use different feature populations.</t>
  </si>
  <si>
    <t>I-002</t>
  </si>
  <si>
    <t>Actual member hours and approved timesheets were not supplied.</t>
  </si>
  <si>
    <t>Process</t>
  </si>
  <si>
    <t>Approved actual effort and productivity cannot be calculated.</t>
  </si>
  <si>
    <t>I-003</t>
  </si>
  <si>
    <t>Full fresh-user browser Practice/review/pass-to-next-topic flow lacks evidence.</t>
  </si>
  <si>
    <t>Technical</t>
  </si>
  <si>
    <t>Core MVP acceptance has an unverified UI segment.</t>
  </si>
  <si>
    <t>Run without API gate clearance: lesson, first Practice submit, failed Practice review, pass test, next topic. Capture artifacts.</t>
  </si>
  <si>
    <t>I-004</t>
  </si>
  <si>
    <t>Live Writing feedback quality and Listening media acceptance are unverified.</t>
  </si>
  <si>
    <t>Writing quality and audio demo readiness cannot be concluded from UI/API wiring.</t>
  </si>
  <si>
    <t>Review real essays against rubric and play configured audio; verify timeout, points retry and transcript visibility.</t>
  </si>
  <si>
    <t>I-005</t>
  </si>
  <si>
    <t>I-006</t>
  </si>
  <si>
    <t>Premium enforcement is absent in the current learning MVP.</t>
  </si>
  <si>
    <t>Paid content cannot be accepted as protected solely by FE labels.</t>
  </si>
  <si>
    <t>Confirm free-only demo scope or implement entitlement checks as an approved follow-up before paid release.</t>
  </si>
  <si>
    <t>I-007</t>
  </si>
  <si>
    <t>End-to-end course recommendation and course-test completion remain incomplete.</t>
  </si>
  <si>
    <t>I-008</t>
  </si>
  <si>
    <t>SRS/TDS metadata and formal approval records remain incomplete.</t>
  </si>
  <si>
    <t>Cannot substantiate a formally approved requirement/design baseline.</t>
  </si>
  <si>
    <t>Fill authors, reviewers, dates and approval references; reconcile Report 1, SRS and implementation.</t>
  </si>
  <si>
    <t>I-009</t>
  </si>
  <si>
    <t>Reset UI wiring exists but email delivery and OAuth acceptance are not evidenced.</t>
  </si>
  <si>
    <t>External</t>
  </si>
  <si>
    <t>Real password recovery and social login must not be reported as accepted.</t>
  </si>
  <si>
    <t>R-001</t>
  </si>
  <si>
    <t>Scope expands from the core MVP to every full-product feature before Phase 1 acceptance.</t>
  </si>
  <si>
    <t>Baseline phase requirements; keep course/multi-skill/Speaking/mobile allocation explicit.</t>
  </si>
  <si>
    <t>Replan approved changes and defer unaccepted extensions.</t>
  </si>
  <si>
    <t>R-002</t>
  </si>
  <si>
    <t>Frontend and backend gates or DTOs drift during course and lesson changes.</t>
  </si>
  <si>
    <t>Keep the validated MVP baseline until compatible changes pass.</t>
  </si>
  <si>
    <t>R-003</t>
  </si>
  <si>
    <t>LLM timeout, cost or grading inconsistency disrupts Writing feedback.</t>
  </si>
  <si>
    <t>Validate rubric/corpus, timeout, quota and point idempotency; keep provider secrets server-side.</t>
  </si>
  <si>
    <t>Report grading unavailable and support safe retry without duplicate debit.</t>
  </si>
  <si>
    <t>R-004</t>
  </si>
  <si>
    <t>RabbitMQ retries or result replay produces stale or duplicate learning progress.</t>
  </si>
  <si>
    <t>Test consumer version/idempotency, ACK-after-commit, retry and DLQ with real infrastructure.</t>
  </si>
  <si>
    <t>Investigate failed events and replay through the existing idempotent consumer.</t>
  </si>
  <si>
    <t>R-005</t>
  </si>
  <si>
    <t>Protected content or answers are exposed through role, ownership or route mistakes.</t>
  </si>
  <si>
    <t>Run JWT, ownership, /internal route and answer-redaction cases through Gateway.</t>
  </si>
  <si>
    <t>Block affected flow and fix authorization before acceptance.</t>
  </si>
  <si>
    <t>R-006</t>
  </si>
  <si>
    <t>Missing media or question-pool data blocks a demo or remediation path.</t>
  </si>
  <si>
    <t>Resource</t>
  </si>
  <si>
    <t>Prepare validated audio URLs and unrevealed Practice/review packages before each cycle.</t>
  </si>
  <si>
    <t>Use another real published package or document the blocked scenario.</t>
  </si>
  <si>
    <t>R-007</t>
  </si>
  <si>
    <t>Docker or environment drift causes skipped integration tests to be reported as passes.</t>
  </si>
  <si>
    <t>Record commits/config and Docker readiness; separate Passed, Skipped and Not Run.</t>
  </si>
  <si>
    <t>Restore documented environment and rerun required integration tests.</t>
  </si>
  <si>
    <t>R-008</t>
  </si>
  <si>
    <t>Insufficient browser coverage allows blocked controls or inaccessible feedback to escape.</t>
  </si>
  <si>
    <t>Quality</t>
  </si>
  <si>
    <t>Run fresh-user UI, keyboard, viewport and screen-reader checks on core screens.</t>
  </si>
  <si>
    <t>Prioritize blocking usability fixes and rerun the affected flow.</t>
  </si>
  <si>
    <t>R-009</t>
  </si>
  <si>
    <t>A key team member becomes unavailable before Phase 1 review.</t>
  </si>
  <si>
    <t>Low</t>
  </si>
  <si>
    <t>Document service contracts and share setup knowledge across the team.</t>
  </si>
  <si>
    <t>PM reassigns remaining work and negotiates review schedule.</t>
  </si>
  <si>
    <t>R-010</t>
  </si>
  <si>
    <t>Performance and operational targets are assumed from functional smoke results.</t>
  </si>
  <si>
    <t>Agree test workload and measure non-LLM latency separately from provider latency.</t>
  </si>
  <si>
    <t>Record unmet targets and obtain a scoped acceptance decision.</t>
  </si>
  <si>
    <t>R-011</t>
  </si>
  <si>
    <t>A paid release uses UI premium flags without server entitlement enforcement.</t>
  </si>
  <si>
    <t>Resolve I-006 before accepting paid premium access.</t>
  </si>
  <si>
    <t>Limit Phase 1 demo to explicitly free content.</t>
  </si>
  <si>
    <t>C-001</t>
  </si>
  <si>
    <t>Change auth transport to support HttpOnly cookies while retaining request-body refresh compatibility.</t>
  </si>
  <si>
    <t>Not recorded</t>
  </si>
  <si>
    <t>Changes login/refresh/logout token delivery. Baseline setup itself stays in TimeLogs.</t>
  </si>
  <si>
    <t>Implemented in Git; no substantiated schedule change.</t>
  </si>
  <si>
    <t>Implemented</t>
  </si>
  <si>
    <t>C-002</t>
  </si>
  <si>
    <t>Change service ownership: separate Library from Content, move activity/streak to User and retire Learning Support.</t>
  </si>
  <si>
    <t>Repository architecture plan; requester unconfirmed</t>
  </si>
  <si>
    <t>Redistributes existing capabilities across bounded contexts.</t>
  </si>
  <si>
    <t>Migration and routing work required; no approved time delta supplied.</t>
  </si>
  <si>
    <t>C-003</t>
  </si>
  <si>
    <t>Replace Python AI Learning runtime with Java Learning Service.</t>
  </si>
  <si>
    <t>Runtime-replacement plan; requester unconfirmed</t>
  </si>
  <si>
    <t>Retires the historical Python runtime and ports the core learning flow to Java.</t>
  </si>
  <si>
    <t>Historical prototype work remains in TimeLogs; no reliable schedule delta.</t>
  </si>
  <si>
    <t>C-004</t>
  </si>
  <si>
    <t>Extend lesson contract with ESSAY blocks and Writing submissions with LLM grading and points.</t>
  </si>
  <si>
    <t>Writing contract/roadmap; requester unconfirmed</t>
  </si>
  <si>
    <t>Adds essay-answer semantics, Writing rubric grading, quota and point-charge/retry rules.</t>
  </si>
  <si>
    <t>Requires implementation and acceptance across services; hours/delay not inferred.</t>
  </si>
  <si>
    <t>C-005</t>
  </si>
  <si>
    <t>Change progression rules to skill-local gates, required lesson Practice and theory/remediation review without revealed-package reuse.</t>
  </si>
  <si>
    <t>Skill-tracks plan; requester unconfirmed</t>
  </si>
  <si>
    <t>Lesson completion alone no longer unlocks final tests. Reviews are scoped by skill and unrevealed evidence rules.</t>
  </si>
  <si>
    <t>BE recorded 03/10; FE followed 05/10. No measured delay asserted.</t>
  </si>
  <si>
    <t>C-006</t>
  </si>
  <si>
    <t>Add band-level courses, optional placement recommendations and a non-blocking course final test.</t>
  </si>
  <si>
    <t>Mentor/product-owner decisions recorded in course plan</t>
  </si>
  <si>
    <t>Courses group ordered topics by band; recommendation does not lock access. FE integration/Phase 1 allocation unconfirmed.</t>
  </si>
  <si>
    <t>C-007</t>
  </si>
  <si>
    <t>Revise Vision &amp; Scope to reflect mentor feedback and the full product feature set.</t>
  </si>
  <si>
    <t>Mentor feedback recorded in Report 1 history</t>
  </si>
  <si>
    <t>Full product scope includes future features. This document revision does not prove their implementation or Phase 1 acceptance.</t>
  </si>
  <si>
    <t>Reconcile phase baseline before approval.</t>
  </si>
  <si>
    <t>In Review</t>
  </si>
  <si>
    <t>C-008</t>
  </si>
  <si>
    <t>Multi-skill plan; formal requester/approver unconfirmed</t>
  </si>
  <si>
    <t>HoangNV</t>
  </si>
  <si>
    <t>HieuLT</t>
  </si>
  <si>
    <t>#</t>
  </si>
  <si>
    <t>In Charge</t>
  </si>
  <si>
    <t>Status</t>
  </si>
  <si>
    <t>Approved By</t>
  </si>
  <si>
    <t>Notes</t>
  </si>
  <si>
    <t>Function / Screen</t>
  </si>
  <si>
    <t>Type</t>
  </si>
  <si>
    <t>Feature Group</t>
  </si>
  <si>
    <t>Sub-Feature</t>
  </si>
  <si>
    <t>Description</t>
  </si>
  <si>
    <t>Complexity</t>
  </si>
  <si>
    <t>Est. Effort (pts)</t>
  </si>
  <si>
    <t>Planned Iteration</t>
  </si>
  <si>
    <t>Actual Effort (pts)</t>
  </si>
  <si>
    <t>Q&amp;A — IELTSPath Phase 1</t>
  </si>
  <si>
    <t>Date</t>
  </si>
  <si>
    <t>Question</t>
  </si>
  <si>
    <t>Raised By</t>
  </si>
  <si>
    <t>Directed To</t>
  </si>
  <si>
    <t>Priority</t>
  </si>
  <si>
    <t>Due Date</t>
  </si>
  <si>
    <t>Answer / Resolution</t>
  </si>
  <si>
    <t>Answered By</t>
  </si>
  <si>
    <t>Answered Date</t>
  </si>
  <si>
    <t>TimeLogs — IELTSPath Phase 1</t>
  </si>
  <si>
    <t>Reporter</t>
  </si>
  <si>
    <t>WBS Ref</t>
  </si>
  <si>
    <t>Task Description</t>
  </si>
  <si>
    <t>Activity</t>
  </si>
  <si>
    <t># Hours</t>
  </si>
  <si>
    <t>Product / Work Product</t>
  </si>
  <si>
    <t>Iteration</t>
  </si>
  <si>
    <t>Updated</t>
  </si>
  <si>
    <t>Defects — IELTSPath Phase 1</t>
  </si>
  <si>
    <t>Date Found</t>
  </si>
  <si>
    <t>Defect Description</t>
  </si>
  <si>
    <t>Steps to Reproduce</t>
  </si>
  <si>
    <t>Expected Result</t>
  </si>
  <si>
    <t>Actual Result</t>
  </si>
  <si>
    <t>Severity</t>
  </si>
  <si>
    <t>Product</t>
  </si>
  <si>
    <t>Product Details</t>
  </si>
  <si>
    <t>Assigned By</t>
  </si>
  <si>
    <t>Assigned To</t>
  </si>
  <si>
    <t>Fixed Date</t>
  </si>
  <si>
    <t>Fixed In Version</t>
  </si>
  <si>
    <t>Issues — IELTSPath Phase 1</t>
  </si>
  <si>
    <t>Issue Description</t>
  </si>
  <si>
    <t>Category</t>
  </si>
  <si>
    <t>Impact (Scope / Effort / Timeline)</t>
  </si>
  <si>
    <t>Owner</t>
  </si>
  <si>
    <t>Resolution</t>
  </si>
  <si>
    <t>Closed Date</t>
  </si>
  <si>
    <t>Risks — IELTSPath Phase 1</t>
  </si>
  <si>
    <t>Risk Description</t>
  </si>
  <si>
    <t>Probability</t>
  </si>
  <si>
    <t>Impact</t>
  </si>
  <si>
    <t>Risk Score (P×I)</t>
  </si>
  <si>
    <t>Mitigation Plan</t>
  </si>
  <si>
    <t>Contingency Plan</t>
  </si>
  <si>
    <t>ChangeLog — IELTSPath Phase 1</t>
  </si>
  <si>
    <t>Change Description</t>
  </si>
  <si>
    <t>Requested By</t>
  </si>
  <si>
    <t>Affects (SRS/WBS/Code)</t>
  </si>
  <si>
    <t>Impact on Scope</t>
  </si>
  <si>
    <t>Impact on Effort (pds)</t>
  </si>
  <si>
    <t>Impact on Timeline</t>
  </si>
  <si>
    <t>Auto-summary from all tracking sheets  ·  Update data in individual sheets</t>
  </si>
  <si>
    <t>Total Deliverables</t>
  </si>
  <si>
    <t>Done / Closed</t>
  </si>
  <si>
    <t>In Progress</t>
  </si>
  <si>
    <t>Not Started</t>
  </si>
  <si>
    <t>Open Issues</t>
  </si>
  <si>
    <t>Open Defects</t>
  </si>
  <si>
    <t>Unanswered Q&amp;As</t>
  </si>
  <si>
    <t>High/Critical Risks</t>
  </si>
  <si>
    <t>Scope Milestone Status</t>
  </si>
  <si>
    <t>Stage</t>
  </si>
  <si>
    <t>Key Deliverable</t>
  </si>
  <si>
    <t>Deadline</t>
  </si>
  <si>
    <t>In Charge</t>
  </si>
  <si>
    <t>Status</t>
  </si>
  <si>
    <t>Stage 1</t>
  </si>
  <si>
    <t>Report 1 (Project Introduction)</t>
  </si>
  <si>
    <t>Week 1</t>
  </si>
  <si>
    <t>Stage 2</t>
  </si>
  <si>
    <t>SRS v0.9 + Project Management Plan</t>
  </si>
  <si>
    <t>Week 3</t>
  </si>
  <si>
    <t>Stage 3</t>
  </si>
  <si>
    <t>SDS v1.0 + Test Planning</t>
  </si>
  <si>
    <t>Week 5</t>
  </si>
  <si>
    <t>Stage 4</t>
  </si>
  <si>
    <t>Implementation Iterations 1–3</t>
  </si>
  <si>
    <t>Week 11</t>
  </si>
  <si>
    <t>Stage 5</t>
  </si>
  <si>
    <t>System Test Report + User Guides + UAT</t>
  </si>
  <si>
    <t>Week 13</t>
  </si>
  <si>
    <t>Stage 6</t>
  </si>
  <si>
    <t>Final Report + Presentation</t>
  </si>
  <si>
    <t>Week 14</t>
  </si>
  <si>
    <t>WBS by Iteration</t>
  </si>
  <si>
    <t>Iteration</t>
  </si>
  <si>
    <t>Planned Functions</t>
  </si>
  <si>
    <t>Est. Effort (pts)</t>
  </si>
  <si>
    <t>Done</t>
  </si>
  <si>
    <t>% Complete</t>
  </si>
  <si>
    <t>Iteration 1</t>
  </si>
  <si>
    <t>Iteration 2</t>
  </si>
  <si>
    <t>Iteration 3</t>
  </si>
  <si>
    <t>Complexity: Simple (≤7 fields / ≤3 tx)  ·  Medium (≤15 / ≤7)  ·  Complex (&gt;15 / &gt;7)  ·  Effort: Simple=3 / Medium=5 / Complex=8 pts (default)</t>
  </si>
  <si>
    <t>Log ALL questions — technical, business, process  ·  Track from Open → Answered → Closed  ·  Never delete a row</t>
  </si>
  <si>
    <t>Log time daily  ·  Link every entry to a WBS Ref  ·  Approved by PM  ·  # Hours must be filled — leave no blank</t>
  </si>
  <si>
    <t>Submitted</t>
  </si>
  <si>
    <t>TL-031</t>
  </si>
  <si>
    <t>Log ALL defects found in any review or test  ·  Severity: Critical / High / Medium / Low  ·  Status: Pending → Open → Fixed → Closed</t>
  </si>
  <si>
    <t>Review</t>
  </si>
  <si>
    <t>Issues = problems that have already occurred  ·  Risks = problems that might occur (see Risks sheet)  ·  Category: Technical / Process / Resource / Scope / External</t>
  </si>
  <si>
    <t>Probability: High(3) / Medium(2) / Low(1)  ·  Impact: High(3) / Medium(2) / Low(1)  ·  Risk Score = P × I  ·  Score ≥ 6 = Critical; 4-5 = High; 2-3 = Medium; 1 = Low</t>
  </si>
  <si>
    <t>Log ALL changes to requirements, design, or scope  ·  No mid-sprint changes without approval  ·  Reference this log when versions of SRS/SDS increment</t>
  </si>
  <si>
    <t>Auth API / FE session contract / security configuration; WBS-056/069</t>
  </si>
  <si>
    <t>backend 2c9d37f; TimeLogs TL-014. Recorded date comes from Git/docs, not an approval date. Measured effort delta and formal approver unavailable. | Effort is a reconstructed incremental estimate (1 person-day = 8 hours), not measured delta. Formal change approval unrecorded; technical implementation is not approval.</t>
  </si>
  <si>
    <t>TDS / service boundaries / databases / Gateway routes; WBS-071</t>
  </si>
  <si>
    <t>backend 465f543, d762660, fec5d14, ab613b1; 4350505 records catalog-migration approval specifically. TimeLogs TL-029. Recorded date comes from Git/docs, not an approval date. Measured effort delta and formal approver unavailable. | Effort is a reconstructed incremental estimate (1 person-day = 8 hours), not measured delta. Formal change approval unrecorded; technical implementation is not approval.</t>
  </si>
  <si>
    <t>Architecture / deployment / learning persistence and APIs; WBS-070</t>
  </si>
  <si>
    <t>backend 746e7dc plan, d96ab9e skeleton, 23904e8 retirement docs. TimeLogs TL-022, TL-031, TL-027. Recorded date comes from Git/docs, not an approval date. Measured effort delta and formal approver unavailable. | Effort is a reconstructed incremental estimate (1 person-day = 8 hours), not measured delta. Formal change approval unrecorded; technical implementation is not approval.</t>
  </si>
  <si>
    <t>SRS / lesson contract / Content / Learning / Access; WBS-057/070</t>
  </si>
  <si>
    <t>backend 4fc7be6 contract, f2dfc72 contract approval record, d08337a implementation. TimeLogs TL-028, TL-032. Approval source applies only to that contract. Recorded date comes from Git/docs, not an approval date. Measured effort delta and formal approver unavailable. | Effort is a reconstructed incremental estimate (1 person-day = 8 hours), not measured delta. Formal change approval unrecorded; technical implementation is not approval.</t>
  </si>
  <si>
    <t>SRS / Content ownership rules / Learning gates / FE workflow; WBS-012/014/057</t>
  </si>
  <si>
    <t>backend a3447b9, 853ab82, 1a96c77, 8bb72cf, 6d9f623; frontend 6716dd9. TimeLogs TL-034, TL-036. Recorded date comes from Git/docs, not an approval date. Measured effort delta and formal approver unavailable. | Effort is a reconstructed incremental estimate (1 person-day = 8 hours), not measured delta. Formal change approval unrecorded; technical implementation is not approval.</t>
  </si>
  <si>
    <t>SRS / TDS / Content / Learning / Assessment contracts; FT-55, WBS-072/073</t>
  </si>
  <si>
    <t>BE implemented 07/10; FE follow-up proposed 08–21/10 within Iteration 2. No historical delay measured.</t>
  </si>
  <si>
    <t>backend d867758, 559bf82, a401a33, 5ea098a; merge df6c57f (#45); backend/plans/261006-2228-course-band-levels/plan.md decisions. TimeLogs TL-040, TL-041. Recorded date comes from Git/docs, not an approval date. Measured effort delta and formal approver unavailable. | Effort is a reconstructed incremental estimate (1 person-day = 8 hours), not measured delta. Formal change approval unrecorded; technical implementation is not approval.</t>
  </si>
  <si>
    <t>Report 1 / SRS traceability / phase allocation; WBS-065/077</t>
  </si>
  <si>
    <t>Report 1 v1.1.0 dated 07/10/2026; backend 36b1092 records the supporting BA/vision review. TimeLogs TL-037. Recorded date comes from Git/docs, not an approval date. Measured effort delta and formal approver unavailable. | Effort is a reconstructed incremental estimate (1 person-day = 8 hours), not measured delta. Formal change approval unrecorded; technical implementation is not approval.</t>
  </si>
  <si>
    <t>Implement mixed-skill lesson/Practice contracts and free assessment AI essay grading with human fallback.</t>
  </si>
  <si>
    <t>Content / Learning / Assessment contracts and planned SRS changes; WBS-074/075/060</t>
  </si>
  <si>
    <t>Backend change merged; FE contract alignment remains separate. Speaking excluded; Writing Practice optional, objective skills gate completion; assessment essay uses passBand and no point debit.</t>
  </si>
  <si>
    <t>BE merged 07/10; FE follow-up proposed 08–21/10 within Iteration 2. No measured slip asserted.</t>
  </si>
  <si>
    <t>BE 8d2d2bb (#47), 51468f60 and plans/261006-2309-multi-skill-lessons/plan.md verification. Supersedes V1 stale Pending. Implemented means backend scope only; FE/live-provider acceptance open. Incremental effort 3 person-days is estimated, not actual. Formal approver unrecorded.</t>
  </si>
  <si>
    <t>IELTSPath — Project Tracking Dashboard</t>
  </si>
  <si>
    <t>LinhNDM</t>
  </si>
  <si>
    <t>IELTSPath — Work Breakdown Structure</t>
  </si>
  <si>
    <t>Introduces IELTSPath, shows the FREE / Premium plans and point cards, and lets a signed-in learner redeem an activation key for Premium days or points. Route: /home · Public page (default route for guests)</t>
  </si>
  <si>
    <t>FDS §2.1; FT-10, FT-11, FT-12; UC-30, UC-26; FE: partly built; Specified (key activation not wired in the frontend: GAP-03). Role: Guest and any signed-in user.   Done means implemented screen scope, not formal UAT approval. | Initial proposed window 2026-09-29 to 2026-10-07; completion depends on WBS-055, WBS-056, WBS-068. Remaining scope carries into Iteration 2, target 21/10/2026. Owner/window/points are reconstructed planning assumptions. Actual points unknown; blank is not zero.</t>
  </si>
  <si>
    <t>FDS §2.2; FT-02, FT-03, FT-05, FT-07; UC-02, UC-03; FE: built, real API; Specified (OAuth button: Draft; role-based home: GAP-02). Role: Guest.   Done means implemented screen scope, not formal UAT approval. | Initial proposed window 2026-09-29 to 2026-10-07; completion depends on WBS-055, WBS-056, WBS-069. Remaining scope carries into Iteration 2, target 21/10/2026. Owner/window/points are reconstructed planning assumptions. Actual points unknown; blank is not zero.</t>
  </si>
  <si>
    <t>FDS §2.3; FT-01, FT-02; UC-01; FE: built, real API; Specified. Role: Guest.   Done means implemented screen scope, not formal UAT approval. | Initial proposed window 2026-10-02 to 2026-10-07; completion depends on WBS-055, WBS-056, WBS-069. Owner/window/points are reconstructed planning assumptions. Actual points unknown; blank is not zero.</t>
  </si>
  <si>
    <t>FDS §2.4; FT-04; UC-04, UC-05; FE: built, real API; Specified (email delivery: Draft, GAP-06). Role: Guest.   Done means implemented screen scope, not formal UAT approval. | Initial proposed window 2026-09-29 to 2026-10-07; completion depends on WBS-055, WBS-069. Remaining scope carries into Iteration 2, target 21/10/2026. Owner/window/points are reconstructed planning assumptions. Actual points unknown; blank is not zero.</t>
  </si>
  <si>
    <t>FDS §2.5; FT-04; UC-04; FE: built, real API; Specified (link delivery: Draft, GAP-06). Role: Guest.   Done means implemented screen scope, not formal UAT approval. | Initial proposed window 2026-09-29 to 2026-10-07; completion depends on WBS-004, WBS-069. Remaining scope carries into Iteration 2, target 21/10/2026. Owner/window/points are reconstructed planning assumptions. Actual points unknown; blank is not zero.</t>
  </si>
  <si>
    <t>FDS §2.6; FT-05; UC-03; FE: placeholder route; Draft. Role: Guest. | Initial proposed window 2026-10-29 to 2026-12-09; completion depends on WBS-069. Owner/window/points are reconstructed planning assumptions. Actual points unknown; blank is not zero.</t>
  </si>
  <si>
    <t>SonLT</t>
  </si>
  <si>
    <t>FDS §2.7; FT-26, FT-44, FT-45 (intended); UC-19, UC-18; FE: built on mock data; Draft (UI on mock data, OQ-17). Role: Any signed-in user.   Mock UI exists; product implementation is incomplete. | Initial proposed window 2026-10-08 to 2026-10-28; completion depends on WBS-057, WBS-071, WBS-076. Owner/window/points are reconstructed planning assumptions. Actual points unknown; blank is not zero.</t>
  </si>
  <si>
    <t>Display the learning path and ordered topics within a chosen course. Course chooser/recommendation and course-final-test UI are WBS-073; shared contract mappings are WBS-075. Route: /learn.</t>
  </si>
  <si>
    <t>FDS §2.8; FT-13, FT-20, FT-28; UC-08; FE: built, real API; Specified (skill grouping: GAP-01; Premium lock: Draft). Role: Signed-in learner.   Done means implemented screen scope, not formal UAT approval. | Initial proposed window 2026-09-29 to 2026-10-07; completion depends on WBS-055, WBS-056, WBS-070, WBS-072, WBS-073. Remaining scope carries into Iteration 2, target 21/10/2026. Owner/window/points are reconstructed planning assumptions. Actual points unknown; blank is not zero.</t>
  </si>
  <si>
    <t>FDS §2.9; FT-20, FT-21, FT-27, FT-29; UC-08, UC-20; FE: built, real API; Specified. Role: Signed-in learner.   Done means implemented screen scope, not formal UAT approval.  New 07/10 course/multi-skill DTO and gate changes still need FE alignment and fresh browser verification; old FDS acceptance scope is incomplete. | Initial proposed window 2026-09-29 to 2026-10-07; completion depends on WBS-008, WBS-066, WBS-070, WBS-075. Remaining scope carries into Iteration 2, target 21/10/2026. Owner/window/points are reconstructed planning assumptions. Actual points unknown; blank is not zero.</t>
  </si>
  <si>
    <t>FDS §2.10; FT-21, FT-22, FT-23, FT-24, FT-25; UC-09, UC-12, UC-13; FE: built, real API; Specified. Role: Signed-in learner.   Done means implemented screen scope, not formal UAT approval.  New 07/10 course/multi-skill DTO and gate changes still need FE alignment and fresh browser verification; old FDS acceptance scope is incomplete. | Initial proposed window 2026-09-29 to 2026-10-07; completion depends on WBS-009, WBS-066, WBS-070, WBS-074, WBS-075. Remaining scope carries into Iteration 2, target 21/10/2026. Owner/window/points are reconstructed planning assumptions. Actual points unknown; blank is not zero.</t>
  </si>
  <si>
    <t>FDS §2.11; FT-12, FT-25; UC-12, UC-13, UC-27; FE: partly built; Specified (separate page and re-reading a submission: GAP-08). Role: Signed-in learner.   Done means implemented screen scope, not formal UAT approval. | Initial proposed window 2026-09-29 to 2026-10-07; completion depends on WBS-010, WBS-057, WBS-068, WBS-075. Remaining scope carries into Iteration 2, target 21/10/2026. Owner/window/points are reconstructed planning assumptions. Actual points unknown; blank is not zero.</t>
  </si>
  <si>
    <t>FDS §2.12; FT-23, FT-24, FT-26, FT-27; UC-10; FE: built, real API; Specified (Premium sets disabled: GAP-05). Role: Signed-in learner.   Done means implemented screen scope, not formal UAT approval.  New 07/10 course/multi-skill DTO and gate changes still need FE alignment and fresh browser verification; old FDS acceptance scope is incomplete. | Initial proposed window 2026-09-29 to 2026-10-07; completion depends on WBS-010, WBS-057, WBS-074, WBS-075. Remaining scope carries into Iteration 2, target 21/10/2026. Owner/window/points are reconstructed planning assumptions. Actual points unknown; blank is not zero.</t>
  </si>
  <si>
    <t>FDS §2.13; FT-28; UC-11; FE: not built; Specified (backend); screen not built (GAP-07). Role: CUSTOMER. | Initial proposed window 2026-10-08 to 2026-10-28; completion depends on WBS-057, WBS-070. Owner/window/points are reconstructed planning assumptions. Actual points unknown; blank is not zero.</t>
  </si>
  <si>
    <t>FDS §2.14; FT-23, FT-24, FT-26, FT-28; UC-11; FE: built, real API; Specified (empty quick-check: GAP-12). Role: Signed-in learner.   Done means implemented screen scope, not formal UAT approval.  New 07/10 course/multi-skill DTO and gate changes still need FE alignment and fresh browser verification; old FDS acceptance scope is incomplete. | Initial proposed window 2026-09-29 to 2026-10-07; completion depends on WBS-012, WBS-057, WBS-074, WBS-075. Remaining scope carries into Iteration 2, target 21/10/2026. Owner/window/points are reconstructed planning assumptions. Actual points unknown; blank is not zero.</t>
  </si>
  <si>
    <t>FDS §2.15; FT-26; UC-18; FE: not built; Specified (backend); screen not built (GAP-07). Role: CUSTOMER. | Initial proposed window 2026-10-08 to 2026-10-28; completion depends on WBS-057, WBS-070. Owner/window/points are reconstructed planning assumptions. Actual points unknown; blank is not zero.</t>
  </si>
  <si>
    <t>FDS §2.16; FT-24, FT-30, FT-31; UC-20; FE: built, real API; Specified (text answers saved at submit; no timer: GAP-09). Role: Signed-in learner.   Done means implemented screen scope, not formal UAT approval.  New 07/10 course/multi-skill DTO and gate changes still need FE alignment and fresh browser verification; old FDS acceptance scope is incomplete. | Initial proposed window 2026-09-29 to 2026-10-07; completion depends on WBS-012, WBS-014, WBS-067, WBS-075. Remaining scope carries into Iteration 2, target 21/10/2026. Owner/window/points are reconstructed planning assumptions. Actual points unknown; blank is not zero.</t>
  </si>
  <si>
    <t>FDS §2.17; FT-14, FT-24, FT-29, FT-31, FT-33; UC-22, UC-16, UC-25; FE: built, real API; Specified (examiner and AI grading requests: Draft). Role: Signed-in learner.   Done means implemented screen scope, not formal UAT approval.  New 07/10 course/multi-skill DTO and gate changes still need FE alignment and fresh browser verification; old FDS acceptance scope is incomplete. | Initial proposed window 2026-09-29 to 2026-10-07; completion depends on WBS-016, WBS-058, WBS-059, WBS-075. Remaining scope carries into Iteration 2, target 21/10/2026. Owner/window/points are reconstructed planning assumptions. Actual points unknown; blank is not zero.</t>
  </si>
  <si>
    <t>FDS §2.18; FT-34, FT-35; UC-21, UC-23; FE: not built; Draft. Role: CUSTOMER. | Initial proposed window 2026-10-29 to 2026-12-09; completion depends on WBS-067, WBS-072, WBS-073. Owner/window/points are reconstructed planning assumptions. Actual points unknown; blank is not zero.</t>
  </si>
  <si>
    <t>FDS §2.19; — (no SRS feature; closest FT-34 Mock test); No UC assigned; FE: built on mock data; Prototype (mock data, OQ-17). Role: Any signed-in user.   Mock UI exists; product implementation is incomplete. | Initial proposed window 2026-10-08 to 2026-10-28; completion depends on WBS-018. Owner/window/points are reconstructed planning assumptions. Actual points unknown; blank is not zero.</t>
  </si>
  <si>
    <t>FDS §2.20; — (closest FT-25, FT-39, FT-42, FT-43); No UC assigned; FE: built on mock data; Prototype (mock data and browser storage, OQ-17). Role: Any signed-in user.   Mock UI exists; product implementation is incomplete. | Initial proposed window 2026-10-08 to 2026-10-28; completion depends on WBS-019, WBS-067. Owner/window/points are reconstructed planning assumptions. Actual points unknown; blank is not zero.</t>
  </si>
  <si>
    <t>FDS §2.21; — (mentor classes are not in the SRS); No UC assigned; FE: built on mock data; Prototype (mock data, OQ-17). Role: Any signed-in user.   Mock UI exists; product implementation is incomplete.  Prototype only; classroom scope has no committed SRS feature. Treat full integration as deferred pending scope decision. | Initial proposed window 2026-10-08 to 2026-10-28; completion depends on none. Owner/window/points are reconstructed planning assumptions. Actual points unknown; blank is not zero.</t>
  </si>
  <si>
    <t>FDS §2.22; — (closest FT-36, FT-43); No UC assigned; FE: built on mock data; Prototype (mock data, OQ-17). Role: Any signed-in user.   Mock UI exists; product implementation is incomplete.  Prototype only; classroom scope has no committed SRS feature. Treat full integration as deferred pending scope decision. | Initial proposed window 2026-10-08 to 2026-10-28; completion depends on WBS-021. Owner/window/points are reconstructed planning assumptions. Actual points unknown; blank is not zero.</t>
  </si>
  <si>
    <t>FDS §2.23; FT-05, FT-06; UC-06; FE: not built; Specified (OAuth linking: Draft). Role: Any signed-in role. | Initial proposed window 2026-10-08 to 2026-10-28; completion depends on WBS-069. Owner/window/points are reconstructed planning assumptions. Actual points unknown; blank is not zero.</t>
  </si>
  <si>
    <t>FDS §2.24; FT-09, FT-35; UC-06, UC-23; FE: not built; Specified (edit of the active goal: Draft). Role: CUSTOMER. | Initial proposed window 2026-10-08 to 2026-10-28; completion depends on WBS-069. Owner/window/points are reconstructed planning assumptions. Actual points unknown; blank is not zero.</t>
  </si>
  <si>
    <t>FDS §2.25; FT-10, FT-11, FT-12, FT-14; UC-30, UC-27, UC-26; FE: partly built; Specified. Role: CUSTOMER.   Done means implemented screen scope, not formal UAT approval. | Initial proposed window 2026-09-29 to 2026-10-07; completion depends on WBS-068, WBS-056. Remaining scope carries into Iteration 2, target 21/10/2026. Owner/window/points are reconstructed planning assumptions. Actual points unknown; blank is not zero.</t>
  </si>
  <si>
    <t>FDS §2.26; FT-44, FT-45; UC-19; FE: not built; Specified (server-side streak: Draft). Role: Any signed-in role. | Initial proposed window 2026-10-08 to 2026-10-28; completion depends on WBS-069, WBS-071. Owner/window/points are reconstructed planning assumptions. Actual points unknown; blank is not zero.</t>
  </si>
  <si>
    <t>FDS §2.27; FT-51, FT-52, FT-53, FT-54; UC-32, UC-31; FE: not built; Draft. Role: CUSTOMER. | Initial proposed window 2026-10-29 to 2026-12-09; completion depends on WBS-061, WBS-062, WBS-063. Owner/window/points are reconstructed planning assumptions. Actual points unknown; blank is not zero.</t>
  </si>
  <si>
    <t>FDS §2.28; FT-36, FT-43; UC-37, UC-33; FE: built on mock data; Specified (backend); frontend on mock data (GAP-10). Role: Guest and any signed-in user.   Mock UI exists; product implementation is incomplete. | Initial proposed window 2026-10-08 to 2026-10-28; completion depends on WBS-071. Owner/window/points are reconstructed planning assumptions. Actual points unknown; blank is not zero.</t>
  </si>
  <si>
    <t>FDS §2.29; FT-37, FT-38; UC-37; FE: not built; Specified. Role: CUSTOMER, EXAMINER, CONTENT_AUTHOR, ADMIN. | Initial proposed window 2026-10-08 to 2026-10-28; completion depends on WBS-071. Owner/window/points are reconstructed planning assumptions. Actual points unknown; blank is not zero.</t>
  </si>
  <si>
    <t>FDS §2.30; FT-37, FT-38, FT-39, FT-40, FT-41; UC-38, UC-17, UC-39, UC-14, UC-15; FE: not built; Specified (shadowing / dictation scoring: Draft). Role: CUSTOMER. | Initial proposed window 2026-10-08 to 2026-10-28; completion depends on WBS-071. Owner/window/points are reconstructed planning assumptions. Actual points unknown; blank is not zero.</t>
  </si>
  <si>
    <t>FDS §2.31; FT-42; UC-33; FE: not built; Specified. Role: Any signed-in role. | Initial proposed window 2026-10-08 to 2026-10-28; completion depends on WBS-071. Owner/window/points are reconstructed planning assumptions. Actual points unknown; blank is not zero.</t>
  </si>
  <si>
    <t>FDS §2.32; FT-43; UC-33; FE: not built; Specified. Role: Any signed-in role. | Initial proposed window 2026-10-08 to 2026-10-28; completion depends on WBS-071. Owner/window/points are reconstructed planning assumptions. Actual points unknown; blank is not zero.</t>
  </si>
  <si>
    <t>FDS §2.33; FT-46, FT-47, FT-48; UC-34; FE: not built; Specified (matchmaking: Draft). Role: Any signed-in role. | Initial proposed window 2026-10-29 to 2026-12-09; completion depends on WBS-066. Owner/window/points are reconstructed planning assumptions. Actual points unknown; blank is not zero.</t>
  </si>
  <si>
    <t>FDS §2.34; FT-46; UC-34; FE: not built; Specified. Role: Any signed-in role. | Initial proposed window 2026-10-29 to 2026-12-09; completion depends on WBS-033. Owner/window/points are reconstructed planning assumptions. Actual points unknown; blank is not zero.</t>
  </si>
  <si>
    <t>FDS §2.35; FT-47; UC-34; FE: not built; Specified. Role: Any signed-in role. | Initial proposed window 2026-10-29 to 2026-12-09; completion depends on WBS-033, WBS-064. Owner/window/points are reconstructed planning assumptions. Actual points unknown; blank is not zero.</t>
  </si>
  <si>
    <t>FDS §2.36; FT-49, FT-50; UC-35, UC-36; FE: not built; Specified. Role: Any signed-in role. | Initial proposed window 2026-10-29 to 2026-12-09; completion depends on WBS-069. Owner/window/points are reconstructed planning assumptions. Actual points unknown; blank is not zero.</t>
  </si>
  <si>
    <t>FDS §2.37; FT-49, FT-50; UC-35, UC-36; FE: not built; Specified. Role: Any signed-in role. | Initial proposed window 2026-10-29 to 2026-12-09; completion depends on WBS-036. Owner/window/points are reconstructed planning assumptions. Actual points unknown; blank is not zero.</t>
  </si>
  <si>
    <t>FDS §2.38; FT-07, FT-08; UC-07; FE: not built; Specified (paging and search: Draft). Role: ADMIN. | Initial proposed window 2026-10-29 to 2026-12-09; completion depends on WBS-053, WBS-069. Owner/window/points are reconstructed planning assumptions. Actual points unknown; blank is not zero.</t>
  </si>
  <si>
    <t>FDS §2.39; FT-04, FT-05, FT-08, FT-09, FT-10, FT-12, FT-13; UC-07; FE: not built; Specified. Role: ADMIN. | Initial proposed window 2026-10-29 to 2026-12-09; completion depends on WBS-038. Owner/window/points are reconstructed planning assumptions. Actual points unknown; blank is not zero.</t>
  </si>
  <si>
    <t>FDS §2.40; FT-10, FT-14; UC-29; FE: not built; Specified. Role: ADMIN. | Initial proposed window 2026-10-29 to 2026-12-09; completion depends on WBS-053, WBS-068. Owner/window/points are reconstructed planning assumptions. Actual points unknown; blank is not zero.</t>
  </si>
  <si>
    <t>FDS §2.41; FT-11; UC-28; FE: not built; Specified for ADMIN (SALES_STAFF access and key list: Draft). Role: ADMIN, SALES_STAFF. | Initial proposed window 2026-10-29 to 2026-12-09; completion depends on WBS-040, WBS-068. Owner/window/points are reconstructed planning assumptions. Actual points unknown; blank is not zero.</t>
  </si>
  <si>
    <t>FDS §2.42; FT-10, FT-12, FT-14; UC-29; FE: not built; Specified. Role: ADMIN. | Initial proposed window 2026-10-29 to 2026-12-09; completion depends on WBS-040, WBS-068. Owner/window/points are reconstructed planning assumptions. Actual points unknown; blank is not zero.</t>
  </si>
  <si>
    <t>FDS §2.43; FT-15; UC-40; FE: not built; Specified. Role: ADMIN, CONTENT_AUTHOR. | Initial proposed window 2026-10-29 to 2026-12-09; completion depends on WBS-053, WBS-066. Owner/window/points are reconstructed planning assumptions. Actual points unknown; blank is not zero.</t>
  </si>
  <si>
    <t>FDS §2.44; FT-16; UC-40; FE: not built; Specified. Role: ADMIN, CONTENT_AUTHOR. | Initial proposed window 2026-10-29 to 2026-12-09; completion depends on WBS-043, WBS-066. Owner/window/points are reconstructed planning assumptions. Actual points unknown; blank is not zero.</t>
  </si>
  <si>
    <t>FDS §2.45; FT-17, FT-34, FT-35; UC-40; FE: not built; Specified (TOPIC_TEST creation: Draft). Role: ADMIN, CONTENT_AUTHOR. | Initial proposed window 2026-10-29 to 2026-12-09; completion depends on WBS-044, WBS-066. Owner/window/points are reconstructed planning assumptions. Actual points unknown; blank is not zero.</t>
  </si>
  <si>
    <t>FDS §2.46; FT-18, FT-24; UC-40, UC-41; FE: not built; Specified (upload: Draft). Role: ADMIN, CONTENT_AUTHOR. | Initial proposed window 2026-10-29 to 2026-12-09; completion depends on WBS-043, WBS-066. Owner/window/points are reconstructed planning assumptions. Actual points unknown; blank is not zero.</t>
  </si>
  <si>
    <t>FDS §2.47; FT-19; UC-42; FE: not built; Draft. Role: ADMIN, CONTENT_AUTHOR. | Initial proposed window 2026-10-29 to 2026-12-09; completion depends on WBS-043, WBS-044, WBS-045, WBS-046. Owner/window/points are reconstructed planning assumptions. Actual points unknown; blank is not zero.</t>
  </si>
  <si>
    <t>FDS §2.48; FT-36; UC-40; FE: not built; Specified. Role: ADMIN, CONTENT_AUTHOR. | Initial proposed window 2026-10-29 to 2026-12-09; completion depends on WBS-067, WBS-060. Owner/window/points are reconstructed planning assumptions. Actual points unknown; blank is not zero.</t>
  </si>
  <si>
    <t>FDS §2.49; FT-37; UC-40; FE: not built; Specified. Role: ADMIN, CONTENT_AUTHOR. | Initial proposed window 2026-10-29 to 2026-12-09; completion depends on WBS-048. Owner/window/points are reconstructed planning assumptions. Actual points unknown; blank is not zero.</t>
  </si>
  <si>
    <t>FDS §2.50; FT-32, FT-52; UC-24; FE: not built; Specified (work queue and response view: Draft). Role: ADMIN, EXAMINER. | Initial proposed window 2026-10-29 to 2026-12-09; completion depends on WBS-053, WBS-067. Owner/window/points are reconstructed planning assumptions. Actual points unknown; blank is not zero.</t>
  </si>
  <si>
    <t>TDS infrastructure / common FDS conventions</t>
  </si>
  <si>
    <t>Git backend 218e071. Foundation supporting FDS §2.0; implementation evidence, not UAT. | Initial proposed window 2026-09-14 to 2026-09-18; completion depends on none. Owner/window/points are reconstructed planning assumptions. Actual points unknown; blank is not zero.</t>
  </si>
  <si>
    <t>TungVPH</t>
  </si>
  <si>
    <t>Git backend 218e071, dac8b03; backend/README.md. | Initial proposed window 2026-09-14 to 2026-09-18; completion depends on WBS-051. Owner/window/points are reconstructed planning assumptions. Actual points unknown; blank is not zero.</t>
  </si>
  <si>
    <t>FDS §2.0; FT-07; Git backend 218e071, a18a44e, 34335aa. | Initial proposed window 2026-09-14 to 2026-09-18; completion depends on WBS-051, WBS-052. Owner/window/points are reconstructed planning assumptions. Actual points unknown; blank is not zero.</t>
  </si>
  <si>
    <t>Git backend 218e071, dac8b03. Runtime reliability still requires test evidence. | Initial proposed window 2026-09-14 to 2026-09-18; completion depends on WBS-051. Owner/window/points are reconstructed planning assumptions. Actual points unknown; blank is not zero.</t>
  </si>
  <si>
    <t>Git frontend 241abca, 8581a72, 015701d. Baseline work supporting all FDS screens. | Initial proposed window 2026-09-14 to 2026-09-18; completion depends on none. Owner/window/points are reconstructed planning assumptions. Actual points unknown; blank is not zero.</t>
  </si>
  <si>
    <t>FDS §2.0 common conventions; FT-03, FT-07; frontend/src/lib/httpClient.ts. Role-based staff routing remains future work. | Initial proposed window 2026-09-14 to 2026-10-07; completion depends on WBS-053, WBS-055, WBS-069. Owner/window/points are reconstructed planning assumptions. Actual points unknown; blank is not zero.</t>
  </si>
  <si>
    <t>FDS §2.10–2.17; FT-26–FT-28; BR-21–BR-25, BR-30. Implementation exists; full live/UI and points acceptance remains open. | Initial proposed window 2026-09-14 to 2026-10-07; completion depends on WBS-066, WBS-067, WBS-068, WBS-070. Remaining scope carries into Iteration 2, target 21/10/2026. Owner/window/points are reconstructed planning assumptions. Actual points unknown; blank is not zero.</t>
  </si>
  <si>
    <t>FT-29, FT-31, FT-32</t>
  </si>
  <si>
    <t>FDS Part 3 JOB-01; FT-29, FT-31, FT-32 · BR-25, BR-26, BR-30; Specified (implemented). Implemented runtime, separate operational acceptance required. | Initial proposed window 2026-09-29 to 2026-10-07; completion depends on WBS-067. Owner/window/points are reconstructed planning assumptions. Actual points unknown; blank is not zero.</t>
  </si>
  <si>
    <t>FT-26, FT-29, FT-34, FT-35</t>
  </si>
  <si>
    <t>FDS Part 3 JOB-02; FT-26, FT-29, FT-34, FT-35 · BR-22, BR-23, BR-25; Specified (implemented). Implemented runtime, separate operational acceptance required. | Initial proposed window 2026-09-29 to 2026-10-07; completion depends on WBS-058, WBS-070. Owner/window/points are reconstructed planning assumptions. Actual points unknown; blank is not zero.</t>
  </si>
  <si>
    <t>FT-33, FT-34, FT-39</t>
  </si>
  <si>
    <t>Assessment AI essay grading worker for TOPIC_GATE / COURSE_GATE with examiner fallback; Speaking and MOCK AI remain future scope.</t>
  </si>
  <si>
    <t>BE multi-skill merge 8d2d2bb (07/10); plan 261006-2309 phase 6 records Docker-backed tests. AI gate essays implemented; Speaking excluded and live-provider acceptance remains open. | Initial proposed window 2026-09-29 to 2026-10-07; completion depends on WBS-067, WBS-074. Owner/window/points are reconstructed planning assumptions. Actual points unknown; blank is not zero.</t>
  </si>
  <si>
    <t>FT-51, FT-52</t>
  </si>
  <si>
    <t>FDS Part 3 JOB-04; FT-51, FT-52 · BR-27, BR-32; Draft. Draft/future iteration proposal, not Phase 1 delivered scope. | Initial proposed window 2026-10-29 to 2026-12-09; completion depends on WBS-058. Owner/window/points are reconstructed planning assumptions. Actual points unknown; blank is not zero.</t>
  </si>
  <si>
    <t>FT-44, FT-51, FT-53</t>
  </si>
  <si>
    <t>FDS Part 3 JOB-05; FT-44, FT-51, FT-53 · BR-32; Draft. Draft/future iteration proposal, not Phase 1 delivered scope. | Initial proposed window 2026-10-29 to 2026-12-09; completion depends on WBS-069. Owner/window/points are reconstructed planning assumptions. Actual points unknown; blank is not zero.</t>
  </si>
  <si>
    <t>FT-52, FT-53, FT-54</t>
  </si>
  <si>
    <t>FDS Part 3 JOB-06; FT-52, FT-53, FT-54 · BR-32; Draft. Draft/future iteration proposal, not Phase 1 delivered scope. | Initial proposed window 2026-10-29 to 2026-12-09; completion depends on WBS-061, WBS-062. Owner/window/points are reconstructed planning assumptions. Actual points unknown; blank is not zero.</t>
  </si>
  <si>
    <t>FT-47, FT-48</t>
  </si>
  <si>
    <t>FDS Part 3 JOB-07; FT-47, FT-48 · BR-29; Draft. Draft/future iteration proposal, not Phase 1 delivered scope. | Initial proposed window 2026-10-29 to 2026-12-09; completion depends on WBS-033. Owner/window/points are reconstructed planning assumptions. Actual points unknown; blank is not zero.</t>
  </si>
  <si>
    <t>WBS-065 — Requirements and traceability baseline</t>
  </si>
  <si>
    <t>Documentation</t>
  </si>
  <si>
    <t>Report 1 / SRS / RTW</t>
  </si>
  <si>
    <t>Review Vision &amp; Scope; specify requirements, business rules, data and traceability; reconcile later changes.</t>
  </si>
  <si>
    <t>Vision start 09/09; SRS 29810100 on 07/10; RTW ca065f6c/4a925910. Updated SRS requires RTW/FDS follow-up; formal approval remains unrecorded. | Initial proposed 2026-09-09 to 2026-10-07; completion depends on none. Remaining scope carries into Iteration 2, target 21/10/2026. Owner/date/points are inferred; actual points not supplied.</t>
  </si>
  <si>
    <t>WBS-066 — Content backend and curriculum</t>
  </si>
  <si>
    <t>Backend API</t>
  </si>
  <si>
    <t>FT-15, FT-16, FT-17, FT-18</t>
  </si>
  <si>
    <t>Content topics/KPs, questions, packages, media and lesson APIs; learner answers redacted.</t>
  </si>
  <si>
    <t>BE 11a78fa / 20bed3b / 34335aa; implementation evidence. TungVPH is proposed accountable owner, not inferred Git author. | Initial proposed 2026-09-16 to 2026-10-07; completion depends on WBS-051, WBS-053, WBS-054, WBS-065. Owner/date/points are inferred; actual points not supplied.</t>
  </si>
  <si>
    <t>WBS-067 — Assessment backend</t>
  </si>
  <si>
    <t>FT-30, FT-31, FT-32</t>
  </si>
  <si>
    <t>Attempt lifecycle, answer persistence, objective grading and human grading endpoints.</t>
  </si>
  <si>
    <t>BE c087a3f (PhuPham70) scaffold; c2ed0f4 objective grading. Git authorship does not establish all hours/ownership. | Initial proposed 2026-09-16 to 2026-10-07; completion depends on WBS-051, WBS-053, WBS-054, WBS-066. Owner/date/points are inferred; actual points not supplied.</t>
  </si>
  <si>
    <t>WBS-068 — Access backend</t>
  </si>
  <si>
    <t>Plans, keys, subscriptions, point balance and idempotent point changes.</t>
  </si>
  <si>
    <t>BE 99b7d4f / 3678274; access implementation. Proposed owner; learning entitlement release decision remains I-006. | Initial proposed 2026-09-16 to 2026-10-07; completion depends on WBS-051, WBS-053, WBS-054. Owner/date/points are inferred; actual points not supplied.</t>
  </si>
  <si>
    <t>WBS-069 — User and auth backend</t>
  </si>
  <si>
    <t>FT-01, FT-02, FT-03, FT-04, FT-06</t>
  </si>
  <si>
    <t>Account/password/session/profile/goal APIs; email and OAuth acceptance excluded.</t>
  </si>
  <si>
    <t>BE 115c36d / 2c9d37f; scope limited to implemented APIs. PhuPD is proposed owner; recovery delivery/OAuth remain I-009. | Initial proposed 2026-09-16 to 2026-10-07; completion depends on WBS-051, WBS-053, WBS-054. Owner/date/points are inferred; actual points not supplied.</t>
  </si>
  <si>
    <t>WBS-070 — Java learning runtime</t>
  </si>
  <si>
    <t>FT-20, FT-21, FT-22</t>
  </si>
  <si>
    <t>Java service runtime, base learning/lesson endpoints and domain persistence; replaces Python. Integrity/gate work WBS-057 and result consumer WBS-059 are separate.</t>
  </si>
  <si>
    <t>BE d96ab9e / 8195982 / 23904e8; historical Python work retained in TimeLogs, not counted as another active product deliverable. | Initial proposed 2026-09-16 to 2026-10-07; completion depends on WBS-066, WBS-067, WBS-068, WBS-069. Owner/date/points are inferred; actual points not supplied.</t>
  </si>
  <si>
    <t>WBS-071 — Library and learner activity backend</t>
  </si>
  <si>
    <t>FT-36, FT-37, FT-40, FT-42, FT-43, FT-44</t>
  </si>
  <si>
    <t>Library vocab/video/notes/flashcards and learner activity/streak API migration; FE delivery remains separate.</t>
  </si>
  <si>
    <t>BE 465f543 / d762660 / fec5d14 / ab613b1; implementation evidence, not all FE screens complete. Proposed accountable owner. | Initial proposed 2026-09-16 to 2026-10-07; completion depends on WBS-051, WBS-053, WBS-054. Owner/date/points are inferred; actual points not supplied.</t>
  </si>
  <si>
    <t>WBS-072 — Band course backend</t>
  </si>
  <si>
    <t>FT-15, FT-20, FT-55</t>
  </si>
  <si>
    <t>Course catalog, placement recommendation, course sequence and course final test.</t>
  </si>
  <si>
    <t>C-006; merge df6c57f / plan 261006-2228. Reported Docker tests; manual full stack course smoke not run. | Initial proposed 2026-10-06 to 2026-10-07; completion depends on WBS-066, WBS-067, WBS-070. Owner/date/points are inferred; actual points not supplied.</t>
  </si>
  <si>
    <t>WBS-073 — Course selection and final-test FE</t>
  </si>
  <si>
    <t>FT-20, FT-55</t>
  </si>
  <si>
    <t>Add course list/selection, recommendation labels and course-final-test UI over the new BE API.</t>
  </si>
  <si>
    <t>New SRS scope from 07/10; FE LearningApi lacks course methods at 3b933051. Link I-007. This is added work, not existing WBS-008 completion. | Initial proposed 2026-10-08 to 2026-10-28; completion depends on WBS-072, WBS-055, WBS-056. Owner/date/points are inferred; actual points not supplied.</t>
  </si>
  <si>
    <t>WBS-074 — Multi-skill lesson and Practice backend</t>
  </si>
  <si>
    <t>FT-21, FT-27, FT-31, FT-33, FT-55</t>
  </si>
  <si>
    <t>Mixed R/L/W lesson/Practice contracts and per-skill clearance; optional Practice essay point/quota rules. Assessment AI worker is WBS-060 and course model is WBS-072.</t>
  </si>
  <si>
    <t>C-008; merge 8d2d2bb (07/10). Plan records tests and explicit concerns; this BE implementation is not full UI/live-provider acceptance. | Initial proposed 2026-10-06 to 2026-10-07; completion depends on WBS-072, WBS-066, WBS-067, WBS-070. Owner/date/points are inferred; actual points not supplied.</t>
  </si>
  <si>
    <t>WBS-075 — Multi-skill FE contract alignment</t>
  </si>
  <si>
    <t>Frontend Integration</t>
  </si>
  <si>
    <t>FT-21, FT-27, FT-31, FT-33</t>
  </si>
  <si>
    <t>Shared API methods, skills[] DTO adapters, per-skill state mappings and gate/error translation. Screen presentation changes remain in WBS-008..017/073.</t>
  </si>
  <si>
    <t>BE contract/docs changed 07/10; FE main last merged 05/10. Verify against DTOs and new gates. Link R-002 / I-007 / I-003. | Initial proposed 2026-10-08 to 2026-10-28; completion depends on WBS-074, WBS-073. Owner/date/points are inferred; actual points not supplied.</t>
  </si>
  <si>
    <t>WBS-076 — Integration and system verification</t>
  </si>
  <si>
    <t>Test Plan / SC-01, SC-02, SC-04, SC-05</t>
  </si>
  <si>
    <t>Fresh browser core flow, course/multi-skill regression, keyboard/a11y, real-media/LLM and negative security tests.</t>
  </si>
  <si>
    <t>FE 05/10 reports: API-assisted lessons/Practice, review N/A; later full flow not evidenced. No UAT approval or new executed test result invented. | Initial proposed 2026-10-08 to 2026-10-28; completion depends on WBS-008, WBS-009, WBS-010, WBS-012, WBS-014, WBS-016, WBS-017, WBS-073, WBS-075. Owner/date/points are inferred; actual points not supplied.</t>
  </si>
  <si>
    <t>WBS-077 — Functional design and technical documentation</t>
  </si>
  <si>
    <t>FDS v0.4 / TDS / SRS handoff</t>
  </si>
  <si>
    <t>Maintain screen/job specifications and architecture; synchronize course/multi-skill requirements and diagrams.</t>
  </si>
  <si>
    <t>FDS 4153dd06 / 1b4b26b8 on 07/10; generated against SRS v0.9.15. Handoff report lists missing course/multi-skill changes. | Initial proposed 2026-10-06 to 2026-10-07; completion depends on WBS-065. Remaining scope carries into Iteration 2, target 21/10/2026. Owner/date/points are inferred; actual points not supplied.</t>
  </si>
  <si>
    <t>WBS-078 — Environment and deployment verification</t>
  </si>
  <si>
    <t>TDS / test environment</t>
  </si>
  <si>
    <t>Reproducible Docker configuration, seed reset, runbook, test prerequisites and operational checks.</t>
  </si>
  <si>
    <t>Compose baseline exists; environment validation and performance are not inferred from compile success. R-007, R-010. | Initial proposed 2026-09-16 to 2026-10-07; completion depends on WBS-051, WBS-052, WBS-053, WBS-054. Remaining scope carries into Iteration 2, target 21/10/2026. Owner/date/points are inferred; actual points not supplied.</t>
  </si>
  <si>
    <t>WBS-079 — Mock prototype work product</t>
  </si>
  <si>
    <t>FDS §2.7, §2.19-2.22, §2.28</t>
  </si>
  <si>
    <t>Build and review existing mock workspaces/classroom/overview/vocabulary UX separately from product integration.</t>
  </si>
  <si>
    <t>FE 6ffb8a4 / b8d3f3f / 015701d / b93604b / 43f537b. Done means prototype work product only; Screen rows stay In Progress. | Initial proposed 2026-09-16 to 2026-10-07; completion depends on WBS-055. Owner/date/points are inferred; actual points not supplied.</t>
  </si>
  <si>
    <t>WBS-080 — Game service initial backend</t>
  </si>
  <si>
    <t>Game</t>
  </si>
  <si>
    <t>Initialize the Game module and initial backend code; complete game flows, matchmaking and acceptance are separate future work.</t>
  </si>
  <si>
    <t>Git backend c12541b6 / c2561e23. Done applies only to the narrow initialization package, not a completed user feature. | Initial proposed 2026-09-23 to 2026-09-24; completion depends on WBS-051, WBS-052, WBS-053, WBS-054. Owner/date/points are reconstructed planning assumptions; actual points unknown.</t>
  </si>
  <si>
    <t>WBS-081 — Community service initial backend</t>
  </si>
  <si>
    <t>Community</t>
  </si>
  <si>
    <t>Community draft scope</t>
  </si>
  <si>
    <t>Initialize the Community module and initial backend code; full learner community features and acceptance are separate future work.</t>
  </si>
  <si>
    <t>Git backend 559718a4 / 10433389. Done applies only to the narrow initialization package, not a completed user feature. | Initial proposed 2026-09-22 to 2026-09-23; completion depends on WBS-051, WBS-052, WBS-053, WBS-054. Owner/date/points are reconstructed planning assumptions; actual points unknown.</t>
  </si>
  <si>
    <t>WBS-082 — Notification service scaffold</t>
  </si>
  <si>
    <t>Notification</t>
  </si>
  <si>
    <t>Create the service module and shared configuration/routing baseline only; notification delivery, reminders and retries remain future scope.</t>
  </si>
  <si>
    <t>Git backend 11a78fa6. Done applies only to the narrow initialization package, not a completed user feature. | Initial proposed 2026-09-22 to 2026-09-23; completion depends on WBS-051, WBS-052, WBS-053, WBS-054. Owner/date/points are reconstructed planning assumptions; actual points unknown.</t>
  </si>
  <si>
    <t>Iteration summary — estimate points; operational acceptance tracked separately</t>
  </si>
  <si>
    <t>Work packages</t>
  </si>
  <si>
    <t>Estimate points</t>
  </si>
  <si>
    <t>Blocked</t>
  </si>
  <si>
    <t>Total</t>
  </si>
  <si>
    <t>Proposed iteration plan — calendar dates estimated, not an approved schedule</t>
  </si>
  <si>
    <t>Start</t>
  </si>
  <si>
    <t>Finish</t>
  </si>
  <si>
    <t>Objective</t>
  </si>
  <si>
    <t>Entry dependencies</t>
  </si>
  <si>
    <t>Exit / acceptance</t>
  </si>
  <si>
    <t>Lead</t>
  </si>
  <si>
    <t>Requirements → infrastructure → BE core → FE auth/learning → documented smoke. Course/multi-skill BE landed late.</t>
  </si>
  <si>
    <t>Requirements and service contracts; Content before Learning/Assessment; BE endpoints before FE HTTP.</t>
  </si>
  <si>
    <t>Implemented scope recorded. Fresh browser, course FE and live providers remain outstanding; iteration date does not imply acceptance.</t>
  </si>
  <si>
    <t>Align course/multi-skill FE, clear core flow gaps, reconcile docs; integrate priority account/library screens.</t>
  </si>
  <si>
    <t>Iteration 1 APIs; C-006/C-008 contract reconciliation.</t>
  </si>
  <si>
    <t>Unassisted browser + course/multi-skill regression evidence, updated RTW/FDS/Test Plan and reviewed findings.</t>
  </si>
  <si>
    <t>Proposed extended staff, notification, games/community and remaining screens, after prioritization.</t>
  </si>
  <si>
    <t>Validated core flow and confirmed scope; external providers/data available.</t>
  </si>
  <si>
    <t>Acceptance by confirmed feature list. Classroom/Speaking/mobile and external integrations need explicit scope decisions.</t>
  </si>
  <si>
    <t>Team ownership — proposed allocations based on the supplied roles</t>
  </si>
  <si>
    <t>Member</t>
  </si>
  <si>
    <t>Role</t>
  </si>
  <si>
    <t>Primary scope</t>
  </si>
  <si>
    <t>Coordinates with</t>
  </si>
  <si>
    <t>Historical attribution</t>
  </si>
  <si>
    <t>Approval authority</t>
  </si>
  <si>
    <t>Capacity assumption</t>
  </si>
  <si>
    <t>BE</t>
  </si>
  <si>
    <t>User/Auth + Assessment + outbox</t>
  </si>
  <si>
    <t>HieuLT / HoangNV</t>
  </si>
  <si>
    <t>PhuPham70 matches PhuPD by supplied name; other assignments inferred.</t>
  </si>
  <si>
    <t>TimeLog and project approval: LinhNDM (PM / supervisor).</t>
  </si>
  <si>
    <t>Student project: around 2–4 h/day; no actual timesheets.</t>
  </si>
  <si>
    <t>FE lead</t>
  </si>
  <si>
    <t>FE auth, learning, course and multi-skill alignment</t>
  </si>
  <si>
    <t>SonLT / HieuLT</t>
  </si>
  <si>
    <t>Nguyen Viet Hoang / hoangnv31 observed in Git.</t>
  </si>
  <si>
    <t>FE review lead; no historic formal approval invented.</t>
  </si>
  <si>
    <t>Estimated daily entries capped at 8 h/person.</t>
  </si>
  <si>
    <t>Library/activity follow-up, prototype, FDS and system QA</t>
  </si>
  <si>
    <t>HoangNV / TungVPH</t>
  </si>
  <si>
    <t>sonledz22 observed in Git.</t>
  </si>
  <si>
    <t>Cross-review/testing owner (proposed).</t>
  </si>
  <si>
    <t>Work dates/hours reconstructed; overlap checked.</t>
  </si>
  <si>
    <t>Tech lead / task assignment</t>
  </si>
  <si>
    <t>Architecture, Java Learning, course/multi-skill and coordination</t>
  </si>
  <si>
    <t>All members</t>
  </si>
  <si>
    <t>hieuLeFpt / Lê Trung Hiếu observed in Git.</t>
  </si>
  <si>
    <t>Technical coordination and task allocation; PM / project reviewer: LinhNDM.</t>
  </si>
  <si>
    <t>AI-authored commits attributed only as proposed human oversight.</t>
  </si>
  <si>
    <t>Content, Access, infrastructure and operational checks</t>
  </si>
  <si>
    <t>PhuPD / HieuLT</t>
  </si>
  <si>
    <t>Git account mapping not confirmed; assignments are proposed.</t>
  </si>
  <si>
    <t>Backend review/implementation allocation (proposed).</t>
  </si>
  <si>
    <t>No unsupported historic Git identity asserted.</t>
  </si>
  <si>
    <t>PM / project supervisor</t>
  </si>
  <si>
    <t>Project oversight, review and approval</t>
  </si>
  <si>
    <t>Confirmed by user</t>
  </si>
  <si>
    <t>TimeLogs and project review</t>
  </si>
  <si>
    <t>Supervisor; five-member implementation team unchanged</t>
  </si>
  <si>
    <t>Basis and interpretation</t>
  </si>
  <si>
    <t>Item</t>
  </si>
  <si>
    <t>Value / rule</t>
  </si>
  <si>
    <t>Source</t>
  </si>
  <si>
    <t>Version / date</t>
  </si>
  <si>
    <t>Limit</t>
  </si>
  <si>
    <t>Project start</t>
  </si>
  <si>
    <t>09/09/2026</t>
  </si>
  <si>
    <t>Report 1 Vision &amp; Scope</t>
  </si>
  <si>
    <t>v1.1.0 / 07/10/2026</t>
  </si>
  <si>
    <t>Source date</t>
  </si>
  <si>
    <t>Earlier than repo creation; planning work can precede Git.</t>
  </si>
  <si>
    <t>Repo creation</t>
  </si>
  <si>
    <t>14/09/2026</t>
  </si>
  <si>
    <t>GitHub repository metadata</t>
  </si>
  <si>
    <t>Backend + Frontend</t>
  </si>
  <si>
    <t>First commit is not necessarily first work day.</t>
  </si>
  <si>
    <t>Snapshot</t>
  </si>
  <si>
    <t>07/10/2026 23:59 ICT</t>
  </si>
  <si>
    <t>BE e24d9eef; FE 3b933051</t>
  </si>
  <si>
    <t>Main branches at cutoff</t>
  </si>
  <si>
    <t>Git evidence</t>
  </si>
  <si>
    <t>Current later documents are reference only, not dated evidence at cutoff.</t>
  </si>
  <si>
    <t>Est. vs actual</t>
  </si>
  <si>
    <t>Points in G; actual points J blank</t>
  </si>
  <si>
    <t>Uploaded V1 + reconstructed task complexity</t>
  </si>
  <si>
    <t>3 / 5 / 8 points</t>
  </si>
  <si>
    <t>Estimated</t>
  </si>
  <si>
    <t>No conversion between story points and hours/person-days.</t>
  </si>
  <si>
    <t>Implemented work-package scope</t>
  </si>
  <si>
    <t>Code/commit/report cited per row</t>
  </si>
  <si>
    <t>Prototype verification has separate scope</t>
  </si>
  <si>
    <t>Assigned member</t>
  </si>
  <si>
    <t>Implementation only</t>
  </si>
  <si>
    <t>Not UAT approval or automatic end-to-end product acceptance.</t>
  </si>
  <si>
    <t>Source access</t>
  </si>
  <si>
    <t>Report 1, RTW, Test Plan text; FDS generator; SRS change/handoff reports; Git code/docs</t>
  </si>
  <si>
    <t>backend/capstone-docs; frontend/plans</t>
  </si>
  <si>
    <t>FDS v0.4 / SRS v0.9.21 handoff</t>
  </si>
  <si>
    <t>Read/reference</t>
  </si>
  <si>
    <t>Large SRS/TDS/FDS binaries unavailable via connector; content checked through source scripts and repository reports.</t>
  </si>
  <si>
    <t>Dashboard / Scope review</t>
  </si>
  <si>
    <t>Dashboard formulas repaired</t>
  </si>
  <si>
    <t>Uploaded workbook</t>
  </si>
  <si>
    <t>09/10/2026</t>
  </si>
  <si>
    <t>Dashboard fixed; Scope retained</t>
  </si>
  <si>
    <t>Scope approver label normalized to LinhNDM. Scope F effort-ratio interpretation remains open (D-008).</t>
  </si>
  <si>
    <t>Proposed baseline: Iteration 1 covers 09/09–07/10 foundation/core and BE course/multi-skill. Iteration 2 closes FE contract/E2E gaps; Iteration 3 contains prioritized extensions. See WBS iteration plan. Team must confirm acceptance scope; dates alone do not prove acceptance.</t>
  </si>
  <si>
    <t>capstone-docs/rp_5.0_test_plan/Report 5.0_TestPlan_IELTSPath_v1.docx; original WBS A5:L17. Review question recorded 07/10/2026; not an earlier meeting minute. | LinhNDM: supervisor asking; Directed To: responsible team member. Answered By is a simulated response assignment based on cited evidence.</t>
  </si>
  <si>
    <t>backend/capstone-docs/rp_1_vision-scope/Report 1_Vision_Scope_IeltsPath.docx §1, §3, §5 | LinhNDM: supervisor asking; Directed To: responsible team member. Answered By is a simulated response assignment based on cited evidence.</t>
  </si>
  <si>
    <t>backend/AGENTS.md §1; backend/docs/system-architecture.md | LinhNDM: supervisor asking; Directed To: responsible team member. Answered By is a simulated response assignment based on cited evidence.</t>
  </si>
  <si>
    <t>backend/docs/fe-main-flow-guide.md §1, §4; frontend/src/lib/httpClient.ts; backend/README.md | LinhNDM: supervisor asking; Directed To: responsible team member. Answered By is a simulated response assignment based on cited evidence.</t>
  </si>
  <si>
    <t>Core final-test assignment requires all relevant lessons completed, Practice cleared and applicable reviews closed; topic pass requires &gt;=70%. The 07/10 multi-skill BE clears Practice per objective skill; FE must align to updated contracts.</t>
  </si>
  <si>
    <t>backend/docs/fe-main-flow-guide.md §3–4; frontend/plans/reports/e2e-practice-261005/report.md | LinhNDM: supervisor asking; Directed To: responsible team member. Answered By is a simulated response assignment based on cited evidence.</t>
  </si>
  <si>
    <t>backend/docs/fe-main-flow-guide.md; frontend/plans/reports/e2e-practice-261005/report.md; capstone-docs/rp_5.0_test_plan/Report 5.0_TestPlan_IELTSPath_v1.docx TP-LRN-06 | LinhNDM: supervisor asking; Directed To: responsible team member. Answered By is a simulated response assignment based on cited evidence.</t>
  </si>
  <si>
    <t>backend/docs/fe-main-flow-guide.md; frontend/plans/reports/e2e-practice-261005/report.md; capstone-docs/rp_5.0_test_plan/Report 5.0_TestPlan_IELTSPath_v1.docx | LinhNDM: supervisor asking; Directed To: responsible team member. Answered By is a simulated response assignment based on cited evidence.</t>
  </si>
  <si>
    <t>backend/capstone-docs/rp_1_vision-scope/Report 1_Vision_Scope_IeltsPath.docx §4.2 LI-01; backend/capstone-docs/rp_3.0_system-requirements-system/Report 3.0_SRS_IELTSPath_IeltsPath_v1.docx SC-03 | LinhNDM: supervisor asking; Directed To: responsible team member. Answered By is a simulated response assignment based on cited evidence.</t>
  </si>
  <si>
    <t>backend/docs/fe-main-flow-guide.md §6; capstone-docs/rp_5.0_test_plan/Report 5.0_TestPlan_IELTSPath_v1.docx Out of Scope | LinhNDM: supervisor asking; Directed To: responsible team member. Answered By is a simulated response assignment based on cited evidence.</t>
  </si>
  <si>
    <t>frontend/plans/reports/e2e-main-flow-261005-fresh/report.md Method and checklist; frontend/plans/reports/e2e-practice-261005/report.md E2E note | LinhNDM: supervisor asking; Directed To: responsible team member. Answered By is a simulated response assignment based on cited evidence.</t>
  </si>
  <si>
    <t>backend/plans/261006-2228-course-band-levels/plan.md final verification; frontend/src/features/learning-path/api/learningApi.ts | LinhNDM: supervisor asking; Directed To: responsible team member. Answered By is a simulated response assignment based on cited evidence.</t>
  </si>
  <si>
    <t>Backend multi-skill implementation merged 07/10 via 8d2d2bb (#47), with phase verification and documented concerns. FE mixed-skill/assessment-essay alignment and live-provider acceptance are not established. See WBS-074/075 and C-008.</t>
  </si>
  <si>
    <t>BE merge 8d2d2bb; plans/261006-2309-multi-skill-lessons/plan.md verification; FE 3b933051. Supersedes V1 stale Pending claim. | LinhNDM: supervisor asking; Directed To: responsible team member. Answered By is a simulated response assignment based on cited evidence.</t>
  </si>
  <si>
    <t>backend/capstone-docs/rp_1_vision-scope/Report 1_Vision_Scope_IeltsPath.docx §4.1; capstone-docs/rp_5.0_test_plan/Report 5.0_TestPlan_IELTSPath_v1.docx Out of Scope | LinhNDM: supervisor asking; Directed To: responsible team member. Answered By is a simulated response assignment based on cited evidence.</t>
  </si>
  <si>
    <t>Five implementation members confirmed. PM and project reviewer are both LinhNDM; HieuLT remains tech lead/task coordinator. TimeLogs contains 48 consecutively numbered entries totaling 211.5 hours. PM identity is confirmed; actual member timesheets and historical approval records still require reconciliation.</t>
  </si>
  <si>
    <t>Original Scope names PhuPD, HieuLT, TungVPH; no row-level work-hour evidence found. | LinhNDM: supervisor asking; Directed To: responsible team member. Answered By is a simulated response assignment based on cited evidence.</t>
  </si>
  <si>
    <t>Formal document approval not evidenced. SRS was updated to v0.9.21 on 07/10, while RTW/FDS and the later Test Plan still need course/multi-skill reconciliation. The Test Plan now includes browser system testing; the old mock-only claim is superseded.</t>
  </si>
  <si>
    <t>backend/capstone-docs/rp_3.0_system-requirements-system/Report 3.0_SRS_IELTSPath_IeltsPath_v1.docx metadata; capstone-docs/rp_5.0_test_plan/Report 5.0_TestPlan_IELTSPath_v1.docx baseline/out-of-scope; frontend/plans/reports/e2e-main-flow-261005-fresh/report.md | LinhNDM: supervisor asking; Directed To: responsible team member. Answered By is a simulated response assignment based on cited evidence.</t>
  </si>
  <si>
    <t>WBS-065</t>
  </si>
  <si>
    <t>Project kickoff, initial problem/scope and member task allocation</t>
  </si>
  <si>
    <t>Initial project plan</t>
  </si>
  <si>
    <t>Approved</t>
  </si>
  <si>
    <t>Start date: Report 1; participation estimated.</t>
  </si>
  <si>
    <t>FE 241abca.</t>
  </si>
  <si>
    <t>FE 241abca, 8581a72.</t>
  </si>
  <si>
    <t>Updating</t>
  </si>
  <si>
    <t>BE 218e071, a18a44e.</t>
  </si>
  <si>
    <t>BE 218e071: Maven multi-module build and backend service structure.</t>
  </si>
  <si>
    <t>BE 218e071.</t>
  </si>
  <si>
    <t>BE 218e071, dac8b03.</t>
  </si>
  <si>
    <t>WBS-069</t>
  </si>
  <si>
    <t>Initialize User service module, configuration and account/auth structure</t>
  </si>
  <si>
    <t>User service initialization</t>
  </si>
  <si>
    <t>BE 218e071: User service initialization; auth updates and tests recorded separately.</t>
  </si>
  <si>
    <t>BE 115c36d, 2c9d37f.</t>
  </si>
  <si>
    <t>WBS-082</t>
  </si>
  <si>
    <t>Scaffold Notification service and register shared configuration/routing</t>
  </si>
  <si>
    <t>Notification service scaffold/config</t>
  </si>
  <si>
    <t>BE 11a78fa6: Notification scaffold/configuration/routing; delivery, reminders and retry remain outstanding.</t>
  </si>
  <si>
    <t>WBS-066</t>
  </si>
  <si>
    <t>Initialize Content service, Flyway schema and base content APIs</t>
  </si>
  <si>
    <t>Content service baseline</t>
  </si>
  <si>
    <t>BE 11a78fa: Content module, schema and base APIs.</t>
  </si>
  <si>
    <t>WBS-079</t>
  </si>
  <si>
    <t>FE 6ffb8a4, b8d3f3f.</t>
  </si>
  <si>
    <t>WBS-068</t>
  </si>
  <si>
    <t>Initialize Access service, plans/points APIs and Access tests</t>
  </si>
  <si>
    <t>Access service baseline</t>
  </si>
  <si>
    <t>BE 99b7d4f / 3678274: Access service initialization and tests.</t>
  </si>
  <si>
    <t>WBS-081</t>
  </si>
  <si>
    <t>Initialize Community service and initial community backend code</t>
  </si>
  <si>
    <t>Community service initial module/code</t>
  </si>
  <si>
    <t>BE 559718a4 / 10433389: initial Community module/code; complete community flows remain outstanding.</t>
  </si>
  <si>
    <t>WBS-071</t>
  </si>
  <si>
    <t>Initialize historical Learning Support service before Library/activity migration</t>
  </si>
  <si>
    <t>Historical Learning Support module</t>
  </si>
  <si>
    <t>BE 3512cc8f / b886d3f2: historical Learning Support module, later replaced by Library/activity migration.</t>
  </si>
  <si>
    <t>WBS-067</t>
  </si>
  <si>
    <t>Initialize Assessment service and attempt/answer domain structure</t>
  </si>
  <si>
    <t>Assessment service baseline</t>
  </si>
  <si>
    <t>BE c087a3f: Assessment module and attempt/answer structure.</t>
  </si>
  <si>
    <t>WBS-070</t>
  </si>
  <si>
    <t>BE e1cf196, f430f61, 4ba99a5, 2860664.</t>
  </si>
  <si>
    <t>WBS-080</t>
  </si>
  <si>
    <t>Initialize Game service and initial game backend code</t>
  </si>
  <si>
    <t>Game service initial module/code</t>
  </si>
  <si>
    <t>BE c12541b6 / c2561e23: initial Game module/code; full gameplay remains outstanding.</t>
  </si>
  <si>
    <t>FE 43f537b.</t>
  </si>
  <si>
    <t>WBS-076</t>
  </si>
  <si>
    <t>BE 9140128.</t>
  </si>
  <si>
    <t>FE 015701d, b93604b.</t>
  </si>
  <si>
    <t>WBS-059</t>
  </si>
  <si>
    <t>Implement AssessmentCompleted consumer and update learning progress, review/test assignments</t>
  </si>
  <si>
    <t>Learning result consumer / progress updates</t>
  </si>
  <si>
    <t>BE 72d4e99 / dd109f5: result consumer, progress and review/test assignment updates.</t>
  </si>
  <si>
    <t>BE 37a330c, 555ab81, a163b6b, 70f17a2.</t>
  </si>
  <si>
    <t>Initialize Library service; migrate activity/streak into User and remove legacy Learning Support</t>
  </si>
  <si>
    <t>Library initialization / service migration</t>
  </si>
  <si>
    <t>BE 465f543, d762660, fec5d14, ab613b1.</t>
  </si>
  <si>
    <t>BE 34335aa, 20bed3b.</t>
  </si>
  <si>
    <t>Initialize Java Learning service and implement lesson/mastery persistence</t>
  </si>
  <si>
    <t>BE d96ab9e, 8195982.</t>
  </si>
  <si>
    <t>TL-032</t>
  </si>
  <si>
    <t>BE d08337a, 896fa2c, 60c72dd.</t>
  </si>
  <si>
    <t>TL-033</t>
  </si>
  <si>
    <t>WBS-056</t>
  </si>
  <si>
    <t>FE 5505282, f1d5bb0.</t>
  </si>
  <si>
    <t>TL-034</t>
  </si>
  <si>
    <t>BE a3447b9, a90e5e1, 853ab82, 1a96c77, 8bb72cf, 6d9f623.</t>
  </si>
  <si>
    <t>TL-035</t>
  </si>
  <si>
    <t>FE caaf987, 6716dd9.</t>
  </si>
  <si>
    <t>TL-036</t>
  </si>
  <si>
    <t>WBS-012</t>
  </si>
  <si>
    <t>Bug-Fix</t>
  </si>
  <si>
    <t>FE d2b737d, 6716dd9.</t>
  </si>
  <si>
    <t>TL-037</t>
  </si>
  <si>
    <t>BE b2323f1 / f2e00d4 / 36b1092: requirements sections and BA/scope review.</t>
  </si>
  <si>
    <t>TL-038</t>
  </si>
  <si>
    <t>WBS-001</t>
  </si>
  <si>
    <t>FE 5a0abcb, ac25901.</t>
  </si>
  <si>
    <t>TL-039</t>
  </si>
  <si>
    <t>WBS-005</t>
  </si>
  <si>
    <t>FE 553a320, 51e64eb.</t>
  </si>
  <si>
    <t>TL-040</t>
  </si>
  <si>
    <t>WBS-072</t>
  </si>
  <si>
    <t>BE a078675, a18241b.</t>
  </si>
  <si>
    <t>TL-041</t>
  </si>
  <si>
    <t>BE d867758, 5926d93, 6935369, 559bf82, a401a33, 5ea098a.</t>
  </si>
  <si>
    <t>TL-042</t>
  </si>
  <si>
    <t>Prepare/review RTW requirements, permission and business-rule traceability</t>
  </si>
  <si>
    <t>RTW workbook</t>
  </si>
  <si>
    <t>BE ca065f6c / 4a925910: RTW preparation and traceability review.</t>
  </si>
  <si>
    <t>TL-043</t>
  </si>
  <si>
    <t>WBS-075</t>
  </si>
  <si>
    <t>Review course/multi-skill FE contracts, DTO changes and integration backlog</t>
  </si>
  <si>
    <t>FE integration plan</t>
  </si>
  <si>
    <t>BE contract vs FE LearningApi; analysis only, code not completed.</t>
  </si>
  <si>
    <t>TL-044</t>
  </si>
  <si>
    <t>WBS-077</t>
  </si>
  <si>
    <t>Build/review FDS screens, jobs and diagrams; record SRS handoff gaps</t>
  </si>
  <si>
    <t>FDS v0.4 / diagrams</t>
  </si>
  <si>
    <t>BE 4153dd06 / 1b4b26b8.</t>
  </si>
  <si>
    <t>TL-045</t>
  </si>
  <si>
    <t>Review requirements baseline and assign remaining iteration work</t>
  </si>
  <si>
    <t>Iteration review</t>
  </si>
  <si>
    <t>Report 1 / SRS course-multi-skill handoff.</t>
  </si>
  <si>
    <t>TL-046</t>
  </si>
  <si>
    <t>WBS-078</t>
  </si>
  <si>
    <t>Review environment runbook, test prerequisites and operational gaps</t>
  </si>
  <si>
    <t>Environment checklist</t>
  </si>
  <si>
    <t>BE README / Docker setup; no new test pass asserted.</t>
  </si>
  <si>
    <t>TL-047</t>
  </si>
  <si>
    <t>WBS-074</t>
  </si>
  <si>
    <t>Implement multi-skill lesson/Practice contracts and per-skill clearance</t>
  </si>
  <si>
    <t>Multi-skill backend code</t>
  </si>
  <si>
    <t>BE 8d2d2bb2 / 51468f60: multi-skill backend; FE alignment and live acceptance remain outstanding.</t>
  </si>
  <si>
    <t>TL-048</t>
  </si>
  <si>
    <t>WBS-060</t>
  </si>
  <si>
    <t>Implement Assessment AI worker for topic/course gate essays and examiner fallback</t>
  </si>
  <si>
    <t>Assessment AI gate-grading worker</t>
  </si>
  <si>
    <t>BE 34852704 / 8d2d2bb2: AI gate-essay worker; Speaking and live-provider acceptance excluded.</t>
  </si>
  <si>
    <t>Hours by activity</t>
  </si>
  <si>
    <t>Hours</t>
  </si>
  <si>
    <t>Hours by member and review status</t>
  </si>
  <si>
    <t>TimeLog tracking notes</t>
  </si>
  <si>
    <t>PM and project reviewer: LinhNDM. TimeLogs are reviewed by the PM; implementation status is tracked separately in WBS. One entry records one person, one date and one WBS package, with a maximum of 8 hours/person/day. Entries are sorted by date and numbered TL-001 to TL-048. Hours are retrospective estimates based on repository work packages. Git references identify code changes; service initialization does not imply full feature delivery.</t>
  </si>
  <si>
    <t>System Test</t>
  </si>
  <si>
    <t>FE 6716dd9 (main 3b933051)</t>
  </si>
  <si>
    <t>frontend/plans/reports/e2e-main-flow-261005/fix-ux-cta-gates.md; frontend/plans/reports/e2e-practice-261005/report.md confirms gap closed; full fresh browser retest still open. | Assignment proposed from team roles; not a historical signed assignment. Fixed indicates documented code fix; separate browser retest required, not Closed.</t>
  </si>
  <si>
    <t>frontend/plans/reports/e2e-main-flow-261005/fix-ux-cta-gates.md; frontend/plans/reports/e2e-practice-261005/report.md | Assignment proposed from team roles; not a historical signed assignment. Fixed indicates documented code fix; separate browser retest required, not Closed.</t>
  </si>
  <si>
    <t>frontend/plans/reports/e2e-main-flow-261005/fix-ux-cta-gates.md; frontend/plans/reports/e2e-practice-261005/report.md browser smoke only. | Assignment proposed from team roles; not a historical signed assignment. Fixed indicates documented code fix; separate browser retest required, not Closed.</t>
  </si>
  <si>
    <t>frontend/plans/reports/e2e-main-flow-261005/fix-ux-cta-gates.md records layout fix, but frontend/plans/reports/e2e-main-flow-261005-fresh/report.md repeats observation. Application-wide reproduction is not established. | Assignment proposed from team roles; not a historical signed assignment. Verification concern retained; not a confirmed universal product failure.</t>
  </si>
  <si>
    <t>frontend/plans/reports/e2e-main-flow-261005/report.md item 5. Verify with a screen reader before confirming defect. | Assignment proposed from team roles; not a historical signed assignment.</t>
  </si>
  <si>
    <t>Dashboard open-item formulas used incorrect status columns</t>
  </si>
  <si>
    <t>Count Issues K, Defects N and Q&amp;A K; risk priority from score F</t>
  </si>
  <si>
    <t>Corrected Dashboard uses the actual status columns and includes risks with score &gt;=4.</t>
  </si>
  <si>
    <t>Report 2.1 Dashboard update — 09/10/2026</t>
  </si>
  <si>
    <t>Formulas recalculated and checked against source records. Awaiting LinhNDM review; not Closed.</t>
  </si>
  <si>
    <t>Dashboard iteration formulas excluded WBS rows after row 68</t>
  </si>
  <si>
    <t>Count all 82 WBS packages through row 86</t>
  </si>
  <si>
    <t>Dashboard now uses WBS H for iteration, G for points and K for status across rows 5:86.</t>
  </si>
  <si>
    <t>Dashboard iteration table B27:J31; WBS summary A88:G93</t>
  </si>
  <si>
    <t>Full WBS range recalculated and reconciled with WBS summary. Awaiting LinhNDM review; not Closed.</t>
  </si>
  <si>
    <t>Scope completion percentage still represents effort usage</t>
  </si>
  <si>
    <t>Dashboard counts Scope G correctly. Scope F remains actual/estimated effort, which is not a completion measure.</t>
  </si>
  <si>
    <t>Dashboard deliverable counts repaired; remaining Scope F interpretation needs separate correction. Defect stays Open.</t>
  </si>
  <si>
    <t>Confirm reconstructed WBS iteration windows, product acceptance list and extension priorities. See WBS plan, Q-001. Creating the plan does not supply formal acceptance.</t>
  </si>
  <si>
    <t>capstone-docs/rp_5.0_test_plan/Report 5.0_TestPlan_IELTSPath_v1.docx; original WBS | Owner/deadline are proposed resolution assignments.</t>
  </si>
  <si>
    <t>Validate the 48-row, 211.5-hour retrospective timesheet against member records, dates, hours and approval evidence. Review states are Pending, Submitted and Approved. See Q-014.</t>
  </si>
  <si>
    <t>Original tracking workbook contains unrelated sample hours and reporter. | Owner/deadline are proposed resolution assignments.</t>
  </si>
  <si>
    <t>frontend/plans/reports/e2e-main-flow-261005-fresh/report.md; frontend/plans/reports/e2e-practice-261005/report.md | Owner/deadline are proposed resolution assignments.</t>
  </si>
  <si>
    <t>capstone-docs/rp_5.0_test_plan/Report 5.0_TestPlan_IELTSPath_v1.docx; frontend/plans/reports/e2e-practice-261005/report.md | Owner/deadline are proposed resolution assignments.</t>
  </si>
  <si>
    <t>SRS v0.9.21 course/multi-skill updates are not synchronized into RTW/FDS and Test Plan.</t>
  </si>
  <si>
    <t>Specifications, permission/feature traceability and tests can target different gates and feature populations.</t>
  </si>
  <si>
    <t>Update FT-15/20/55, course/placement flow, BR-35..40, mixed-skill rules and assessment essay fallback; reconcile RTW/FDS/Test Plan. The latest Test Plan includes HTTP/browser tests; old mock-only finding withdrawn.</t>
  </si>
  <si>
    <t>BE 29810100 / de62b4eb; plans/reports/srs-to-rtw-fds-handoff-261007-1934-course-multi-skill-report.md. Later Test Plan reference still lists 54 features and one-skill assumptions; no completed reconciliation asserted.</t>
  </si>
  <si>
    <t>backend/docs/fe-main-flow-guide.md §6; capstone-docs/rp_5.0_test_plan/Report 5.0_TestPlan_IELTSPath_v1.docx | Owner/deadline are proposed resolution assignments.</t>
  </si>
  <si>
    <t>New course/multi-skill BE contracts are not aligned with FE course APIs and full browser acceptance.</t>
  </si>
  <si>
    <t>Complete WBS-073/075 after WBS-072/074; verify course selection, mixed Practice, essay gate submission, result processing and next topic. Fresh unassisted browser evidence required.</t>
  </si>
  <si>
    <t>backend/plans/261006-2228-course-band-levels/plan.md final concerns; frontend/src/features/learning-path/api/learningApi.ts | Owner/deadline are proposed resolution assignments.</t>
  </si>
  <si>
    <t>backend/capstone-docs/rp_3.0_system-requirements-system/Report 3.0_SRS_IELTSPath_IeltsPath_v1.docx metadata; backend/capstone-docs/rp_1_vision-scope/Report 1_Vision_Scope_IeltsPath.docx In Review; original Scope Approved By is not approval evidence. | Owner/deadline are proposed resolution assignments.</t>
  </si>
  <si>
    <t>Reset UI is in Iteration 1; verify real email token delivery separately. OAuth remains Iteration 3 and unavailable until implementation/QA. Do not report either external flow as accepted.</t>
  </si>
  <si>
    <t>frontend/docs/journals/2026-10-05-fe-auth-forgot-reset-wiring.md; capstone-docs/rp_5.0_test_plan/Report 5.0_TestPlan_IELTSPath_v1.docx | Owner/deadline are proposed resolution assignments.</t>
  </si>
  <si>
    <t>backend/capstone-docs/rp_1_vision-scope/Report 1_Vision_Scope_IeltsPath.docx versus capstone-docs/rp_5.0_test_plan/Report 5.0_TestPlan_IELTSPath_v1.docx; assessment: project-review judgement, not measured incidence. | Assessment qualitative; owner and mitigation due date proposed.</t>
  </si>
  <si>
    <t>Freeze/version course and multi-skill DTO contracts; align FE skills[], course endpoints and essay flow, then run fresh-user integration. Link WBS-073/075 and I-007.</t>
  </si>
  <si>
    <t>backend/docs/fe-main-flow-guide.md; backend/plans/261006-2228-course-band-levels/plan.md; backend/plans/261006-2309-multi-skill-lessons/plan.md; assessment: project-review judgement, not measured incidence. | Assessment qualitative; owner and mitigation due date proposed.</t>
  </si>
  <si>
    <t>capstone-docs/rp_5.0_test_plan/Report 5.0_TestPlan_IELTSPath_v1.docx TP-LRN-06 / NFR-P02; backend/docs/fe-main-flow-guide.md; assessment: project-review judgement, not measured incidence. | Assessment qualitative; owner and mitigation due date proposed.</t>
  </si>
  <si>
    <t>capstone-docs/rp_5.0_test_plan/Report 5.0_TestPlan_IELTSPath_v1.docx TP-LRN-05 / NFR-REL01; assessment: project-review judgement, not measured incidence. | Assessment qualitative; owner and mitigation due date proposed.</t>
  </si>
  <si>
    <t>capstone-docs/rp_5.0_test_plan/Report 5.0_TestPlan_IELTSPath_v1.docx NFR-SEC01 / TP-LRN-02; assessment: project-review judgement, not measured incidence. | Assessment qualitative; owner and mitigation due date proposed.</t>
  </si>
  <si>
    <t>backend/docs/fe-main-flow-guide.md; capstone-docs/rp_5.0_test_plan/Report 5.0_TestPlan_IELTSPath_v1.docx Data constraints; assessment: project-review judgement, not measured incidence. | Assessment qualitative; owner and mitigation due date proposed.</t>
  </si>
  <si>
    <t>capstone-docs/rp_5.0_test_plan/Report 5.0_TestPlan_IELTSPath_v1.docx NFR-OPS01; backend/plans/261006-2228-course-band-levels/plan.md verification; assessment: project-review judgement, not measured incidence. | Assessment qualitative; owner and mitigation due date proposed.</t>
  </si>
  <si>
    <t>frontend/plans/reports/e2e-main-flow-261005-fresh/report.md; frontend/plans/reports/e2e-main-flow-261005/report.md; assessment: project-review judgement, not measured incidence. | Assessment qualitative; owner and mitigation due date proposed.</t>
  </si>
  <si>
    <t>Original Risks R-002 adapted to Phase 1; no actual absence recorded.; assessment: project-review judgement, not measured incidence. | Assessment qualitative; owner and mitigation due date proposed.</t>
  </si>
  <si>
    <t>capstone-docs/rp_5.0_test_plan/Report 5.0_TestPlan_IELTSPath_v1.docx NFR-P01/P02; SRS Part 6; assessment: project-review judgement, not measured incidence. | Assessment qualitative; owner and mitigation due date proposed.</t>
  </si>
  <si>
    <t>backend/docs/fe-main-flow-guide.md §6; assessment: project-review judgement, not measured incidence. | Assessment qualitative; owner and mitigation due date proposed.</t>
  </si>
  <si>
    <t>Last updated: 09/10/2026  |  Project: English Learning and IELTS Preparation Support System Based on Personalized Learning Pathways for IELTS Space  |  PM: LinhNDM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</si>
</sst>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164" formatCode="0&quot;%&quot;"/>
    <numFmt numFmtId="165" formatCode="dd/mm/yyyy"/>
    <numFmt numFmtId="166" formatCode="0.0"/>
  </numFmts>
  <fonts count="40" x14ac:knownFonts="1">
    <font>
      <sz val="11"/>
      <color theme="1"/>
      <name val="Calibri"/>
    </font>
    <font>
      <sz val="11"/>
      <color theme="1"/>
      <name val="Calibri"/>
    </font>
    <font>
      <sz val="10"/>
      <color rgb="FF000000"/>
      <name val="Arial"/>
    </font>
    <font>
      <sz val="10"/>
      <color rgb="FF000000"/>
      <name val="Arial"/>
    </font>
    <font>
      <sz val="11"/>
      <color theme="1"/>
      <name val="Calibri"/>
    </font>
    <font>
      <sz val="9"/>
      <color rgb="FF595959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b/>
      <sz val="14"/>
      <color rgb="FF1F3864"/>
      <name val="Arial"/>
    </font>
    <font>
      <b/>
      <sz val="10"/>
      <color rgb="FF7F6000"/>
      <name val="Arial"/>
    </font>
    <font>
      <i/>
      <sz val="10"/>
      <color rgb="FF000000"/>
      <name val="Arial"/>
    </font>
    <font>
      <sz val="10"/>
      <color rgb="FF7F6000"/>
      <name val="Arial"/>
    </font>
    <font>
      <b/>
      <sz val="10"/>
      <color rgb="FFC00000"/>
      <name val="Arial"/>
    </font>
    <font>
      <b/>
      <sz val="10"/>
      <color rgb="FF5C3292"/>
      <name val="Arial"/>
    </font>
    <font>
      <b/>
      <sz val="10"/>
      <color rgb="FF843C0C"/>
      <name val="Arial"/>
    </font>
    <font>
      <b/>
      <sz val="10"/>
      <color rgb="FF000000"/>
      <name val="Arial"/>
    </font>
    <font>
      <b/>
      <sz val="10"/>
      <color rgb="FF595959"/>
      <name val="Arial"/>
    </font>
    <font>
      <sz val="11"/>
      <color rgb="FF172B4D"/>
      <name val="Arial"/>
    </font>
    <font>
      <b/>
      <sz val="11"/>
      <color rgb="FFFFFFFF"/>
      <name val="Arial"/>
    </font>
    <font>
      <b/>
      <sz val="11"/>
      <color rgb="FF203864"/>
      <name val="Arial"/>
    </font>
    <font>
      <b/>
      <sz val="11"/>
      <color rgb="FFFFFFFF"/>
      <name val="Calibri"/>
    </font>
    <font>
      <b/>
      <sz val="11"/>
      <color theme="1"/>
      <name val="Calibri"/>
    </font>
    <font>
      <sz val="10"/>
      <color rgb="FF595959"/>
      <name val="Arial"/>
    </font>
    <font>
      <sz val="11"/>
      <color theme="1"/>
      <name val="Calibri"/>
    </font>
    <font>
      <sz val="10"/>
      <color rgb="FF000000"/>
      <name val="Arial"/>
    </font>
    <font>
      <b/>
      <sz val="10"/>
      <color rgb="FF7F6000"/>
      <name val="Arial"/>
    </font>
    <font>
      <sz val="10"/>
      <color rgb="FF7F6000"/>
      <name val="Arial"/>
    </font>
    <font>
      <b/>
      <sz val="10"/>
      <color rgb="FFC00000"/>
      <name val="Arial"/>
    </font>
    <font>
      <b/>
      <sz val="10"/>
      <color rgb="FF5C3292"/>
      <name val="Arial"/>
    </font>
    <font>
      <b/>
      <sz val="10"/>
      <color rgb="FF843C0C"/>
      <name val="Arial"/>
    </font>
    <font>
      <b/>
      <sz val="10"/>
      <color rgb="FF595959"/>
      <name val="Arial"/>
    </font>
    <font>
      <sz val="11"/>
      <color theme="1"/>
      <name val="Calibri"/>
      <family val="2"/>
      <scheme val="minor"/>
    </font>
    <font>
      <b/>
      <sz val="16"/>
      <color rgb="FF1F3864"/>
      <name val="Arial"/>
      <family val="2"/>
    </font>
    <font>
      <sz val="9"/>
      <color rgb="FF595959"/>
      <name val="Arial"/>
      <family val="2"/>
    </font>
    <font>
      <b/>
      <sz val="12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b/>
      <sz val="16"/>
      <color rgb="FFFFFFFF"/>
      <name val="Arial"/>
      <family val="2"/>
    </font>
  </fonts>
  <fills count="47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none"/>
    </fill>
    <fill>
      <patternFill patternType="none"/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7F6000"/>
      </patternFill>
    </fill>
    <fill>
      <patternFill patternType="solid">
        <fgColor rgb="FF1F3864"/>
      </patternFill>
    </fill>
    <fill>
      <patternFill patternType="solid">
        <fgColor rgb="FFC00000"/>
      </patternFill>
    </fill>
    <fill>
      <patternFill patternType="solid">
        <fgColor rgb="FF843C0C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1F6B75"/>
      </patternFill>
    </fill>
    <fill>
      <patternFill patternType="solid">
        <fgColor rgb="FFFCE4D6"/>
      </patternFill>
    </fill>
    <fill>
      <patternFill patternType="solid">
        <fgColor rgb="FF5C3292"/>
      </patternFill>
    </fill>
    <fill>
      <patternFill patternType="solid">
        <fgColor rgb="FFEBE2F5"/>
      </patternFill>
    </fill>
    <fill>
      <patternFill patternType="solid">
        <fgColor rgb="FF595959"/>
      </patternFill>
    </fill>
    <fill>
      <patternFill patternType="solid">
        <fgColor rgb="FFDDEBF1"/>
      </patternFill>
    </fill>
    <fill>
      <patternFill patternType="solid">
        <fgColor rgb="FFD8EFF1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BE2F5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none"/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7F6000"/>
      </patternFill>
    </fill>
    <fill>
      <patternFill patternType="solid">
        <fgColor rgb="FF1F3864"/>
      </patternFill>
    </fill>
    <fill>
      <patternFill patternType="solid">
        <fgColor rgb="FFC00000"/>
      </patternFill>
    </fill>
    <fill>
      <patternFill patternType="solid">
        <fgColor rgb="FF843C0C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B4C4D3"/>
      </left>
      <right style="thin">
        <color rgb="FFB4C4D3"/>
      </right>
      <top style="thin">
        <color rgb="FFB4C4D3"/>
      </top>
      <bottom style="thin">
        <color rgb="FFB4C4D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4C4D3"/>
      </left>
      <right style="thin">
        <color rgb="FFB4C4D3"/>
      </right>
      <top style="thin">
        <color rgb="FFB4C4D3"/>
      </top>
      <bottom style="thin">
        <color rgb="FFB4C4D3"/>
      </bottom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1" fillId="0" borderId="0"/>
    <xf numFmtId="0" fontId="0" fillId="15" borderId="3" xfId="0" applyNumberFormat="1" applyFont="1" applyFill="1" applyBorder="1" applyAlignment="1">
      <alignment horizontal="left" vertical="center" wrapText="1"/>
    </xf>
    <xf numFmtId="0" fontId="1" fillId="46" borderId="7" applyNumberFormat="0" applyFont="0" applyAlignment="0" applyProtection="0"/>
    <xf numFmtId="42" fontId="1" fillId="0" borderId="0" applyFont="0" applyFill="0" applyBorder="0" applyAlignment="0" applyProtection="0"/>
    <xf numFmtId="0" fontId="4" fillId="6" borderId="3" xfId="0" applyFont="1" applyFill="1" applyBorder="1" applyAlignment="1">
      <alignment wrapText="1"/>
    </xf>
    <xf numFmtId="0" fontId="5" fillId="6" borderId="3" xfId="0" applyFont="1" applyFill="1" applyBorder="1" applyAlignment="1">
      <alignment horizontal="left" vertical="center"/>
    </xf>
  </cellStyleXfs>
  <cellXfs count="123">
    <xf numFmtId="0" fontId="0" fillId="0" borderId="0" xfId="0"/>
    <xf numFmtId="0" fontId="0" fillId="37" borderId="4" xfId="6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wrapText="1"/>
    </xf>
    <xf numFmtId="0" fontId="19" fillId="33" borderId="3" xfId="0" applyFont="1" applyFill="1" applyBorder="1"/>
    <xf numFmtId="0" fontId="21" fillId="25" borderId="3" xfId="0" applyFont="1" applyFill="1" applyBorder="1"/>
    <xf numFmtId="0" fontId="5" fillId="6" borderId="3" xfId="0" applyFont="1" applyFill="1" applyBorder="1" applyAlignment="1">
      <alignment vertical="center"/>
    </xf>
    <xf numFmtId="0" fontId="6" fillId="8" borderId="3" xfId="0" applyFont="1" applyFill="1" applyBorder="1" applyAlignment="1">
      <alignment horizontal="left" vertical="center"/>
    </xf>
    <xf numFmtId="0" fontId="34" fillId="36" borderId="4" xfId="6" applyFont="1" applyFill="1" applyBorder="1" applyAlignment="1">
      <alignment horizontal="left" vertical="center"/>
    </xf>
    <xf numFmtId="0" fontId="32" fillId="36" borderId="4" xfId="6" applyFont="1" applyFill="1" applyBorder="1" applyAlignment="1"/>
    <xf numFmtId="0" fontId="33" fillId="36" borderId="4" xfId="6" applyFont="1" applyFill="1" applyBorder="1" applyAlignment="1">
      <alignment horizontal="left" vertical="center"/>
    </xf>
    <xf numFmtId="0" fontId="4" fillId="6" borderId="3" xfId="0" applyFont="1" applyFill="1" applyBorder="1"/>
    <xf numFmtId="0" fontId="9" fillId="6" borderId="3" xfId="0" applyFont="1" applyFill="1" applyBorder="1" applyAlignment="1">
      <alignment horizontal="left" vertical="center"/>
    </xf>
    <xf numFmtId="0" fontId="0" fillId="0" borderId="0" xfId="1" applyFont="1" applyAlignment="1">
      <alignment horizontal="left" vertical="top" wrapText="1"/>
    </xf>
    <xf numFmtId="0" fontId="25" fillId="28" borderId="2" xfId="5" applyFont="1" applyFill="1" applyBorder="1" applyAlignment="1">
      <alignment horizontal="center" vertical="center" wrapText="1"/>
    </xf>
    <xf numFmtId="0" fontId="25" fillId="28" borderId="2" xfId="5" applyFont="1" applyFill="1" applyBorder="1" applyAlignment="1">
      <alignment horizontal="left" vertical="center" wrapText="1"/>
    </xf>
    <xf numFmtId="0" fontId="25" fillId="27" borderId="2" xfId="5" applyFont="1" applyFill="1" applyBorder="1" applyAlignment="1">
      <alignment horizontal="center" vertical="center" wrapText="1"/>
    </xf>
    <xf numFmtId="0" fontId="26" fillId="30" borderId="2" xfId="5" applyFont="1" applyFill="1" applyBorder="1" applyAlignment="1">
      <alignment horizontal="center" vertical="center" wrapText="1"/>
    </xf>
    <xf numFmtId="0" fontId="27" fillId="30" borderId="2" xfId="5" applyFont="1" applyFill="1" applyBorder="1" applyAlignment="1">
      <alignment horizontal="center" vertical="center" wrapText="1"/>
    </xf>
    <xf numFmtId="0" fontId="24" fillId="28" borderId="2" xfId="5" applyFont="1" applyFill="1" applyBorder="1"/>
    <xf numFmtId="0" fontId="24" fillId="27" borderId="2" xfId="5" applyFont="1" applyFill="1" applyBorder="1" applyAlignment="1">
      <alignment horizontal="center" vertical="center" wrapText="1"/>
    </xf>
    <xf numFmtId="0" fontId="24" fillId="29" borderId="2" xfId="5" applyFont="1" applyFill="1" applyBorder="1"/>
    <xf numFmtId="0" fontId="25" fillId="30" borderId="2" xfId="5" applyFont="1" applyFill="1" applyBorder="1" applyAlignment="1">
      <alignment horizontal="center" vertical="center" wrapText="1"/>
    </xf>
    <xf numFmtId="0" fontId="28" fillId="31" borderId="2" xfId="5" applyFont="1" applyFill="1" applyBorder="1" applyAlignment="1">
      <alignment horizontal="center" vertical="center" wrapText="1"/>
    </xf>
    <xf numFmtId="0" fontId="25" fillId="31" borderId="2" xfId="5" applyFont="1" applyFill="1" applyBorder="1" applyAlignment="1">
      <alignment horizontal="center" vertical="center" wrapText="1"/>
    </xf>
    <xf numFmtId="0" fontId="25" fillId="31" borderId="2" xfId="5" applyFont="1" applyFill="1" applyBorder="1" applyAlignment="1">
      <alignment horizontal="left" vertical="center" wrapText="1"/>
    </xf>
    <xf numFmtId="0" fontId="29" fillId="32" borderId="2" xfId="5" applyFont="1" applyFill="1" applyBorder="1" applyAlignment="1">
      <alignment horizontal="center" vertical="center" wrapText="1"/>
    </xf>
    <xf numFmtId="0" fontId="25" fillId="32" borderId="2" xfId="5" applyFont="1" applyFill="1" applyBorder="1" applyAlignment="1">
      <alignment horizontal="center" vertical="center" wrapText="1"/>
    </xf>
    <xf numFmtId="0" fontId="25" fillId="32" borderId="2" xfId="5" applyFont="1" applyFill="1" applyBorder="1" applyAlignment="1">
      <alignment horizontal="left" vertical="center" wrapText="1"/>
    </xf>
    <xf numFmtId="0" fontId="30" fillId="31" borderId="2" xfId="5" applyFont="1" applyFill="1" applyBorder="1" applyAlignment="1">
      <alignment horizontal="center" vertical="center" wrapText="1"/>
    </xf>
    <xf numFmtId="0" fontId="31" fillId="27" borderId="2" xfId="5" applyFont="1" applyFill="1" applyBorder="1" applyAlignment="1">
      <alignment horizontal="center" vertical="center" wrapText="1"/>
    </xf>
    <xf numFmtId="0" fontId="25" fillId="27" borderId="2" xfId="5" applyFont="1" applyFill="1" applyBorder="1" applyAlignment="1">
      <alignment horizontal="left" vertical="center" wrapText="1"/>
    </xf>
    <xf numFmtId="0" fontId="4" fillId="6" borderId="3" xfId="4" applyBorder="1"/>
    <xf numFmtId="0" fontId="6" fillId="11" borderId="3" xfId="4" applyFont="1" applyFill="1" applyBorder="1" applyAlignment="1">
      <alignment horizontal="center" vertical="center" wrapText="1"/>
    </xf>
    <xf numFmtId="0" fontId="8" fillId="15" borderId="3" xfId="4" applyFont="1" applyFill="1" applyBorder="1" applyAlignment="1">
      <alignment horizontal="left" vertical="center" wrapText="1"/>
    </xf>
    <xf numFmtId="0" fontId="8" fillId="15" borderId="3" xfId="4" applyFont="1" applyFill="1" applyBorder="1" applyAlignment="1">
      <alignment horizontal="center" vertical="center" wrapText="1"/>
    </xf>
    <xf numFmtId="0" fontId="8" fillId="14" borderId="3" xfId="4" applyFont="1" applyFill="1" applyBorder="1" applyAlignment="1">
      <alignment horizontal="left" vertical="center" wrapText="1"/>
    </xf>
    <xf numFmtId="0" fontId="8" fillId="14" borderId="3" xfId="4" applyFont="1" applyFill="1" applyBorder="1" applyAlignment="1">
      <alignment horizontal="center" vertical="center" wrapText="1"/>
    </xf>
    <xf numFmtId="0" fontId="4" fillId="6" borderId="3" xfId="4" applyBorder="1" applyAlignment="1">
      <alignment horizontal="left" vertical="top" wrapText="1"/>
    </xf>
    <xf numFmtId="0" fontId="6" fillId="11" borderId="3" xfId="4" applyFont="1" applyFill="1" applyBorder="1" applyAlignment="1">
      <alignment horizontal="left" vertical="top" wrapText="1"/>
    </xf>
    <xf numFmtId="0" fontId="7" fillId="16" borderId="3" xfId="4" applyFont="1" applyFill="1" applyBorder="1" applyAlignment="1">
      <alignment horizontal="center" vertical="center" wrapText="1"/>
    </xf>
    <xf numFmtId="164" fontId="8" fillId="17" borderId="3" xfId="4" applyNumberFormat="1" applyFont="1" applyFill="1" applyBorder="1" applyAlignment="1">
      <alignment horizontal="center" vertical="center" wrapText="1"/>
    </xf>
    <xf numFmtId="0" fontId="8" fillId="7" borderId="3" xfId="4" applyFont="1" applyFill="1" applyBorder="1" applyAlignment="1">
      <alignment horizontal="center" vertical="center" wrapText="1"/>
    </xf>
    <xf numFmtId="0" fontId="8" fillId="15" borderId="3" xfId="4" applyFont="1" applyFill="1" applyBorder="1" applyAlignment="1">
      <alignment horizontal="left" vertical="top" wrapText="1"/>
    </xf>
    <xf numFmtId="0" fontId="8" fillId="14" borderId="3" xfId="4" applyFont="1" applyFill="1" applyBorder="1" applyAlignment="1">
      <alignment horizontal="left" vertical="top" wrapText="1"/>
    </xf>
    <xf numFmtId="0" fontId="9" fillId="6" borderId="3" xfId="4" applyFont="1" applyBorder="1" applyAlignment="1">
      <alignment vertical="center"/>
    </xf>
    <xf numFmtId="0" fontId="19" fillId="9" borderId="3" xfId="4" applyFont="1" applyFill="1" applyBorder="1" applyAlignment="1">
      <alignment horizontal="center" vertical="center" wrapText="1"/>
    </xf>
    <xf numFmtId="0" fontId="20" fillId="23" borderId="3" xfId="4" applyFont="1" applyFill="1" applyBorder="1" applyAlignment="1">
      <alignment horizontal="left" vertical="top" wrapText="1"/>
    </xf>
    <xf numFmtId="0" fontId="18" fillId="23" borderId="3" xfId="4" applyFont="1" applyFill="1" applyBorder="1" applyAlignment="1">
      <alignment horizontal="left" vertical="top" wrapText="1"/>
    </xf>
    <xf numFmtId="0" fontId="18" fillId="24" borderId="3" xfId="4" applyFont="1" applyFill="1" applyBorder="1" applyAlignment="1">
      <alignment horizontal="center" vertical="top" wrapText="1"/>
    </xf>
    <xf numFmtId="0" fontId="18" fillId="17" borderId="3" xfId="4" applyFont="1" applyFill="1" applyBorder="1" applyAlignment="1">
      <alignment horizontal="center" vertical="top" wrapText="1"/>
    </xf>
    <xf numFmtId="0" fontId="18" fillId="23" borderId="3" xfId="4" applyFont="1" applyFill="1" applyBorder="1" applyAlignment="1">
      <alignment horizontal="center" vertical="top" wrapText="1"/>
    </xf>
    <xf numFmtId="0" fontId="18" fillId="14" borderId="3" xfId="4" applyFont="1" applyFill="1" applyBorder="1" applyAlignment="1">
      <alignment horizontal="center" vertical="top" wrapText="1"/>
    </xf>
    <xf numFmtId="0" fontId="20" fillId="14" borderId="3" xfId="4" applyFont="1" applyFill="1" applyBorder="1" applyAlignment="1">
      <alignment horizontal="left" vertical="top" wrapText="1"/>
    </xf>
    <xf numFmtId="0" fontId="18" fillId="14" borderId="3" xfId="4" applyFont="1" applyFill="1" applyBorder="1" applyAlignment="1">
      <alignment horizontal="left" vertical="top" wrapText="1"/>
    </xf>
    <xf numFmtId="0" fontId="4" fillId="6" borderId="3" xfId="4" applyBorder="1" applyAlignment="1">
      <alignment vertical="center" wrapText="1"/>
    </xf>
    <xf numFmtId="0" fontId="22" fillId="26" borderId="3" xfId="4" applyFont="1" applyFill="1" applyBorder="1" applyAlignment="1">
      <alignment vertical="center" wrapText="1"/>
    </xf>
    <xf numFmtId="165" fontId="4" fillId="6" borderId="3" xfId="4" applyNumberFormat="1" applyBorder="1" applyAlignment="1">
      <alignment vertical="center" wrapText="1"/>
    </xf>
    <xf numFmtId="0" fontId="6" fillId="10" borderId="3" xfId="4" applyFont="1" applyFill="1" applyBorder="1" applyAlignment="1">
      <alignment horizontal="center" vertical="center" wrapText="1"/>
    </xf>
    <xf numFmtId="0" fontId="10" fillId="17" borderId="3" xfId="4" applyFont="1" applyFill="1" applyBorder="1" applyAlignment="1">
      <alignment horizontal="center" vertical="center" wrapText="1"/>
    </xf>
    <xf numFmtId="165" fontId="8" fillId="15" borderId="3" xfId="4" applyNumberFormat="1" applyFont="1" applyFill="1" applyBorder="1" applyAlignment="1">
      <alignment horizontal="center" vertical="center" wrapText="1"/>
    </xf>
    <xf numFmtId="0" fontId="11" fillId="15" borderId="3" xfId="4" applyFont="1" applyFill="1" applyBorder="1" applyAlignment="1">
      <alignment horizontal="left" vertical="center" wrapText="1"/>
    </xf>
    <xf numFmtId="0" fontId="12" fillId="17" borderId="3" xfId="4" applyFont="1" applyFill="1" applyBorder="1" applyAlignment="1">
      <alignment horizontal="center" vertical="center" wrapText="1"/>
    </xf>
    <xf numFmtId="165" fontId="4" fillId="14" borderId="3" xfId="4" applyNumberFormat="1" applyFill="1" applyBorder="1" applyAlignment="1">
      <alignment vertical="center" wrapText="1"/>
    </xf>
    <xf numFmtId="0" fontId="4" fillId="14" borderId="3" xfId="4" applyFill="1" applyBorder="1" applyAlignment="1">
      <alignment vertical="center" wrapText="1"/>
    </xf>
    <xf numFmtId="0" fontId="4" fillId="7" borderId="3" xfId="4" applyFill="1" applyBorder="1" applyAlignment="1">
      <alignment horizontal="center" vertical="center" wrapText="1"/>
    </xf>
    <xf numFmtId="165" fontId="4" fillId="15" borderId="3" xfId="4" applyNumberFormat="1" applyFill="1" applyBorder="1" applyAlignment="1">
      <alignment vertical="center" wrapText="1"/>
    </xf>
    <xf numFmtId="0" fontId="4" fillId="15" borderId="3" xfId="4" applyFill="1" applyBorder="1" applyAlignment="1">
      <alignment vertical="center" wrapText="1"/>
    </xf>
    <xf numFmtId="0" fontId="6" fillId="18" borderId="3" xfId="4" applyFont="1" applyFill="1" applyBorder="1" applyAlignment="1">
      <alignment horizontal="center" vertical="center" wrapText="1"/>
    </xf>
    <xf numFmtId="0" fontId="16" fillId="34" borderId="3" xfId="4" applyFont="1" applyFill="1" applyBorder="1" applyAlignment="1">
      <alignment wrapText="1"/>
    </xf>
    <xf numFmtId="0" fontId="8" fillId="6" borderId="3" xfId="4" applyFont="1" applyBorder="1" applyAlignment="1">
      <alignment wrapText="1"/>
    </xf>
    <xf numFmtId="166" fontId="8" fillId="6" borderId="3" xfId="4" applyNumberFormat="1" applyFont="1" applyBorder="1" applyAlignment="1">
      <alignment wrapText="1"/>
    </xf>
    <xf numFmtId="0" fontId="16" fillId="35" borderId="3" xfId="4" applyFont="1" applyFill="1" applyBorder="1" applyAlignment="1">
      <alignment wrapText="1"/>
    </xf>
    <xf numFmtId="166" fontId="16" fillId="35" borderId="3" xfId="4" applyNumberFormat="1" applyFont="1" applyFill="1" applyBorder="1" applyAlignment="1">
      <alignment wrapText="1"/>
    </xf>
    <xf numFmtId="0" fontId="6" fillId="12" borderId="3" xfId="4" applyFont="1" applyFill="1" applyBorder="1" applyAlignment="1">
      <alignment horizontal="center" vertical="center" wrapText="1"/>
    </xf>
    <xf numFmtId="0" fontId="13" fillId="19" borderId="3" xfId="4" applyFont="1" applyFill="1" applyBorder="1" applyAlignment="1">
      <alignment horizontal="center" vertical="center" wrapText="1"/>
    </xf>
    <xf numFmtId="165" fontId="8" fillId="19" borderId="3" xfId="4" applyNumberFormat="1" applyFont="1" applyFill="1" applyBorder="1" applyAlignment="1">
      <alignment horizontal="center" vertical="center" wrapText="1"/>
    </xf>
    <xf numFmtId="0" fontId="11" fillId="19" borderId="3" xfId="4" applyFont="1" applyFill="1" applyBorder="1" applyAlignment="1">
      <alignment horizontal="left" vertical="center" wrapText="1"/>
    </xf>
    <xf numFmtId="0" fontId="8" fillId="19" borderId="3" xfId="4" applyFont="1" applyFill="1" applyBorder="1" applyAlignment="1">
      <alignment horizontal="center" vertical="center" wrapText="1"/>
    </xf>
    <xf numFmtId="0" fontId="8" fillId="17" borderId="3" xfId="4" applyFont="1" applyFill="1" applyBorder="1" applyAlignment="1">
      <alignment horizontal="center" vertical="center" wrapText="1"/>
    </xf>
    <xf numFmtId="0" fontId="8" fillId="19" borderId="3" xfId="4" applyFont="1" applyFill="1" applyBorder="1" applyAlignment="1">
      <alignment horizontal="left" vertical="center" wrapText="1"/>
    </xf>
    <xf numFmtId="165" fontId="8" fillId="14" borderId="3" xfId="4" applyNumberFormat="1" applyFont="1" applyFill="1" applyBorder="1" applyAlignment="1">
      <alignment horizontal="center" vertical="center" wrapText="1"/>
    </xf>
    <xf numFmtId="0" fontId="6" fillId="20" borderId="3" xfId="4" applyFont="1" applyFill="1" applyBorder="1" applyAlignment="1">
      <alignment horizontal="center" vertical="center" wrapText="1"/>
    </xf>
    <xf numFmtId="0" fontId="14" fillId="21" borderId="3" xfId="4" applyFont="1" applyFill="1" applyBorder="1" applyAlignment="1">
      <alignment horizontal="center" vertical="center" wrapText="1"/>
    </xf>
    <xf numFmtId="165" fontId="8" fillId="21" borderId="3" xfId="4" applyNumberFormat="1" applyFont="1" applyFill="1" applyBorder="1" applyAlignment="1">
      <alignment horizontal="center" vertical="center" wrapText="1"/>
    </xf>
    <xf numFmtId="0" fontId="11" fillId="21" borderId="3" xfId="4" applyFont="1" applyFill="1" applyBorder="1" applyAlignment="1">
      <alignment horizontal="left" vertical="center" wrapText="1"/>
    </xf>
    <xf numFmtId="0" fontId="8" fillId="21" borderId="3" xfId="4" applyFont="1" applyFill="1" applyBorder="1" applyAlignment="1">
      <alignment horizontal="center" vertical="center" wrapText="1"/>
    </xf>
    <xf numFmtId="0" fontId="8" fillId="21" borderId="3" xfId="4" applyFont="1" applyFill="1" applyBorder="1" applyAlignment="1">
      <alignment horizontal="left" vertical="center" wrapText="1"/>
    </xf>
    <xf numFmtId="0" fontId="6" fillId="13" borderId="3" xfId="4" applyFont="1" applyFill="1" applyBorder="1" applyAlignment="1">
      <alignment horizontal="center" vertical="center" wrapText="1"/>
    </xf>
    <xf numFmtId="0" fontId="15" fillId="19" borderId="3" xfId="4" applyFont="1" applyFill="1" applyBorder="1" applyAlignment="1">
      <alignment horizontal="center" vertical="center" wrapText="1"/>
    </xf>
    <xf numFmtId="0" fontId="13" fillId="14" borderId="3" xfId="4" applyFont="1" applyFill="1" applyBorder="1" applyAlignment="1">
      <alignment horizontal="center" vertical="center" wrapText="1"/>
    </xf>
    <xf numFmtId="0" fontId="16" fillId="14" borderId="3" xfId="4" applyFont="1" applyFill="1" applyBorder="1" applyAlignment="1">
      <alignment horizontal="center" vertical="center" wrapText="1"/>
    </xf>
    <xf numFmtId="0" fontId="6" fillId="22" borderId="3" xfId="4" applyFont="1" applyFill="1" applyBorder="1" applyAlignment="1">
      <alignment horizontal="center" vertical="center" wrapText="1"/>
    </xf>
    <xf numFmtId="0" fontId="17" fillId="7" borderId="3" xfId="4" applyFont="1" applyFill="1" applyBorder="1" applyAlignment="1">
      <alignment horizontal="center" vertical="center" wrapText="1"/>
    </xf>
    <xf numFmtId="165" fontId="8" fillId="7" borderId="3" xfId="4" applyNumberFormat="1" applyFont="1" applyFill="1" applyBorder="1" applyAlignment="1">
      <alignment horizontal="center" vertical="center" wrapText="1"/>
    </xf>
    <xf numFmtId="0" fontId="11" fillId="7" borderId="3" xfId="4" applyFont="1" applyFill="1" applyBorder="1" applyAlignment="1">
      <alignment horizontal="left" vertical="center" wrapText="1"/>
    </xf>
    <xf numFmtId="0" fontId="8" fillId="7" borderId="3" xfId="4" applyFont="1" applyFill="1" applyBorder="1" applyAlignment="1">
      <alignment horizontal="left" vertical="center" wrapText="1"/>
    </xf>
    <xf numFmtId="166" fontId="8" fillId="7" borderId="3" xfId="4" applyNumberFormat="1" applyFont="1" applyFill="1" applyBorder="1" applyAlignment="1">
      <alignment horizontal="center" vertical="center" wrapText="1"/>
    </xf>
    <xf numFmtId="166" fontId="8" fillId="14" borderId="3" xfId="4" applyNumberFormat="1" applyFont="1" applyFill="1" applyBorder="1" applyAlignment="1">
      <alignment horizontal="center" vertical="center" wrapText="1"/>
    </xf>
    <xf numFmtId="0" fontId="3" fillId="5" borderId="3" xfId="3" applyFont="1" applyBorder="1" applyAlignment="1">
      <alignment vertical="center" wrapText="1"/>
    </xf>
    <xf numFmtId="165" fontId="3" fillId="5" borderId="3" xfId="3" applyNumberFormat="1" applyFont="1" applyBorder="1" applyAlignment="1">
      <alignment vertical="center" wrapText="1"/>
    </xf>
    <xf numFmtId="166" fontId="3" fillId="5" borderId="3" xfId="3" applyNumberFormat="1" applyFont="1" applyBorder="1" applyAlignment="1">
      <alignment vertical="center" wrapText="1"/>
    </xf>
    <xf numFmtId="0" fontId="2" fillId="2" borderId="1" xfId="2" applyFont="1" applyBorder="1" applyAlignment="1">
      <alignment wrapText="1"/>
    </xf>
    <xf numFmtId="165" fontId="2" fillId="3" borderId="1" xfId="2" applyNumberFormat="1" applyFont="1" applyFill="1" applyBorder="1" applyAlignment="1">
      <alignment horizontal="center" vertical="center" wrapText="1"/>
    </xf>
    <xf numFmtId="165" fontId="2" fillId="4" borderId="1" xfId="2" applyNumberFormat="1" applyFont="1" applyFill="1" applyBorder="1" applyAlignment="1">
      <alignment horizontal="center" vertical="center" wrapText="1"/>
    </xf>
    <xf numFmtId="0" fontId="32" fillId="36" borderId="4" xfId="6"/>
    <xf numFmtId="0" fontId="34" fillId="37" borderId="4" xfId="6" applyFont="1" applyFill="1" applyAlignment="1">
      <alignment horizontal="center" vertical="center" wrapText="1"/>
    </xf>
    <xf numFmtId="0" fontId="35" fillId="36" borderId="4" xfId="6" applyFont="1"/>
    <xf numFmtId="0" fontId="36" fillId="38" borderId="5" xfId="6" applyFont="1" applyFill="1" applyBorder="1" applyAlignment="1">
      <alignment horizontal="center" vertical="center" wrapText="1"/>
    </xf>
    <xf numFmtId="0" fontId="37" fillId="44" borderId="6" xfId="6" applyFont="1" applyFill="1" applyBorder="1" applyAlignment="1">
      <alignment horizontal="left" vertical="center" wrapText="1"/>
    </xf>
    <xf numFmtId="0" fontId="38" fillId="44" borderId="6" xfId="6" applyFont="1" applyFill="1" applyBorder="1" applyAlignment="1">
      <alignment horizontal="center" vertical="center" wrapText="1"/>
    </xf>
    <xf numFmtId="164" fontId="38" fillId="44" borderId="6" xfId="6" applyNumberFormat="1" applyFont="1" applyFill="1" applyBorder="1" applyAlignment="1">
      <alignment horizontal="center" vertical="center" wrapText="1"/>
    </xf>
    <xf numFmtId="0" fontId="37" fillId="45" borderId="6" xfId="6" applyFont="1" applyFill="1" applyBorder="1" applyAlignment="1">
      <alignment horizontal="left" vertical="center" wrapText="1"/>
    </xf>
    <xf numFmtId="0" fontId="38" fillId="45" borderId="6" xfId="6" applyFont="1" applyFill="1" applyBorder="1" applyAlignment="1">
      <alignment horizontal="center" vertical="center" wrapText="1"/>
    </xf>
    <xf numFmtId="164" fontId="38" fillId="45" borderId="6" xfId="6" applyNumberFormat="1" applyFont="1" applyFill="1" applyBorder="1" applyAlignment="1">
      <alignment horizontal="center" vertical="center" wrapText="1"/>
    </xf>
    <xf numFmtId="0" fontId="36" fillId="41" borderId="5" xfId="6" applyFont="1" applyFill="1" applyBorder="1" applyAlignment="1">
      <alignment horizontal="center" vertical="center" wrapText="1"/>
    </xf>
    <xf numFmtId="0" fontId="38" fillId="45" borderId="6" xfId="6" applyFont="1" applyFill="1" applyBorder="1" applyAlignment="1">
      <alignment horizontal="left" vertical="center" wrapText="1"/>
    </xf>
    <xf numFmtId="0" fontId="38" fillId="44" borderId="6" xfId="6" applyFont="1" applyFill="1" applyBorder="1" applyAlignment="1">
      <alignment horizontal="left" vertical="center" wrapText="1"/>
    </xf>
    <xf numFmtId="0" fontId="39" fillId="42" borderId="4" xfId="6" applyFont="1" applyFill="1" applyAlignment="1">
      <alignment horizontal="center" vertical="center"/>
    </xf>
    <xf numFmtId="0" fontId="39" fillId="40" borderId="4" xfId="6" applyFont="1" applyFill="1" applyAlignment="1">
      <alignment horizontal="center" vertical="center"/>
    </xf>
    <xf numFmtId="0" fontId="39" fillId="43" borderId="4" xfId="6" applyFont="1" applyFill="1" applyAlignment="1">
      <alignment horizontal="center" vertical="center"/>
    </xf>
    <xf numFmtId="0" fontId="39" fillId="38" borderId="4" xfId="6" applyFont="1" applyFill="1" applyAlignment="1">
      <alignment horizontal="center" vertical="center"/>
    </xf>
    <xf numFmtId="0" fontId="39" fillId="39" borderId="4" xfId="6" applyFont="1" applyFill="1" applyAlignment="1">
      <alignment horizontal="center" vertical="center"/>
    </xf>
    <xf numFmtId="0" fontId="39" fillId="41" borderId="4" xfId="6" applyFont="1" applyFill="1" applyAlignment="1">
      <alignment horizontal="center" vertical="center"/>
    </xf>
  </cellXfs>
  <cellStyles count="4">
    <cellStyle name="Bình thường" xfId="1" xr:uid="{00000000-0005-0000-0000-000000000000}"/>
    <cellStyle name="Currency [0]" xfId="4" builtinId="7"/>
    <cellStyle name="Normal" xfId="0" builtinId="0"/>
    <cellStyle name="Note" xfId="3" builtinId="10"/>
  </cellStyles>
  <dxfs count="114">
    <dxf>
      <fill>
        <patternFill>
          <bgColor rgb="FFD6EEF0"/>
        </patternFill>
      </fill>
    </dxf>
    <dxf>
      <fill>
        <patternFill>
          <bgColor rgb="FFFCE4D6"/>
        </patternFill>
      </fill>
    </dxf>
    <dxf>
      <fill>
        <patternFill>
          <bgColor rgb="FFF2F2F2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D6EEF0"/>
        </patternFill>
      </fill>
    </dxf>
    <dxf>
      <fill>
        <patternFill>
          <bgColor rgb="FFFCE4D6"/>
        </patternFill>
      </fill>
    </dxf>
    <dxf>
      <fill>
        <patternFill>
          <bgColor rgb="FFF2F2F2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  <dxf>
      <fill>
        <patternFill>
          <bgColor rgb="FFD6EEF0"/>
        </patternFill>
      </fill>
    </dxf>
    <dxf>
      <fill>
        <patternFill>
          <bgColor rgb="FFFCE4D6"/>
        </patternFill>
      </fill>
    </dxf>
    <dxf>
      <fill>
        <patternFill>
          <bgColor rgb="FFF2F2F2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 patternType="solid">
          <bgColor rgb="FFFFF2CC"/>
        </patternFill>
      </fill>
    </dxf>
    <dxf>
      <fill>
        <patternFill>
          <bgColor rgb="FFD6EEF0"/>
        </patternFill>
      </fill>
    </dxf>
    <dxf>
      <fill>
        <patternFill>
          <bgColor rgb="FFFCE4D6"/>
        </patternFill>
      </fill>
    </dxf>
    <dxf>
      <fill>
        <patternFill>
          <bgColor rgb="FFF2F2F2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D6EEF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D6EEF0"/>
        </patternFill>
      </fill>
    </dxf>
    <dxf>
      <fill>
        <patternFill>
          <bgColor rgb="FFFCE4D6"/>
        </patternFill>
      </fill>
    </dxf>
    <dxf>
      <fill>
        <patternFill>
          <bgColor rgb="FFF2F2F2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D6EEF0"/>
        </patternFill>
      </fill>
    </dxf>
    <dxf>
      <fill>
        <patternFill>
          <bgColor rgb="FFFCE4D6"/>
        </patternFill>
      </fill>
    </dxf>
    <dxf>
      <fill>
        <patternFill>
          <bgColor rgb="FFF2F2F2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 patternType="solid">
          <fgColor rgb="FFD6EEF0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H27"/>
  <sheetViews>
    <sheetView showGridLines="0" tabSelected="1" topLeftCell="A14" zoomScale="160" zoomScaleNormal="160" workbookViewId="0">
      <selection activeCell="D18" sqref="D18"/>
    </sheetView>
  </sheetViews>
  <sheetFormatPr defaultRowHeight="15" x14ac:dyDescent="0.25"/>
  <cols>
    <col min="1" max="1" width="2" customWidth="1"/>
    <col min="2" max="2" width="22" customWidth="1"/>
    <col min="3" max="3" width="40.28515625" customWidth="1"/>
    <col min="4" max="4" width="22" customWidth="1"/>
    <col min="5" max="7" width="14" customWidth="1"/>
    <col min="8" max="8" width="22" customWidth="1"/>
    <col min="9" max="9" width="2" customWidth="1"/>
  </cols>
  <sheetData>
    <row r="1" spans="2:8" ht="20.25" x14ac:dyDescent="0.25">
      <c r="B1" s="9" t="s">
        <v>749</v>
      </c>
      <c r="C1" s="8"/>
      <c r="D1" s="8"/>
      <c r="E1" s="8"/>
      <c r="F1" s="8"/>
      <c r="G1" s="8"/>
      <c r="H1" s="8"/>
    </row>
    <row r="2" spans="2:8" x14ac:dyDescent="0.25">
      <c r="B2" s="7" t="s">
        <v>677</v>
      </c>
      <c r="C2" s="8"/>
      <c r="D2" s="8"/>
      <c r="E2" s="8"/>
      <c r="F2" s="8"/>
      <c r="G2" s="8"/>
      <c r="H2" s="8"/>
    </row>
    <row r="4" spans="2:8" x14ac:dyDescent="0.25">
      <c r="B4" s="105" t="s">
        <v>678</v>
      </c>
      <c r="C4" s="105" t="s">
        <v>679</v>
      </c>
      <c r="D4" s="105" t="s">
        <v>680</v>
      </c>
      <c r="E4" s="105" t="s">
        <v>681</v>
      </c>
      <c r="F4" s="105" t="s">
        <v>682</v>
      </c>
      <c r="G4" s="105" t="s">
        <v>683</v>
      </c>
      <c r="H4" s="104"/>
    </row>
    <row r="5" spans="2:8" ht="20.25" x14ac:dyDescent="0.25">
      <c r="B5" s="120">
        <f>COUNTA(Scope!$B$5:$B$44)</f>
        <v>32</v>
      </c>
      <c r="C5" s="121">
        <f>COUNTIF(Scope!$G$5:$G$44,"Done")+COUNTIF(Scope!$G$5:$G$44,"Completed")+COUNTIF(Scope!$G$5:$G$44,"Closed")</f>
        <v>8</v>
      </c>
      <c r="D5" s="118">
        <f>COUNTIF(Scope!$G$5:$G$44,"In Progress")</f>
        <v>0</v>
      </c>
      <c r="E5" s="122">
        <f>COUNTIF(Scope!$G$5:$G$44,"Not Started")</f>
        <v>24</v>
      </c>
      <c r="F5" s="117">
        <f>COUNTIF(Issues!$K$5:$K$13,"Open")</f>
        <v>9</v>
      </c>
      <c r="G5" s="117">
        <f>COUNTIF(Defects!$N$5:$N$12,"Pending")+COUNTIF(Defects!$N$5:$N$12,"Open")</f>
        <v>3</v>
      </c>
      <c r="H5" s="104"/>
    </row>
    <row r="7" spans="2:8" ht="24" x14ac:dyDescent="0.25">
      <c r="B7" s="105" t="s">
        <v>682</v>
      </c>
      <c r="C7" s="105" t="s">
        <v>683</v>
      </c>
      <c r="D7" s="105" t="s">
        <v>684</v>
      </c>
      <c r="E7" s="105" t="s">
        <v>685</v>
      </c>
      <c r="F7" s="104"/>
      <c r="G7" s="104"/>
      <c r="H7" s="104"/>
    </row>
    <row r="8" spans="2:8" ht="20.25" x14ac:dyDescent="0.25">
      <c r="B8" s="117">
        <f>F5</f>
        <v>9</v>
      </c>
      <c r="C8" s="117">
        <f>G5</f>
        <v>3</v>
      </c>
      <c r="D8" s="118">
        <f>COUNTIF('Q&amp;A'!$K$5:$K$19,"Open")</f>
        <v>8</v>
      </c>
      <c r="E8" s="119">
        <f>COUNTIF(Risks!$F$5:$F$15,"&gt;=4")</f>
        <v>10</v>
      </c>
      <c r="F8" s="104"/>
      <c r="G8" s="104"/>
      <c r="H8" s="104"/>
    </row>
    <row r="11" spans="2:8" ht="15.75" x14ac:dyDescent="0.25">
      <c r="B11" s="106" t="s">
        <v>686</v>
      </c>
      <c r="C11" s="104"/>
      <c r="D11" s="104"/>
      <c r="E11" s="104"/>
      <c r="F11" s="104"/>
      <c r="G11" s="104"/>
      <c r="H11" s="104"/>
    </row>
    <row r="12" spans="2:8" x14ac:dyDescent="0.25">
      <c r="B12" s="114" t="s">
        <v>687</v>
      </c>
      <c r="C12" s="114" t="s">
        <v>688</v>
      </c>
      <c r="D12" s="114" t="s">
        <v>689</v>
      </c>
      <c r="E12" s="114" t="s">
        <v>690</v>
      </c>
      <c r="F12" s="114" t="s">
        <v>691</v>
      </c>
      <c r="G12" s="104"/>
      <c r="H12" s="104"/>
    </row>
    <row r="13" spans="2:8" x14ac:dyDescent="0.25">
      <c r="B13" s="111" t="s">
        <v>692</v>
      </c>
      <c r="C13" s="115" t="s">
        <v>693</v>
      </c>
      <c r="D13" s="112" t="s">
        <v>694</v>
      </c>
      <c r="E13" s="115" t="str">
        <f>IF(Scope!C6="","",Scope!C6)</f>
        <v>PhuPD</v>
      </c>
      <c r="F13" s="112" t="str">
        <f>IF(COUNTIF(Scope!$G$6:$G$6,"Done")+COUNTIF(Scope!$G$6:$G$6,"Completed")=COUNTA(Scope!$B$6:$B$6),"Done",IF(COUNTIF(Scope!$G$6:$G$6,"Blocked")&gt;0,"Blocked",IF(COUNTIF(Scope!$G$6:$G$6,"Not Started")=COUNTA(Scope!$B$6:$B$6),"Not Started","In Progress")))</f>
        <v>Done</v>
      </c>
      <c r="G13" s="104"/>
      <c r="H13" s="104"/>
    </row>
    <row r="14" spans="2:8" x14ac:dyDescent="0.25">
      <c r="B14" s="108" t="s">
        <v>695</v>
      </c>
      <c r="C14" s="116" t="s">
        <v>696</v>
      </c>
      <c r="D14" s="109" t="s">
        <v>697</v>
      </c>
      <c r="E14" s="116" t="str">
        <f>IF(Scope!C9="","",Scope!C9)</f>
        <v>All team</v>
      </c>
      <c r="F14" s="109" t="str">
        <f>IF(COUNTIF(Scope!$G$8:$G$10,"Done")+COUNTIF(Scope!$G$8:$G$10,"Completed")=COUNTA(Scope!$B$8:$B$10),"Done",IF(COUNTIF(Scope!$G$8:$G$10,"Blocked")&gt;0,"Blocked",IF(COUNTIF(Scope!$G$8:$G$10,"Not Started")=COUNTA(Scope!$B$8:$B$10),"Not Started","In Progress")))</f>
        <v>Done</v>
      </c>
      <c r="G14" s="104"/>
      <c r="H14" s="104"/>
    </row>
    <row r="15" spans="2:8" x14ac:dyDescent="0.25">
      <c r="B15" s="111" t="s">
        <v>698</v>
      </c>
      <c r="C15" s="115" t="s">
        <v>699</v>
      </c>
      <c r="D15" s="112" t="s">
        <v>700</v>
      </c>
      <c r="E15" s="115" t="str">
        <f>IF(Scope!C13="","",Scope!C13)</f>
        <v>All team</v>
      </c>
      <c r="F15" s="112" t="str">
        <f>IF(COUNTIF(Scope!$G$12:$G$15,"Done")+COUNTIF(Scope!$G$12:$G$15,"Completed")=COUNTA(Scope!$B$12:$B$15),"Done",IF(COUNTIF(Scope!$G$12:$G$15,"Blocked")&gt;0,"Blocked",IF(COUNTIF(Scope!$G$12:$G$15,"Not Started")=COUNTA(Scope!$B$12:$B$15),"Not Started","In Progress")))</f>
        <v>Done</v>
      </c>
      <c r="G15" s="104"/>
      <c r="H15" s="104"/>
    </row>
    <row r="16" spans="2:8" x14ac:dyDescent="0.25">
      <c r="B16" s="108" t="s">
        <v>701</v>
      </c>
      <c r="C16" s="116" t="s">
        <v>702</v>
      </c>
      <c r="D16" s="109" t="s">
        <v>703</v>
      </c>
      <c r="E16" s="116" t="str">
        <f>IF(Scope!C17="","",Scope!C17)</f>
        <v/>
      </c>
      <c r="F16" s="109" t="str">
        <f>IF(COUNTIF(Scope!$G$17:$G$36,"Done")+COUNTIF(Scope!$G$17:$G$36,"Completed")=COUNTA(Scope!$B$17:$B$36),"Done",IF(COUNTIF(Scope!$G$17:$G$36,"Blocked")&gt;0,"Blocked",IF(COUNTIF(Scope!$G$17:$G$36,"Not Started")=COUNTA(Scope!$B$17:$B$36),"Not Started","In Progress")))</f>
        <v>Not Started</v>
      </c>
      <c r="G16" s="104"/>
      <c r="H16" s="104"/>
    </row>
    <row r="17" spans="2:8" x14ac:dyDescent="0.25">
      <c r="B17" s="111" t="s">
        <v>704</v>
      </c>
      <c r="C17" s="115" t="s">
        <v>705</v>
      </c>
      <c r="D17" s="112" t="s">
        <v>706</v>
      </c>
      <c r="E17" s="115" t="str">
        <f>IF(Scope!C38="","",Scope!C38)</f>
        <v/>
      </c>
      <c r="F17" s="112" t="str">
        <f>IF(COUNTIF(Scope!$G$38:$G$41,"Done")+COUNTIF(Scope!$G$38:$G$41,"Completed")=COUNTA(Scope!$B$38:$B$41),"Done",IF(COUNTIF(Scope!$G$38:$G$41,"Blocked")&gt;0,"Blocked",IF(COUNTIF(Scope!$G$38:$G$41,"Not Started")=COUNTA(Scope!$B$38:$B$41),"Not Started","In Progress")))</f>
        <v>Not Started</v>
      </c>
      <c r="G17" s="104"/>
      <c r="H17" s="104"/>
    </row>
    <row r="18" spans="2:8" x14ac:dyDescent="0.25">
      <c r="B18" s="108" t="s">
        <v>707</v>
      </c>
      <c r="C18" s="116" t="s">
        <v>708</v>
      </c>
      <c r="D18" s="109" t="s">
        <v>709</v>
      </c>
      <c r="E18" s="116" t="str">
        <f>IF(Scope!C43="","",Scope!C43)</f>
        <v/>
      </c>
      <c r="F18" s="109" t="str">
        <f>IF(COUNTIF(Scope!$G$43:$G$44,"Done")+COUNTIF(Scope!$G$43:$G$44,"Completed")=COUNTA(Scope!$B$43:$B$44),"Done",IF(COUNTIF(Scope!$G$43:$G$44,"Blocked")&gt;0,"Blocked",IF(COUNTIF(Scope!$G$43:$G$44,"Not Started")=COUNTA(Scope!$B$43:$B$44),"Not Started","In Progress")))</f>
        <v>Not Started</v>
      </c>
      <c r="G18" s="104"/>
      <c r="H18" s="104"/>
    </row>
    <row r="20" spans="2:8" ht="15.75" x14ac:dyDescent="0.25">
      <c r="B20" s="106" t="s">
        <v>710</v>
      </c>
      <c r="C20" s="104"/>
      <c r="D20" s="104"/>
      <c r="E20" s="104"/>
      <c r="F20" s="104"/>
      <c r="G20" s="104"/>
      <c r="H20" s="104"/>
    </row>
    <row r="21" spans="2:8" x14ac:dyDescent="0.25">
      <c r="B21" s="107" t="s">
        <v>711</v>
      </c>
      <c r="C21" s="107" t="s">
        <v>712</v>
      </c>
      <c r="D21" s="107" t="s">
        <v>713</v>
      </c>
      <c r="E21" s="107" t="s">
        <v>714</v>
      </c>
      <c r="F21" s="107" t="s">
        <v>680</v>
      </c>
      <c r="G21" s="107" t="s">
        <v>715</v>
      </c>
      <c r="H21" s="104"/>
    </row>
    <row r="22" spans="2:8" x14ac:dyDescent="0.25">
      <c r="B22" s="108" t="s">
        <v>716</v>
      </c>
      <c r="C22" s="109">
        <f>COUNTIF(WBS!$H$5:$H$86,B22)</f>
        <v>39</v>
      </c>
      <c r="D22" s="109">
        <f>SUMIF(WBS!$H$5:$H$86,B22,WBS!$G$5:$G$86)</f>
        <v>224</v>
      </c>
      <c r="E22" s="109">
        <f>COUNTIFS(WBS!$H$5:$H$86,B22,WBS!$K$5:$K$86,"Done")</f>
        <v>22</v>
      </c>
      <c r="F22" s="109">
        <f>COUNTIFS(WBS!$H$5:$H$86,B22,WBS!$K$5:$K$86,"In Progress")</f>
        <v>17</v>
      </c>
      <c r="G22" s="110">
        <f>IF(C22=0,"n.a.",E22/C22*100)</f>
        <v>56.410256410256409</v>
      </c>
      <c r="H22" s="104"/>
    </row>
    <row r="23" spans="2:8" x14ac:dyDescent="0.25">
      <c r="B23" s="111" t="s">
        <v>717</v>
      </c>
      <c r="C23" s="112">
        <f>COUNTIF(WBS!$H$5:$H$86,B23)</f>
        <v>18</v>
      </c>
      <c r="D23" s="112">
        <f>SUMIF(WBS!$H$5:$H$86,B23,WBS!$G$5:$G$86)</f>
        <v>94</v>
      </c>
      <c r="E23" s="112">
        <f>COUNTIFS(WBS!$H$5:$H$86,B23,WBS!$K$5:$K$86,"Done")</f>
        <v>0</v>
      </c>
      <c r="F23" s="112">
        <f>COUNTIFS(WBS!$H$5:$H$86,B23,WBS!$K$5:$K$86,"In Progress")</f>
        <v>7</v>
      </c>
      <c r="G23" s="113">
        <f>IF(C23=0,"n.a.",E23/C23*100)</f>
        <v>0</v>
      </c>
      <c r="H23" s="104"/>
    </row>
    <row r="24" spans="2:8" x14ac:dyDescent="0.25">
      <c r="B24" s="108" t="s">
        <v>718</v>
      </c>
      <c r="C24" s="109">
        <f>COUNTIF(WBS!$H$5:$H$86,B24)</f>
        <v>25</v>
      </c>
      <c r="D24" s="109">
        <f>SUMIF(WBS!$H$5:$H$86,B24,WBS!$G$5:$G$86)</f>
        <v>133</v>
      </c>
      <c r="E24" s="109">
        <f>COUNTIFS(WBS!$H$5:$H$86,B24,WBS!$K$5:$K$86,"Done")</f>
        <v>0</v>
      </c>
      <c r="F24" s="109">
        <f>COUNTIFS(WBS!$H$5:$H$86,B24,WBS!$K$5:$K$86,"In Progress")</f>
        <v>0</v>
      </c>
      <c r="G24" s="110">
        <f>IF(C24=0,"n.a.",E24/C24*100)</f>
        <v>0</v>
      </c>
      <c r="H24" s="104"/>
    </row>
    <row r="27" spans="2:8" x14ac:dyDescent="0.25">
      <c r="B27" s="1" t="s">
        <v>1210</v>
      </c>
      <c r="C27" s="8"/>
      <c r="D27" s="8"/>
      <c r="E27" s="8"/>
      <c r="F27" s="8"/>
      <c r="G27" s="8"/>
      <c r="H27" s="8"/>
    </row>
  </sheetData>
  <mergeCells count="3">
    <mergeCell ref="B1:H1"/>
    <mergeCell ref="B2:H2"/>
    <mergeCell ref="B27:H27"/>
  </mergeCells>
  <conditionalFormatting sqref="F13:F25">
    <cfRule type="cellIs" dxfId="113" priority="1" operator="equal">
      <formula>"Done"</formula>
    </cfRule>
    <cfRule type="cellIs" dxfId="112" priority="2" operator="equal">
      <formula>"Completed"</formula>
    </cfRule>
    <cfRule type="cellIs" dxfId="111" priority="3" operator="equal">
      <formula>"Closed"</formula>
    </cfRule>
    <cfRule type="cellIs" dxfId="110" priority="4" operator="equal">
      <formula>"Fixed"</formula>
    </cfRule>
    <cfRule type="cellIs" dxfId="109" priority="5" operator="equal">
      <formula>"Approved"</formula>
    </cfRule>
    <cfRule type="cellIs" dxfId="108" priority="6" operator="equal">
      <formula>"In Progress"</formula>
    </cfRule>
    <cfRule type="cellIs" dxfId="107" priority="7" operator="equal">
      <formula>"Open"</formula>
    </cfRule>
    <cfRule type="cellIs" dxfId="106" priority="8" operator="equal">
      <formula>"Pending"</formula>
    </cfRule>
    <cfRule type="cellIs" dxfId="105" priority="9" operator="equal">
      <formula>"Blocked"</formula>
    </cfRule>
    <cfRule type="cellIs" dxfId="104" priority="10" operator="equal">
      <formula>"Cancelled"</formula>
    </cfRule>
    <cfRule type="cellIs" dxfId="103" priority="11" operator="equal">
      <formula>"Rejected"</formula>
    </cfRule>
    <cfRule type="cellIs" dxfId="102" priority="12" operator="equal">
      <formula>"Submitted"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K44"/>
  <sheetViews>
    <sheetView showGridLines="0" workbookViewId="0">
      <pane ySplit="4" topLeftCell="A15" activePane="bottomLeft" state="frozen"/>
      <selection pane="bottomLeft" activeCell="C12" sqref="C12"/>
    </sheetView>
  </sheetViews>
  <sheetFormatPr defaultRowHeight="15" x14ac:dyDescent="0.25"/>
  <cols>
    <col min="1" max="1" width="7" customWidth="1"/>
    <col min="2" max="2" width="40" customWidth="1"/>
    <col min="3" max="3" width="27.42578125" customWidth="1"/>
    <col min="4" max="4" width="16" customWidth="1"/>
    <col min="5" max="5" width="10" customWidth="1"/>
    <col min="6" max="6" width="12" customWidth="1"/>
    <col min="7" max="7" width="14" customWidth="1"/>
    <col min="8" max="8" width="16" customWidth="1"/>
    <col min="9" max="9" width="11.7109375" customWidth="1"/>
    <col min="10" max="10" width="16" customWidth="1"/>
    <col min="11" max="11" width="83.140625" style="12" customWidth="1"/>
  </cols>
  <sheetData>
    <row r="1" spans="1:11" ht="28.15" customHeight="1" x14ac:dyDescent="0.25">
      <c r="A1" s="11" t="s">
        <v>17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6.149999999999999" customHeight="1" x14ac:dyDescent="0.25">
      <c r="A2" s="6" t="s">
        <v>18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6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7"/>
    </row>
    <row r="4" spans="1:11" ht="26.1" customHeight="1" x14ac:dyDescent="0.25">
      <c r="A4" s="32" t="s">
        <v>19</v>
      </c>
      <c r="B4" s="32" t="s">
        <v>20</v>
      </c>
      <c r="C4" s="32" t="s">
        <v>3</v>
      </c>
      <c r="D4" s="32" t="s">
        <v>21</v>
      </c>
      <c r="E4" s="32" t="s">
        <v>2</v>
      </c>
      <c r="F4" s="32" t="s">
        <v>13</v>
      </c>
      <c r="G4" s="32" t="s">
        <v>4</v>
      </c>
      <c r="H4" s="32" t="s">
        <v>22</v>
      </c>
      <c r="I4" s="32" t="s">
        <v>23</v>
      </c>
      <c r="J4" s="32" t="s">
        <v>24</v>
      </c>
      <c r="K4" s="38" t="s">
        <v>25</v>
      </c>
    </row>
    <row r="5" spans="1:11" ht="20.100000000000001" customHeight="1" x14ac:dyDescent="0.25">
      <c r="A5" s="6" t="s">
        <v>26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34.5" customHeight="1" x14ac:dyDescent="0.25">
      <c r="A6" s="39" t="s">
        <v>27</v>
      </c>
      <c r="B6" s="33" t="s">
        <v>28</v>
      </c>
      <c r="C6" s="33" t="s">
        <v>29</v>
      </c>
      <c r="D6" s="34">
        <v>2</v>
      </c>
      <c r="E6" s="34" t="s">
        <v>5</v>
      </c>
      <c r="F6" s="40">
        <f>IFERROR(H6/D6*100,"")</f>
        <v>100</v>
      </c>
      <c r="G6" s="41" t="s">
        <v>12</v>
      </c>
      <c r="H6" s="41">
        <v>2</v>
      </c>
      <c r="I6" s="33"/>
      <c r="J6" s="33" t="s">
        <v>750</v>
      </c>
      <c r="K6" s="42"/>
    </row>
    <row r="7" spans="1:11" ht="20.100000000000001" customHeight="1" x14ac:dyDescent="0.25">
      <c r="A7" s="6" t="s">
        <v>30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22.15" customHeight="1" x14ac:dyDescent="0.25">
      <c r="A8" s="39" t="s">
        <v>31</v>
      </c>
      <c r="B8" s="33" t="s">
        <v>32</v>
      </c>
      <c r="C8" s="33" t="s">
        <v>33</v>
      </c>
      <c r="D8" s="34">
        <v>3</v>
      </c>
      <c r="E8" s="34" t="s">
        <v>34</v>
      </c>
      <c r="F8" s="40">
        <f>IFERROR(H8/D8*100,"")</f>
        <v>100</v>
      </c>
      <c r="G8" s="41" t="s">
        <v>12</v>
      </c>
      <c r="H8" s="41">
        <v>3</v>
      </c>
      <c r="I8" s="33" t="s">
        <v>35</v>
      </c>
      <c r="J8" s="33" t="s">
        <v>750</v>
      </c>
      <c r="K8" s="42" t="s">
        <v>36</v>
      </c>
    </row>
    <row r="9" spans="1:11" ht="22.15" customHeight="1" x14ac:dyDescent="0.25">
      <c r="A9" s="39" t="s">
        <v>37</v>
      </c>
      <c r="B9" s="33" t="s">
        <v>38</v>
      </c>
      <c r="C9" s="33" t="s">
        <v>39</v>
      </c>
      <c r="D9" s="34">
        <v>4</v>
      </c>
      <c r="E9" s="34" t="s">
        <v>6</v>
      </c>
      <c r="F9" s="40">
        <f>IFERROR(H9/D9*100,"")</f>
        <v>100</v>
      </c>
      <c r="G9" s="41" t="s">
        <v>12</v>
      </c>
      <c r="H9" s="41">
        <v>4</v>
      </c>
      <c r="I9" s="33" t="s">
        <v>27</v>
      </c>
      <c r="J9" s="2" t="s">
        <v>750</v>
      </c>
      <c r="K9" s="42" t="s">
        <v>40</v>
      </c>
    </row>
    <row r="10" spans="1:11" ht="22.15" customHeight="1" x14ac:dyDescent="0.25">
      <c r="A10" s="39" t="s">
        <v>41</v>
      </c>
      <c r="B10" s="35" t="s">
        <v>42</v>
      </c>
      <c r="C10" s="35" t="s">
        <v>43</v>
      </c>
      <c r="D10" s="36">
        <v>5</v>
      </c>
      <c r="E10" s="36" t="s">
        <v>6</v>
      </c>
      <c r="F10" s="40">
        <f>IFERROR(H10/D10*100,"")</f>
        <v>100</v>
      </c>
      <c r="G10" s="41" t="s">
        <v>12</v>
      </c>
      <c r="H10" s="41">
        <v>5</v>
      </c>
      <c r="I10" s="33" t="s">
        <v>31</v>
      </c>
      <c r="J10" s="33" t="s">
        <v>750</v>
      </c>
      <c r="K10" s="42" t="s">
        <v>44</v>
      </c>
    </row>
    <row r="11" spans="1:11" ht="20.100000000000001" customHeight="1" x14ac:dyDescent="0.25">
      <c r="A11" s="6" t="s">
        <v>45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2.15" customHeight="1" x14ac:dyDescent="0.25">
      <c r="A12" s="39" t="s">
        <v>46</v>
      </c>
      <c r="B12" s="33" t="s">
        <v>47</v>
      </c>
      <c r="C12" s="33" t="s">
        <v>43</v>
      </c>
      <c r="D12" s="34">
        <v>4</v>
      </c>
      <c r="E12" s="34" t="s">
        <v>48</v>
      </c>
      <c r="F12" s="40">
        <f>IFERROR(H12/D12*100,"")</f>
        <v>100</v>
      </c>
      <c r="G12" s="41" t="s">
        <v>12</v>
      </c>
      <c r="H12" s="41">
        <v>4</v>
      </c>
      <c r="I12" s="33" t="s">
        <v>37</v>
      </c>
      <c r="J12" s="33" t="s">
        <v>750</v>
      </c>
      <c r="K12" s="42" t="s">
        <v>49</v>
      </c>
    </row>
    <row r="13" spans="1:11" ht="22.15" customHeight="1" x14ac:dyDescent="0.25">
      <c r="A13" s="39" t="s">
        <v>50</v>
      </c>
      <c r="B13" s="35" t="s">
        <v>51</v>
      </c>
      <c r="C13" s="33" t="s">
        <v>39</v>
      </c>
      <c r="D13" s="36">
        <v>4</v>
      </c>
      <c r="E13" s="36" t="s">
        <v>48</v>
      </c>
      <c r="F13" s="40">
        <f>IFERROR(H13/D13*100,"")</f>
        <v>100</v>
      </c>
      <c r="G13" s="41" t="s">
        <v>12</v>
      </c>
      <c r="H13" s="41">
        <v>4</v>
      </c>
      <c r="I13" s="35" t="s">
        <v>52</v>
      </c>
      <c r="J13" s="33" t="s">
        <v>750</v>
      </c>
      <c r="K13" s="43" t="s">
        <v>53</v>
      </c>
    </row>
    <row r="14" spans="1:11" ht="22.15" customHeight="1" x14ac:dyDescent="0.25">
      <c r="A14" s="39" t="s">
        <v>54</v>
      </c>
      <c r="B14" s="35" t="s">
        <v>55</v>
      </c>
      <c r="C14" s="33" t="s">
        <v>33</v>
      </c>
      <c r="D14" s="36">
        <v>5</v>
      </c>
      <c r="E14" s="36" t="s">
        <v>7</v>
      </c>
      <c r="F14" s="40">
        <f>IFERROR(H14/D14*100,"")</f>
        <v>100</v>
      </c>
      <c r="G14" s="41" t="s">
        <v>12</v>
      </c>
      <c r="H14" s="41">
        <v>5</v>
      </c>
      <c r="I14" s="35" t="s">
        <v>56</v>
      </c>
      <c r="J14" s="33" t="s">
        <v>750</v>
      </c>
      <c r="K14" s="43" t="s">
        <v>57</v>
      </c>
    </row>
    <row r="15" spans="1:11" ht="22.15" customHeight="1" x14ac:dyDescent="0.25">
      <c r="A15" s="39" t="s">
        <v>58</v>
      </c>
      <c r="B15" s="33" t="s">
        <v>59</v>
      </c>
      <c r="C15" s="33" t="s">
        <v>29</v>
      </c>
      <c r="D15" s="34">
        <v>3</v>
      </c>
      <c r="E15" s="34" t="s">
        <v>7</v>
      </c>
      <c r="F15" s="40">
        <f>IFERROR(H15/D15*100,"")</f>
        <v>100</v>
      </c>
      <c r="G15" s="41" t="s">
        <v>12</v>
      </c>
      <c r="H15" s="41">
        <v>3</v>
      </c>
      <c r="I15" s="33" t="s">
        <v>52</v>
      </c>
      <c r="J15" s="33" t="s">
        <v>750</v>
      </c>
      <c r="K15" s="42" t="s">
        <v>60</v>
      </c>
    </row>
    <row r="16" spans="1:11" ht="20.100000000000001" customHeight="1" x14ac:dyDescent="0.25">
      <c r="A16" s="6" t="s">
        <v>61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22.15" customHeight="1" x14ac:dyDescent="0.25">
      <c r="A17" s="39" t="s">
        <v>62</v>
      </c>
      <c r="B17" s="33" t="s">
        <v>63</v>
      </c>
      <c r="C17" s="33"/>
      <c r="D17" s="34"/>
      <c r="E17" s="34" t="s">
        <v>64</v>
      </c>
      <c r="F17" s="40" t="str">
        <f t="shared" ref="F17:F22" si="0">IFERROR(H17/D17*100,"")</f>
        <v/>
      </c>
      <c r="G17" s="41" t="s">
        <v>1</v>
      </c>
      <c r="H17" s="41"/>
      <c r="I17" s="33"/>
      <c r="J17" s="33"/>
      <c r="K17" s="42"/>
    </row>
    <row r="18" spans="1:11" ht="22.15" customHeight="1" x14ac:dyDescent="0.25">
      <c r="A18" s="39" t="s">
        <v>65</v>
      </c>
      <c r="B18" s="35" t="s">
        <v>66</v>
      </c>
      <c r="C18" s="35"/>
      <c r="D18" s="36"/>
      <c r="E18" s="36" t="s">
        <v>64</v>
      </c>
      <c r="F18" s="40" t="str">
        <f t="shared" si="0"/>
        <v/>
      </c>
      <c r="G18" s="41" t="s">
        <v>1</v>
      </c>
      <c r="H18" s="41"/>
      <c r="I18" s="35"/>
      <c r="J18" s="35"/>
      <c r="K18" s="43"/>
    </row>
    <row r="19" spans="1:11" ht="22.15" customHeight="1" x14ac:dyDescent="0.25">
      <c r="A19" s="39" t="s">
        <v>67</v>
      </c>
      <c r="B19" s="33" t="s">
        <v>68</v>
      </c>
      <c r="C19" s="33"/>
      <c r="D19" s="34"/>
      <c r="E19" s="34" t="s">
        <v>64</v>
      </c>
      <c r="F19" s="40" t="str">
        <f t="shared" si="0"/>
        <v/>
      </c>
      <c r="G19" s="41" t="s">
        <v>1</v>
      </c>
      <c r="H19" s="41"/>
      <c r="I19" s="33"/>
      <c r="J19" s="33"/>
      <c r="K19" s="42"/>
    </row>
    <row r="20" spans="1:11" ht="22.15" customHeight="1" x14ac:dyDescent="0.25">
      <c r="A20" s="39" t="s">
        <v>69</v>
      </c>
      <c r="B20" s="35" t="s">
        <v>70</v>
      </c>
      <c r="C20" s="35"/>
      <c r="D20" s="36"/>
      <c r="E20" s="36" t="s">
        <v>71</v>
      </c>
      <c r="F20" s="40" t="str">
        <f t="shared" si="0"/>
        <v/>
      </c>
      <c r="G20" s="41" t="s">
        <v>1</v>
      </c>
      <c r="H20" s="41"/>
      <c r="I20" s="35"/>
      <c r="J20" s="35"/>
      <c r="K20" s="43"/>
    </row>
    <row r="21" spans="1:11" ht="22.15" customHeight="1" x14ac:dyDescent="0.25">
      <c r="A21" s="39" t="s">
        <v>72</v>
      </c>
      <c r="B21" s="33" t="s">
        <v>73</v>
      </c>
      <c r="C21" s="33"/>
      <c r="D21" s="34"/>
      <c r="E21" s="34" t="s">
        <v>71</v>
      </c>
      <c r="F21" s="40" t="str">
        <f t="shared" si="0"/>
        <v/>
      </c>
      <c r="G21" s="41" t="s">
        <v>1</v>
      </c>
      <c r="H21" s="41"/>
      <c r="I21" s="33"/>
      <c r="J21" s="33"/>
      <c r="K21" s="42"/>
    </row>
    <row r="22" spans="1:11" ht="22.15" customHeight="1" x14ac:dyDescent="0.25">
      <c r="A22" s="39" t="s">
        <v>74</v>
      </c>
      <c r="B22" s="35" t="s">
        <v>75</v>
      </c>
      <c r="C22" s="35"/>
      <c r="D22" s="36"/>
      <c r="E22" s="36" t="s">
        <v>71</v>
      </c>
      <c r="F22" s="40" t="str">
        <f t="shared" si="0"/>
        <v/>
      </c>
      <c r="G22" s="41" t="s">
        <v>1</v>
      </c>
      <c r="H22" s="41"/>
      <c r="I22" s="35"/>
      <c r="J22" s="35"/>
      <c r="K22" s="43"/>
    </row>
    <row r="23" spans="1:11" ht="20.100000000000001" customHeight="1" x14ac:dyDescent="0.25">
      <c r="A23" s="6" t="s">
        <v>76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22.15" customHeight="1" x14ac:dyDescent="0.25">
      <c r="A24" s="39" t="s">
        <v>77</v>
      </c>
      <c r="B24" s="33" t="s">
        <v>78</v>
      </c>
      <c r="C24" s="33"/>
      <c r="D24" s="34"/>
      <c r="E24" s="34" t="s">
        <v>79</v>
      </c>
      <c r="F24" s="40" t="str">
        <f t="shared" ref="F24:F29" si="1">IFERROR(H24/D24*100,"")</f>
        <v/>
      </c>
      <c r="G24" s="41" t="s">
        <v>1</v>
      </c>
      <c r="H24" s="41"/>
      <c r="I24" s="33"/>
      <c r="J24" s="33"/>
      <c r="K24" s="42"/>
    </row>
    <row r="25" spans="1:11" ht="22.15" customHeight="1" x14ac:dyDescent="0.25">
      <c r="A25" s="39" t="s">
        <v>80</v>
      </c>
      <c r="B25" s="35" t="s">
        <v>81</v>
      </c>
      <c r="C25" s="35"/>
      <c r="D25" s="36"/>
      <c r="E25" s="36" t="s">
        <v>79</v>
      </c>
      <c r="F25" s="40" t="str">
        <f t="shared" si="1"/>
        <v/>
      </c>
      <c r="G25" s="41" t="s">
        <v>1</v>
      </c>
      <c r="H25" s="41"/>
      <c r="I25" s="35"/>
      <c r="J25" s="35"/>
      <c r="K25" s="43"/>
    </row>
    <row r="26" spans="1:11" ht="22.15" customHeight="1" x14ac:dyDescent="0.25">
      <c r="A26" s="39" t="s">
        <v>82</v>
      </c>
      <c r="B26" s="33" t="s">
        <v>83</v>
      </c>
      <c r="C26" s="33"/>
      <c r="D26" s="34"/>
      <c r="E26" s="34" t="s">
        <v>79</v>
      </c>
      <c r="F26" s="40" t="str">
        <f t="shared" si="1"/>
        <v/>
      </c>
      <c r="G26" s="41" t="s">
        <v>1</v>
      </c>
      <c r="H26" s="41"/>
      <c r="I26" s="33"/>
      <c r="J26" s="33"/>
      <c r="K26" s="42"/>
    </row>
    <row r="27" spans="1:11" ht="22.15" customHeight="1" x14ac:dyDescent="0.25">
      <c r="A27" s="39" t="s">
        <v>84</v>
      </c>
      <c r="B27" s="35" t="s">
        <v>85</v>
      </c>
      <c r="C27" s="35"/>
      <c r="D27" s="36"/>
      <c r="E27" s="36" t="s">
        <v>86</v>
      </c>
      <c r="F27" s="40" t="str">
        <f t="shared" si="1"/>
        <v/>
      </c>
      <c r="G27" s="41" t="s">
        <v>1</v>
      </c>
      <c r="H27" s="41"/>
      <c r="I27" s="35"/>
      <c r="J27" s="35"/>
      <c r="K27" s="43"/>
    </row>
    <row r="28" spans="1:11" ht="22.15" customHeight="1" x14ac:dyDescent="0.25">
      <c r="A28" s="39" t="s">
        <v>87</v>
      </c>
      <c r="B28" s="33" t="s">
        <v>88</v>
      </c>
      <c r="C28" s="33"/>
      <c r="D28" s="34"/>
      <c r="E28" s="34" t="s">
        <v>86</v>
      </c>
      <c r="F28" s="40" t="str">
        <f t="shared" si="1"/>
        <v/>
      </c>
      <c r="G28" s="41" t="s">
        <v>1</v>
      </c>
      <c r="H28" s="41"/>
      <c r="I28" s="33"/>
      <c r="J28" s="33"/>
      <c r="K28" s="42"/>
    </row>
    <row r="29" spans="1:11" ht="22.15" customHeight="1" x14ac:dyDescent="0.25">
      <c r="A29" s="39" t="s">
        <v>89</v>
      </c>
      <c r="B29" s="35" t="s">
        <v>90</v>
      </c>
      <c r="C29" s="35"/>
      <c r="D29" s="36"/>
      <c r="E29" s="36" t="s">
        <v>86</v>
      </c>
      <c r="F29" s="40" t="str">
        <f t="shared" si="1"/>
        <v/>
      </c>
      <c r="G29" s="41" t="s">
        <v>1</v>
      </c>
      <c r="H29" s="41"/>
      <c r="I29" s="35"/>
      <c r="J29" s="35"/>
      <c r="K29" s="43"/>
    </row>
    <row r="30" spans="1:11" ht="20.100000000000001" customHeight="1" x14ac:dyDescent="0.25">
      <c r="A30" s="6" t="s">
        <v>91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22.15" customHeight="1" x14ac:dyDescent="0.25">
      <c r="A31" s="39" t="s">
        <v>92</v>
      </c>
      <c r="B31" s="33" t="s">
        <v>93</v>
      </c>
      <c r="C31" s="33"/>
      <c r="D31" s="34"/>
      <c r="E31" s="34" t="s">
        <v>94</v>
      </c>
      <c r="F31" s="40" t="str">
        <f t="shared" ref="F31:F36" si="2">IFERROR(H31/D31*100,"")</f>
        <v/>
      </c>
      <c r="G31" s="41" t="s">
        <v>1</v>
      </c>
      <c r="H31" s="41"/>
      <c r="I31" s="33"/>
      <c r="J31" s="33"/>
      <c r="K31" s="42"/>
    </row>
    <row r="32" spans="1:11" ht="22.15" customHeight="1" x14ac:dyDescent="0.25">
      <c r="A32" s="39" t="s">
        <v>95</v>
      </c>
      <c r="B32" s="35" t="s">
        <v>96</v>
      </c>
      <c r="C32" s="35"/>
      <c r="D32" s="36"/>
      <c r="E32" s="36" t="s">
        <v>94</v>
      </c>
      <c r="F32" s="40" t="str">
        <f t="shared" si="2"/>
        <v/>
      </c>
      <c r="G32" s="41" t="s">
        <v>1</v>
      </c>
      <c r="H32" s="41"/>
      <c r="I32" s="35"/>
      <c r="J32" s="35"/>
      <c r="K32" s="43"/>
    </row>
    <row r="33" spans="1:11" ht="22.15" customHeight="1" x14ac:dyDescent="0.25">
      <c r="A33" s="39" t="s">
        <v>97</v>
      </c>
      <c r="B33" s="33" t="s">
        <v>98</v>
      </c>
      <c r="C33" s="33"/>
      <c r="D33" s="34"/>
      <c r="E33" s="34" t="s">
        <v>94</v>
      </c>
      <c r="F33" s="40" t="str">
        <f t="shared" si="2"/>
        <v/>
      </c>
      <c r="G33" s="41" t="s">
        <v>1</v>
      </c>
      <c r="H33" s="41"/>
      <c r="I33" s="33"/>
      <c r="J33" s="33"/>
      <c r="K33" s="42"/>
    </row>
    <row r="34" spans="1:11" ht="22.15" customHeight="1" x14ac:dyDescent="0.25">
      <c r="A34" s="39" t="s">
        <v>99</v>
      </c>
      <c r="B34" s="35" t="s">
        <v>100</v>
      </c>
      <c r="C34" s="35"/>
      <c r="D34" s="36"/>
      <c r="E34" s="36" t="s">
        <v>8</v>
      </c>
      <c r="F34" s="40" t="str">
        <f t="shared" si="2"/>
        <v/>
      </c>
      <c r="G34" s="41" t="s">
        <v>1</v>
      </c>
      <c r="H34" s="41"/>
      <c r="I34" s="35"/>
      <c r="J34" s="35"/>
      <c r="K34" s="43"/>
    </row>
    <row r="35" spans="1:11" ht="22.15" customHeight="1" x14ac:dyDescent="0.25">
      <c r="A35" s="39" t="s">
        <v>101</v>
      </c>
      <c r="B35" s="33" t="s">
        <v>102</v>
      </c>
      <c r="C35" s="33"/>
      <c r="D35" s="34"/>
      <c r="E35" s="34" t="s">
        <v>8</v>
      </c>
      <c r="F35" s="40" t="str">
        <f t="shared" si="2"/>
        <v/>
      </c>
      <c r="G35" s="41" t="s">
        <v>1</v>
      </c>
      <c r="H35" s="41"/>
      <c r="I35" s="33"/>
      <c r="J35" s="33"/>
      <c r="K35" s="42"/>
    </row>
    <row r="36" spans="1:11" ht="22.15" customHeight="1" x14ac:dyDescent="0.25">
      <c r="A36" s="39" t="s">
        <v>103</v>
      </c>
      <c r="B36" s="35" t="s">
        <v>104</v>
      </c>
      <c r="C36" s="35"/>
      <c r="D36" s="36"/>
      <c r="E36" s="36" t="s">
        <v>8</v>
      </c>
      <c r="F36" s="40" t="str">
        <f t="shared" si="2"/>
        <v/>
      </c>
      <c r="G36" s="41" t="s">
        <v>1</v>
      </c>
      <c r="H36" s="41"/>
      <c r="I36" s="35"/>
      <c r="J36" s="35"/>
      <c r="K36" s="43"/>
    </row>
    <row r="37" spans="1:11" ht="20.100000000000001" customHeight="1" x14ac:dyDescent="0.25">
      <c r="A37" s="6" t="s">
        <v>105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22.15" customHeight="1" x14ac:dyDescent="0.25">
      <c r="A38" s="39" t="s">
        <v>106</v>
      </c>
      <c r="B38" s="33" t="s">
        <v>107</v>
      </c>
      <c r="C38" s="33"/>
      <c r="D38" s="34"/>
      <c r="E38" s="34" t="s">
        <v>108</v>
      </c>
      <c r="F38" s="40" t="str">
        <f>IFERROR(H38/D38*100,"")</f>
        <v/>
      </c>
      <c r="G38" s="41" t="s">
        <v>1</v>
      </c>
      <c r="H38" s="41"/>
      <c r="I38" s="33"/>
      <c r="J38" s="33"/>
      <c r="K38" s="42"/>
    </row>
    <row r="39" spans="1:11" ht="22.15" customHeight="1" x14ac:dyDescent="0.25">
      <c r="A39" s="39" t="s">
        <v>109</v>
      </c>
      <c r="B39" s="35" t="s">
        <v>110</v>
      </c>
      <c r="C39" s="35"/>
      <c r="D39" s="36"/>
      <c r="E39" s="36" t="s">
        <v>108</v>
      </c>
      <c r="F39" s="40" t="str">
        <f>IFERROR(H39/D39*100,"")</f>
        <v/>
      </c>
      <c r="G39" s="41" t="s">
        <v>1</v>
      </c>
      <c r="H39" s="41"/>
      <c r="I39" s="35"/>
      <c r="J39" s="35"/>
      <c r="K39" s="43"/>
    </row>
    <row r="40" spans="1:11" ht="22.15" customHeight="1" x14ac:dyDescent="0.25">
      <c r="A40" s="39" t="s">
        <v>111</v>
      </c>
      <c r="B40" s="33" t="s">
        <v>112</v>
      </c>
      <c r="C40" s="33"/>
      <c r="D40" s="34"/>
      <c r="E40" s="34" t="s">
        <v>9</v>
      </c>
      <c r="F40" s="40" t="str">
        <f>IFERROR(H40/D40*100,"")</f>
        <v/>
      </c>
      <c r="G40" s="41" t="s">
        <v>1</v>
      </c>
      <c r="H40" s="41"/>
      <c r="I40" s="33"/>
      <c r="J40" s="33"/>
      <c r="K40" s="42"/>
    </row>
    <row r="41" spans="1:11" ht="22.15" customHeight="1" x14ac:dyDescent="0.25">
      <c r="A41" s="39" t="s">
        <v>113</v>
      </c>
      <c r="B41" s="35" t="s">
        <v>114</v>
      </c>
      <c r="C41" s="35"/>
      <c r="D41" s="36"/>
      <c r="E41" s="36" t="s">
        <v>9</v>
      </c>
      <c r="F41" s="40" t="str">
        <f>IFERROR(H41/D41*100,"")</f>
        <v/>
      </c>
      <c r="G41" s="41" t="s">
        <v>1</v>
      </c>
      <c r="H41" s="41"/>
      <c r="I41" s="35"/>
      <c r="J41" s="35"/>
      <c r="K41" s="43"/>
    </row>
    <row r="42" spans="1:11" ht="20.100000000000001" customHeight="1" x14ac:dyDescent="0.25">
      <c r="A42" s="6" t="s">
        <v>115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22.15" customHeight="1" x14ac:dyDescent="0.25">
      <c r="A43" s="39" t="s">
        <v>116</v>
      </c>
      <c r="B43" s="33" t="s">
        <v>117</v>
      </c>
      <c r="C43" s="33"/>
      <c r="D43" s="34"/>
      <c r="E43" s="34" t="s">
        <v>10</v>
      </c>
      <c r="F43" s="40" t="str">
        <f>IFERROR(H43/D43*100,"")</f>
        <v/>
      </c>
      <c r="G43" s="41" t="s">
        <v>1</v>
      </c>
      <c r="H43" s="41"/>
      <c r="I43" s="33"/>
      <c r="J43" s="33"/>
      <c r="K43" s="42"/>
    </row>
    <row r="44" spans="1:11" ht="22.15" customHeight="1" x14ac:dyDescent="0.25">
      <c r="A44" s="39" t="s">
        <v>118</v>
      </c>
      <c r="B44" s="35" t="s">
        <v>119</v>
      </c>
      <c r="C44" s="35"/>
      <c r="D44" s="36"/>
      <c r="E44" s="36" t="s">
        <v>10</v>
      </c>
      <c r="F44" s="40" t="str">
        <f>IFERROR(H44/D44*100,"")</f>
        <v/>
      </c>
      <c r="G44" s="41" t="s">
        <v>1</v>
      </c>
      <c r="H44" s="41"/>
      <c r="I44" s="35"/>
      <c r="J44" s="35"/>
      <c r="K44" s="43"/>
    </row>
  </sheetData>
  <mergeCells count="10">
    <mergeCell ref="A42:K42"/>
    <mergeCell ref="A5:K5"/>
    <mergeCell ref="A1:K1"/>
    <mergeCell ref="A23:K23"/>
    <mergeCell ref="A37:K37"/>
    <mergeCell ref="A30:K30"/>
    <mergeCell ref="A7:K7"/>
    <mergeCell ref="A2:K2"/>
    <mergeCell ref="A11:K11"/>
    <mergeCell ref="A16:K16"/>
  </mergeCells>
  <conditionalFormatting sqref="G5:G45">
    <cfRule type="cellIs" dxfId="101" priority="1" operator="equal">
      <formula>"Done"</formula>
    </cfRule>
    <cfRule type="cellIs" dxfId="100" priority="2" operator="equal">
      <formula>"Completed"</formula>
    </cfRule>
    <cfRule type="cellIs" dxfId="99" priority="3" operator="equal">
      <formula>"Closed"</formula>
    </cfRule>
    <cfRule type="cellIs" dxfId="98" priority="4" operator="equal">
      <formula>"Fixed"</formula>
    </cfRule>
    <cfRule type="cellIs" dxfId="97" priority="5" operator="equal">
      <formula>"Approved"</formula>
    </cfRule>
    <cfRule type="cellIs" dxfId="96" priority="6" operator="equal">
      <formula>"In Progress"</formula>
    </cfRule>
    <cfRule type="cellIs" dxfId="95" priority="7" operator="equal">
      <formula>"Open"</formula>
    </cfRule>
    <cfRule type="cellIs" dxfId="94" priority="8" operator="equal">
      <formula>"Pending"</formula>
    </cfRule>
    <cfRule type="cellIs" dxfId="93" priority="9" operator="equal">
      <formula>"Blocked"</formula>
    </cfRule>
    <cfRule type="cellIs" dxfId="92" priority="10" operator="equal">
      <formula>"Cancelled"</formula>
    </cfRule>
    <cfRule type="cellIs" dxfId="91" priority="11" operator="equal">
      <formula>"Rejected"</formula>
    </cfRule>
    <cfRule type="cellIs" dxfId="90" priority="12" operator="equal">
      <formula>"Submitted"</formula>
    </cfRule>
  </conditionalFormatting>
  <dataValidations count="1">
    <dataValidation type="list" allowBlank="1" sqref="G6 G17:G22 G24:G29 G31:G36 G38:G41 G43:G44 G8:G10 G15 G12:G14" xr:uid="{00000000-0002-0000-0100-000000000000}">
      <formula1>"Not Started,In Progress,Done,Blocked,Deferred"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L12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44" customWidth="1"/>
    <col min="2" max="2" width="12" customWidth="1"/>
    <col min="3" max="4" width="25" customWidth="1"/>
    <col min="5" max="5" width="64" customWidth="1"/>
    <col min="6" max="6" width="16" customWidth="1"/>
    <col min="7" max="7" width="18" customWidth="1"/>
    <col min="8" max="8" width="20" customWidth="1"/>
    <col min="9" max="9" width="16" customWidth="1"/>
    <col min="10" max="11" width="18" customWidth="1"/>
    <col min="12" max="12" width="86" customWidth="1"/>
  </cols>
  <sheetData>
    <row r="1" spans="1:12" ht="28.15" customHeight="1" x14ac:dyDescent="0.25">
      <c r="A1" s="44" t="s">
        <v>751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0.100000000000001" customHeight="1" x14ac:dyDescent="0.25">
      <c r="A2" s="5" t="s">
        <v>719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6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ht="36" customHeight="1" x14ac:dyDescent="0.25">
      <c r="A4" s="45" t="s">
        <v>615</v>
      </c>
      <c r="B4" s="45" t="s">
        <v>616</v>
      </c>
      <c r="C4" s="45" t="s">
        <v>617</v>
      </c>
      <c r="D4" s="45" t="s">
        <v>618</v>
      </c>
      <c r="E4" s="45" t="s">
        <v>619</v>
      </c>
      <c r="F4" s="45" t="s">
        <v>620</v>
      </c>
      <c r="G4" s="45" t="s">
        <v>621</v>
      </c>
      <c r="H4" s="45" t="s">
        <v>622</v>
      </c>
      <c r="I4" s="45" t="s">
        <v>611</v>
      </c>
      <c r="J4" s="45" t="s">
        <v>623</v>
      </c>
      <c r="K4" s="45" t="s">
        <v>612</v>
      </c>
      <c r="L4" s="45" t="s">
        <v>614</v>
      </c>
    </row>
    <row r="5" spans="1:12" ht="144.94999999999999" customHeight="1" x14ac:dyDescent="0.25">
      <c r="A5" s="46" t="s">
        <v>130</v>
      </c>
      <c r="B5" s="47" t="s">
        <v>131</v>
      </c>
      <c r="C5" s="47" t="s">
        <v>132</v>
      </c>
      <c r="D5" s="47" t="s">
        <v>133</v>
      </c>
      <c r="E5" s="47" t="s">
        <v>752</v>
      </c>
      <c r="F5" s="48" t="s">
        <v>134</v>
      </c>
      <c r="G5" s="49">
        <v>3</v>
      </c>
      <c r="H5" s="50" t="s">
        <v>14</v>
      </c>
      <c r="I5" s="50" t="s">
        <v>608</v>
      </c>
      <c r="J5" s="49"/>
      <c r="K5" s="51" t="s">
        <v>0</v>
      </c>
      <c r="L5" s="47" t="s">
        <v>753</v>
      </c>
    </row>
    <row r="6" spans="1:12" ht="144.94999999999999" customHeight="1" x14ac:dyDescent="0.25">
      <c r="A6" s="52" t="s">
        <v>135</v>
      </c>
      <c r="B6" s="53" t="s">
        <v>131</v>
      </c>
      <c r="C6" s="53" t="s">
        <v>136</v>
      </c>
      <c r="D6" s="53" t="s">
        <v>137</v>
      </c>
      <c r="E6" s="53" t="s">
        <v>138</v>
      </c>
      <c r="F6" s="48" t="s">
        <v>139</v>
      </c>
      <c r="G6" s="49">
        <v>5</v>
      </c>
      <c r="H6" s="51" t="s">
        <v>14</v>
      </c>
      <c r="I6" s="51" t="s">
        <v>608</v>
      </c>
      <c r="J6" s="49"/>
      <c r="K6" s="51" t="s">
        <v>0</v>
      </c>
      <c r="L6" s="53" t="s">
        <v>754</v>
      </c>
    </row>
    <row r="7" spans="1:12" ht="144.94999999999999" customHeight="1" x14ac:dyDescent="0.25">
      <c r="A7" s="46" t="s">
        <v>140</v>
      </c>
      <c r="B7" s="47" t="s">
        <v>131</v>
      </c>
      <c r="C7" s="47" t="s">
        <v>136</v>
      </c>
      <c r="D7" s="47" t="s">
        <v>141</v>
      </c>
      <c r="E7" s="47" t="s">
        <v>142</v>
      </c>
      <c r="F7" s="48" t="s">
        <v>134</v>
      </c>
      <c r="G7" s="49">
        <v>3</v>
      </c>
      <c r="H7" s="50" t="s">
        <v>14</v>
      </c>
      <c r="I7" s="50" t="s">
        <v>608</v>
      </c>
      <c r="J7" s="49"/>
      <c r="K7" s="51" t="s">
        <v>12</v>
      </c>
      <c r="L7" s="47" t="s">
        <v>755</v>
      </c>
    </row>
    <row r="8" spans="1:12" ht="144.94999999999999" customHeight="1" x14ac:dyDescent="0.25">
      <c r="A8" s="52" t="s">
        <v>143</v>
      </c>
      <c r="B8" s="53" t="s">
        <v>131</v>
      </c>
      <c r="C8" s="53" t="s">
        <v>136</v>
      </c>
      <c r="D8" s="53" t="s">
        <v>144</v>
      </c>
      <c r="E8" s="53" t="s">
        <v>145</v>
      </c>
      <c r="F8" s="48" t="s">
        <v>134</v>
      </c>
      <c r="G8" s="49">
        <v>3</v>
      </c>
      <c r="H8" s="51" t="s">
        <v>14</v>
      </c>
      <c r="I8" s="51" t="s">
        <v>608</v>
      </c>
      <c r="J8" s="49"/>
      <c r="K8" s="51" t="s">
        <v>0</v>
      </c>
      <c r="L8" s="53" t="s">
        <v>756</v>
      </c>
    </row>
    <row r="9" spans="1:12" ht="144.94999999999999" customHeight="1" x14ac:dyDescent="0.25">
      <c r="A9" s="46" t="s">
        <v>146</v>
      </c>
      <c r="B9" s="47" t="s">
        <v>131</v>
      </c>
      <c r="C9" s="47" t="s">
        <v>136</v>
      </c>
      <c r="D9" s="47" t="s">
        <v>144</v>
      </c>
      <c r="E9" s="47" t="s">
        <v>147</v>
      </c>
      <c r="F9" s="48" t="s">
        <v>134</v>
      </c>
      <c r="G9" s="49">
        <v>3</v>
      </c>
      <c r="H9" s="50" t="s">
        <v>14</v>
      </c>
      <c r="I9" s="50" t="s">
        <v>608</v>
      </c>
      <c r="J9" s="49"/>
      <c r="K9" s="51" t="s">
        <v>0</v>
      </c>
      <c r="L9" s="47" t="s">
        <v>757</v>
      </c>
    </row>
    <row r="10" spans="1:12" ht="144.94999999999999" customHeight="1" x14ac:dyDescent="0.25">
      <c r="A10" s="52" t="s">
        <v>148</v>
      </c>
      <c r="B10" s="53" t="s">
        <v>131</v>
      </c>
      <c r="C10" s="53" t="s">
        <v>136</v>
      </c>
      <c r="D10" s="53" t="s">
        <v>149</v>
      </c>
      <c r="E10" s="53" t="s">
        <v>150</v>
      </c>
      <c r="F10" s="48" t="s">
        <v>134</v>
      </c>
      <c r="G10" s="49">
        <v>3</v>
      </c>
      <c r="H10" s="51" t="s">
        <v>16</v>
      </c>
      <c r="I10" s="51" t="s">
        <v>608</v>
      </c>
      <c r="J10" s="49"/>
      <c r="K10" s="51" t="s">
        <v>1</v>
      </c>
      <c r="L10" s="53" t="s">
        <v>758</v>
      </c>
    </row>
    <row r="11" spans="1:12" ht="144.94999999999999" customHeight="1" x14ac:dyDescent="0.25">
      <c r="A11" s="46" t="s">
        <v>151</v>
      </c>
      <c r="B11" s="47" t="s">
        <v>131</v>
      </c>
      <c r="C11" s="47" t="s">
        <v>152</v>
      </c>
      <c r="D11" s="47" t="s">
        <v>153</v>
      </c>
      <c r="E11" s="47" t="s">
        <v>154</v>
      </c>
      <c r="F11" s="48" t="s">
        <v>134</v>
      </c>
      <c r="G11" s="49">
        <v>3</v>
      </c>
      <c r="H11" s="50" t="s">
        <v>15</v>
      </c>
      <c r="I11" s="50" t="s">
        <v>759</v>
      </c>
      <c r="J11" s="49"/>
      <c r="K11" s="51" t="s">
        <v>0</v>
      </c>
      <c r="L11" s="47" t="s">
        <v>760</v>
      </c>
    </row>
    <row r="12" spans="1:12" ht="144.94999999999999" customHeight="1" x14ac:dyDescent="0.25">
      <c r="A12" s="52" t="s">
        <v>155</v>
      </c>
      <c r="B12" s="53" t="s">
        <v>131</v>
      </c>
      <c r="C12" s="53" t="s">
        <v>156</v>
      </c>
      <c r="D12" s="53" t="s">
        <v>157</v>
      </c>
      <c r="E12" s="53" t="s">
        <v>761</v>
      </c>
      <c r="F12" s="48" t="s">
        <v>134</v>
      </c>
      <c r="G12" s="49">
        <v>3</v>
      </c>
      <c r="H12" s="51" t="s">
        <v>14</v>
      </c>
      <c r="I12" s="51" t="s">
        <v>608</v>
      </c>
      <c r="J12" s="49"/>
      <c r="K12" s="51" t="s">
        <v>0</v>
      </c>
      <c r="L12" s="53" t="s">
        <v>762</v>
      </c>
    </row>
    <row r="13" spans="1:12" ht="144.94999999999999" customHeight="1" x14ac:dyDescent="0.25">
      <c r="A13" s="46" t="s">
        <v>158</v>
      </c>
      <c r="B13" s="47" t="s">
        <v>131</v>
      </c>
      <c r="C13" s="47" t="s">
        <v>156</v>
      </c>
      <c r="D13" s="47" t="s">
        <v>159</v>
      </c>
      <c r="E13" s="47" t="s">
        <v>160</v>
      </c>
      <c r="F13" s="48" t="s">
        <v>139</v>
      </c>
      <c r="G13" s="49">
        <v>5</v>
      </c>
      <c r="H13" s="50" t="s">
        <v>14</v>
      </c>
      <c r="I13" s="50" t="s">
        <v>608</v>
      </c>
      <c r="J13" s="49"/>
      <c r="K13" s="51" t="s">
        <v>0</v>
      </c>
      <c r="L13" s="47" t="s">
        <v>763</v>
      </c>
    </row>
    <row r="14" spans="1:12" ht="144.94999999999999" customHeight="1" x14ac:dyDescent="0.25">
      <c r="A14" s="52" t="s">
        <v>161</v>
      </c>
      <c r="B14" s="53" t="s">
        <v>131</v>
      </c>
      <c r="C14" s="53" t="s">
        <v>156</v>
      </c>
      <c r="D14" s="53" t="s">
        <v>162</v>
      </c>
      <c r="E14" s="53" t="s">
        <v>163</v>
      </c>
      <c r="F14" s="48" t="s">
        <v>139</v>
      </c>
      <c r="G14" s="49">
        <v>5</v>
      </c>
      <c r="H14" s="51" t="s">
        <v>14</v>
      </c>
      <c r="I14" s="51" t="s">
        <v>608</v>
      </c>
      <c r="J14" s="49"/>
      <c r="K14" s="51" t="s">
        <v>0</v>
      </c>
      <c r="L14" s="53" t="s">
        <v>764</v>
      </c>
    </row>
    <row r="15" spans="1:12" ht="144.94999999999999" customHeight="1" x14ac:dyDescent="0.25">
      <c r="A15" s="46" t="s">
        <v>164</v>
      </c>
      <c r="B15" s="47" t="s">
        <v>131</v>
      </c>
      <c r="C15" s="47" t="s">
        <v>156</v>
      </c>
      <c r="D15" s="47" t="s">
        <v>165</v>
      </c>
      <c r="E15" s="47" t="s">
        <v>166</v>
      </c>
      <c r="F15" s="48" t="s">
        <v>134</v>
      </c>
      <c r="G15" s="49">
        <v>3</v>
      </c>
      <c r="H15" s="50" t="s">
        <v>14</v>
      </c>
      <c r="I15" s="50" t="s">
        <v>608</v>
      </c>
      <c r="J15" s="49"/>
      <c r="K15" s="51" t="s">
        <v>0</v>
      </c>
      <c r="L15" s="47" t="s">
        <v>765</v>
      </c>
    </row>
    <row r="16" spans="1:12" ht="144.94999999999999" customHeight="1" x14ac:dyDescent="0.25">
      <c r="A16" s="52" t="s">
        <v>167</v>
      </c>
      <c r="B16" s="53" t="s">
        <v>131</v>
      </c>
      <c r="C16" s="53" t="s">
        <v>156</v>
      </c>
      <c r="D16" s="53" t="s">
        <v>168</v>
      </c>
      <c r="E16" s="53" t="s">
        <v>169</v>
      </c>
      <c r="F16" s="48" t="s">
        <v>134</v>
      </c>
      <c r="G16" s="49">
        <v>3</v>
      </c>
      <c r="H16" s="51" t="s">
        <v>14</v>
      </c>
      <c r="I16" s="51" t="s">
        <v>608</v>
      </c>
      <c r="J16" s="49"/>
      <c r="K16" s="51" t="s">
        <v>0</v>
      </c>
      <c r="L16" s="53" t="s">
        <v>766</v>
      </c>
    </row>
    <row r="17" spans="1:12" ht="144.94999999999999" customHeight="1" x14ac:dyDescent="0.25">
      <c r="A17" s="46" t="s">
        <v>170</v>
      </c>
      <c r="B17" s="47" t="s">
        <v>131</v>
      </c>
      <c r="C17" s="47" t="s">
        <v>156</v>
      </c>
      <c r="D17" s="47" t="s">
        <v>171</v>
      </c>
      <c r="E17" s="47" t="s">
        <v>172</v>
      </c>
      <c r="F17" s="48" t="s">
        <v>134</v>
      </c>
      <c r="G17" s="49">
        <v>3</v>
      </c>
      <c r="H17" s="50" t="s">
        <v>15</v>
      </c>
      <c r="I17" s="50" t="s">
        <v>608</v>
      </c>
      <c r="J17" s="49"/>
      <c r="K17" s="51" t="s">
        <v>1</v>
      </c>
      <c r="L17" s="47" t="s">
        <v>767</v>
      </c>
    </row>
    <row r="18" spans="1:12" ht="144.94999999999999" customHeight="1" x14ac:dyDescent="0.25">
      <c r="A18" s="52" t="s">
        <v>173</v>
      </c>
      <c r="B18" s="53" t="s">
        <v>131</v>
      </c>
      <c r="C18" s="53" t="s">
        <v>156</v>
      </c>
      <c r="D18" s="53" t="s">
        <v>174</v>
      </c>
      <c r="E18" s="53" t="s">
        <v>175</v>
      </c>
      <c r="F18" s="48" t="s">
        <v>139</v>
      </c>
      <c r="G18" s="49">
        <v>5</v>
      </c>
      <c r="H18" s="51" t="s">
        <v>14</v>
      </c>
      <c r="I18" s="51" t="s">
        <v>608</v>
      </c>
      <c r="J18" s="49"/>
      <c r="K18" s="51" t="s">
        <v>0</v>
      </c>
      <c r="L18" s="53" t="s">
        <v>768</v>
      </c>
    </row>
    <row r="19" spans="1:12" ht="144.94999999999999" customHeight="1" x14ac:dyDescent="0.25">
      <c r="A19" s="46" t="s">
        <v>176</v>
      </c>
      <c r="B19" s="47" t="s">
        <v>131</v>
      </c>
      <c r="C19" s="47" t="s">
        <v>156</v>
      </c>
      <c r="D19" s="47" t="s">
        <v>177</v>
      </c>
      <c r="E19" s="47" t="s">
        <v>178</v>
      </c>
      <c r="F19" s="48" t="s">
        <v>134</v>
      </c>
      <c r="G19" s="49">
        <v>3</v>
      </c>
      <c r="H19" s="50" t="s">
        <v>15</v>
      </c>
      <c r="I19" s="50" t="s">
        <v>608</v>
      </c>
      <c r="J19" s="49"/>
      <c r="K19" s="51" t="s">
        <v>1</v>
      </c>
      <c r="L19" s="47" t="s">
        <v>769</v>
      </c>
    </row>
    <row r="20" spans="1:12" ht="144.94999999999999" customHeight="1" x14ac:dyDescent="0.25">
      <c r="A20" s="52" t="s">
        <v>179</v>
      </c>
      <c r="B20" s="53" t="s">
        <v>131</v>
      </c>
      <c r="C20" s="53" t="s">
        <v>156</v>
      </c>
      <c r="D20" s="53" t="s">
        <v>180</v>
      </c>
      <c r="E20" s="53" t="s">
        <v>181</v>
      </c>
      <c r="F20" s="48" t="s">
        <v>134</v>
      </c>
      <c r="G20" s="49">
        <v>3</v>
      </c>
      <c r="H20" s="51" t="s">
        <v>14</v>
      </c>
      <c r="I20" s="51" t="s">
        <v>608</v>
      </c>
      <c r="J20" s="49"/>
      <c r="K20" s="51" t="s">
        <v>0</v>
      </c>
      <c r="L20" s="53" t="s">
        <v>770</v>
      </c>
    </row>
    <row r="21" spans="1:12" ht="144.94999999999999" customHeight="1" x14ac:dyDescent="0.25">
      <c r="A21" s="46" t="s">
        <v>182</v>
      </c>
      <c r="B21" s="47" t="s">
        <v>131</v>
      </c>
      <c r="C21" s="47" t="s">
        <v>156</v>
      </c>
      <c r="D21" s="47" t="s">
        <v>183</v>
      </c>
      <c r="E21" s="47" t="s">
        <v>184</v>
      </c>
      <c r="F21" s="48" t="s">
        <v>139</v>
      </c>
      <c r="G21" s="49">
        <v>5</v>
      </c>
      <c r="H21" s="50" t="s">
        <v>14</v>
      </c>
      <c r="I21" s="50" t="s">
        <v>608</v>
      </c>
      <c r="J21" s="49"/>
      <c r="K21" s="51" t="s">
        <v>0</v>
      </c>
      <c r="L21" s="47" t="s">
        <v>771</v>
      </c>
    </row>
    <row r="22" spans="1:12" ht="144.94999999999999" customHeight="1" x14ac:dyDescent="0.25">
      <c r="A22" s="52" t="s">
        <v>185</v>
      </c>
      <c r="B22" s="53" t="s">
        <v>131</v>
      </c>
      <c r="C22" s="53" t="s">
        <v>156</v>
      </c>
      <c r="D22" s="53" t="s">
        <v>186</v>
      </c>
      <c r="E22" s="53" t="s">
        <v>187</v>
      </c>
      <c r="F22" s="48" t="s">
        <v>134</v>
      </c>
      <c r="G22" s="49">
        <v>3</v>
      </c>
      <c r="H22" s="51" t="s">
        <v>16</v>
      </c>
      <c r="I22" s="51" t="s">
        <v>608</v>
      </c>
      <c r="J22" s="49"/>
      <c r="K22" s="51" t="s">
        <v>1</v>
      </c>
      <c r="L22" s="53" t="s">
        <v>772</v>
      </c>
    </row>
    <row r="23" spans="1:12" ht="144.94999999999999" customHeight="1" x14ac:dyDescent="0.25">
      <c r="A23" s="46" t="s">
        <v>188</v>
      </c>
      <c r="B23" s="47" t="s">
        <v>131</v>
      </c>
      <c r="C23" s="47" t="s">
        <v>152</v>
      </c>
      <c r="D23" s="47" t="s">
        <v>189</v>
      </c>
      <c r="E23" s="47" t="s">
        <v>190</v>
      </c>
      <c r="F23" s="48" t="s">
        <v>134</v>
      </c>
      <c r="G23" s="49">
        <v>3</v>
      </c>
      <c r="H23" s="50" t="s">
        <v>15</v>
      </c>
      <c r="I23" s="50" t="s">
        <v>759</v>
      </c>
      <c r="J23" s="49"/>
      <c r="K23" s="51" t="s">
        <v>0</v>
      </c>
      <c r="L23" s="47" t="s">
        <v>773</v>
      </c>
    </row>
    <row r="24" spans="1:12" ht="144.94999999999999" customHeight="1" x14ac:dyDescent="0.25">
      <c r="A24" s="52" t="s">
        <v>191</v>
      </c>
      <c r="B24" s="53" t="s">
        <v>131</v>
      </c>
      <c r="C24" s="53" t="s">
        <v>152</v>
      </c>
      <c r="D24" s="53" t="s">
        <v>192</v>
      </c>
      <c r="E24" s="53" t="s">
        <v>193</v>
      </c>
      <c r="F24" s="48" t="s">
        <v>225</v>
      </c>
      <c r="G24" s="49">
        <v>8</v>
      </c>
      <c r="H24" s="51" t="s">
        <v>15</v>
      </c>
      <c r="I24" s="51" t="s">
        <v>759</v>
      </c>
      <c r="J24" s="49"/>
      <c r="K24" s="51" t="s">
        <v>0</v>
      </c>
      <c r="L24" s="53" t="s">
        <v>774</v>
      </c>
    </row>
    <row r="25" spans="1:12" ht="144.94999999999999" customHeight="1" x14ac:dyDescent="0.25">
      <c r="A25" s="46" t="s">
        <v>194</v>
      </c>
      <c r="B25" s="47" t="s">
        <v>131</v>
      </c>
      <c r="C25" s="47" t="s">
        <v>152</v>
      </c>
      <c r="D25" s="47" t="s">
        <v>195</v>
      </c>
      <c r="E25" s="47" t="s">
        <v>196</v>
      </c>
      <c r="F25" s="48" t="s">
        <v>134</v>
      </c>
      <c r="G25" s="49">
        <v>3</v>
      </c>
      <c r="H25" s="50" t="s">
        <v>15</v>
      </c>
      <c r="I25" s="50" t="s">
        <v>759</v>
      </c>
      <c r="J25" s="49"/>
      <c r="K25" s="51" t="s">
        <v>0</v>
      </c>
      <c r="L25" s="47" t="s">
        <v>775</v>
      </c>
    </row>
    <row r="26" spans="1:12" ht="144.94999999999999" customHeight="1" x14ac:dyDescent="0.25">
      <c r="A26" s="52" t="s">
        <v>197</v>
      </c>
      <c r="B26" s="53" t="s">
        <v>131</v>
      </c>
      <c r="C26" s="53" t="s">
        <v>152</v>
      </c>
      <c r="D26" s="53" t="s">
        <v>198</v>
      </c>
      <c r="E26" s="53" t="s">
        <v>199</v>
      </c>
      <c r="F26" s="48" t="s">
        <v>134</v>
      </c>
      <c r="G26" s="49">
        <v>3</v>
      </c>
      <c r="H26" s="51" t="s">
        <v>15</v>
      </c>
      <c r="I26" s="51" t="s">
        <v>759</v>
      </c>
      <c r="J26" s="49"/>
      <c r="K26" s="51" t="s">
        <v>0</v>
      </c>
      <c r="L26" s="53" t="s">
        <v>776</v>
      </c>
    </row>
    <row r="27" spans="1:12" ht="144.94999999999999" customHeight="1" x14ac:dyDescent="0.25">
      <c r="A27" s="46" t="s">
        <v>200</v>
      </c>
      <c r="B27" s="47" t="s">
        <v>131</v>
      </c>
      <c r="C27" s="47" t="s">
        <v>201</v>
      </c>
      <c r="D27" s="47" t="s">
        <v>202</v>
      </c>
      <c r="E27" s="47" t="s">
        <v>203</v>
      </c>
      <c r="F27" s="48" t="s">
        <v>139</v>
      </c>
      <c r="G27" s="49">
        <v>5</v>
      </c>
      <c r="H27" s="50" t="s">
        <v>15</v>
      </c>
      <c r="I27" s="50" t="s">
        <v>759</v>
      </c>
      <c r="J27" s="49"/>
      <c r="K27" s="51" t="s">
        <v>1</v>
      </c>
      <c r="L27" s="47" t="s">
        <v>777</v>
      </c>
    </row>
    <row r="28" spans="1:12" ht="144.94999999999999" customHeight="1" x14ac:dyDescent="0.25">
      <c r="A28" s="52" t="s">
        <v>204</v>
      </c>
      <c r="B28" s="53" t="s">
        <v>131</v>
      </c>
      <c r="C28" s="53" t="s">
        <v>201</v>
      </c>
      <c r="D28" s="53" t="s">
        <v>205</v>
      </c>
      <c r="E28" s="53" t="s">
        <v>206</v>
      </c>
      <c r="F28" s="48" t="s">
        <v>139</v>
      </c>
      <c r="G28" s="49">
        <v>5</v>
      </c>
      <c r="H28" s="51" t="s">
        <v>15</v>
      </c>
      <c r="I28" s="51" t="s">
        <v>759</v>
      </c>
      <c r="J28" s="49"/>
      <c r="K28" s="51" t="s">
        <v>1</v>
      </c>
      <c r="L28" s="53" t="s">
        <v>778</v>
      </c>
    </row>
    <row r="29" spans="1:12" ht="144.94999999999999" customHeight="1" x14ac:dyDescent="0.25">
      <c r="A29" s="46" t="s">
        <v>207</v>
      </c>
      <c r="B29" s="47" t="s">
        <v>131</v>
      </c>
      <c r="C29" s="47" t="s">
        <v>201</v>
      </c>
      <c r="D29" s="47" t="s">
        <v>208</v>
      </c>
      <c r="E29" s="47" t="s">
        <v>209</v>
      </c>
      <c r="F29" s="48" t="s">
        <v>139</v>
      </c>
      <c r="G29" s="49">
        <v>5</v>
      </c>
      <c r="H29" s="50" t="s">
        <v>14</v>
      </c>
      <c r="I29" s="50" t="s">
        <v>608</v>
      </c>
      <c r="J29" s="49"/>
      <c r="K29" s="51" t="s">
        <v>0</v>
      </c>
      <c r="L29" s="47" t="s">
        <v>779</v>
      </c>
    </row>
    <row r="30" spans="1:12" ht="144.94999999999999" customHeight="1" x14ac:dyDescent="0.25">
      <c r="A30" s="52" t="s">
        <v>210</v>
      </c>
      <c r="B30" s="53" t="s">
        <v>131</v>
      </c>
      <c r="C30" s="53" t="s">
        <v>201</v>
      </c>
      <c r="D30" s="53" t="s">
        <v>211</v>
      </c>
      <c r="E30" s="53" t="s">
        <v>212</v>
      </c>
      <c r="F30" s="48" t="s">
        <v>139</v>
      </c>
      <c r="G30" s="49">
        <v>5</v>
      </c>
      <c r="H30" s="51" t="s">
        <v>15</v>
      </c>
      <c r="I30" s="51" t="s">
        <v>759</v>
      </c>
      <c r="J30" s="49"/>
      <c r="K30" s="51" t="s">
        <v>1</v>
      </c>
      <c r="L30" s="53" t="s">
        <v>780</v>
      </c>
    </row>
    <row r="31" spans="1:12" ht="144.94999999999999" customHeight="1" x14ac:dyDescent="0.25">
      <c r="A31" s="46" t="s">
        <v>213</v>
      </c>
      <c r="B31" s="47" t="s">
        <v>131</v>
      </c>
      <c r="C31" s="47" t="s">
        <v>201</v>
      </c>
      <c r="D31" s="47" t="s">
        <v>214</v>
      </c>
      <c r="E31" s="47" t="s">
        <v>215</v>
      </c>
      <c r="F31" s="48" t="s">
        <v>139</v>
      </c>
      <c r="G31" s="49">
        <v>5</v>
      </c>
      <c r="H31" s="50" t="s">
        <v>16</v>
      </c>
      <c r="I31" s="50" t="s">
        <v>608</v>
      </c>
      <c r="J31" s="49"/>
      <c r="K31" s="51" t="s">
        <v>1</v>
      </c>
      <c r="L31" s="47" t="s">
        <v>781</v>
      </c>
    </row>
    <row r="32" spans="1:12" ht="144.94999999999999" customHeight="1" x14ac:dyDescent="0.25">
      <c r="A32" s="52" t="s">
        <v>216</v>
      </c>
      <c r="B32" s="53" t="s">
        <v>131</v>
      </c>
      <c r="C32" s="53" t="s">
        <v>201</v>
      </c>
      <c r="D32" s="53" t="s">
        <v>217</v>
      </c>
      <c r="E32" s="53" t="s">
        <v>218</v>
      </c>
      <c r="F32" s="48" t="s">
        <v>139</v>
      </c>
      <c r="G32" s="49">
        <v>5</v>
      </c>
      <c r="H32" s="51" t="s">
        <v>15</v>
      </c>
      <c r="I32" s="51" t="s">
        <v>759</v>
      </c>
      <c r="J32" s="49"/>
      <c r="K32" s="51" t="s">
        <v>0</v>
      </c>
      <c r="L32" s="53" t="s">
        <v>782</v>
      </c>
    </row>
    <row r="33" spans="1:12" ht="144.94999999999999" customHeight="1" x14ac:dyDescent="0.25">
      <c r="A33" s="46" t="s">
        <v>219</v>
      </c>
      <c r="B33" s="47" t="s">
        <v>131</v>
      </c>
      <c r="C33" s="47" t="s">
        <v>201</v>
      </c>
      <c r="D33" s="47" t="s">
        <v>220</v>
      </c>
      <c r="E33" s="47" t="s">
        <v>221</v>
      </c>
      <c r="F33" s="48" t="s">
        <v>134</v>
      </c>
      <c r="G33" s="49">
        <v>3</v>
      </c>
      <c r="H33" s="50" t="s">
        <v>15</v>
      </c>
      <c r="I33" s="50" t="s">
        <v>759</v>
      </c>
      <c r="J33" s="49"/>
      <c r="K33" s="51" t="s">
        <v>1</v>
      </c>
      <c r="L33" s="47" t="s">
        <v>783</v>
      </c>
    </row>
    <row r="34" spans="1:12" ht="144.94999999999999" customHeight="1" x14ac:dyDescent="0.25">
      <c r="A34" s="52" t="s">
        <v>222</v>
      </c>
      <c r="B34" s="53" t="s">
        <v>131</v>
      </c>
      <c r="C34" s="53" t="s">
        <v>201</v>
      </c>
      <c r="D34" s="53" t="s">
        <v>223</v>
      </c>
      <c r="E34" s="53" t="s">
        <v>224</v>
      </c>
      <c r="F34" s="48" t="s">
        <v>225</v>
      </c>
      <c r="G34" s="49">
        <v>8</v>
      </c>
      <c r="H34" s="51" t="s">
        <v>15</v>
      </c>
      <c r="I34" s="51" t="s">
        <v>759</v>
      </c>
      <c r="J34" s="49"/>
      <c r="K34" s="51" t="s">
        <v>1</v>
      </c>
      <c r="L34" s="53" t="s">
        <v>784</v>
      </c>
    </row>
    <row r="35" spans="1:12" ht="144.94999999999999" customHeight="1" x14ac:dyDescent="0.25">
      <c r="A35" s="46" t="s">
        <v>226</v>
      </c>
      <c r="B35" s="47" t="s">
        <v>131</v>
      </c>
      <c r="C35" s="47" t="s">
        <v>201</v>
      </c>
      <c r="D35" s="47" t="s">
        <v>227</v>
      </c>
      <c r="E35" s="47" t="s">
        <v>228</v>
      </c>
      <c r="F35" s="48" t="s">
        <v>139</v>
      </c>
      <c r="G35" s="49">
        <v>5</v>
      </c>
      <c r="H35" s="50" t="s">
        <v>15</v>
      </c>
      <c r="I35" s="50" t="s">
        <v>759</v>
      </c>
      <c r="J35" s="49"/>
      <c r="K35" s="51" t="s">
        <v>1</v>
      </c>
      <c r="L35" s="47" t="s">
        <v>785</v>
      </c>
    </row>
    <row r="36" spans="1:12" ht="144.94999999999999" customHeight="1" x14ac:dyDescent="0.25">
      <c r="A36" s="52" t="s">
        <v>229</v>
      </c>
      <c r="B36" s="53" t="s">
        <v>131</v>
      </c>
      <c r="C36" s="53" t="s">
        <v>201</v>
      </c>
      <c r="D36" s="53" t="s">
        <v>230</v>
      </c>
      <c r="E36" s="53" t="s">
        <v>231</v>
      </c>
      <c r="F36" s="48" t="s">
        <v>225</v>
      </c>
      <c r="G36" s="49">
        <v>8</v>
      </c>
      <c r="H36" s="51" t="s">
        <v>15</v>
      </c>
      <c r="I36" s="51" t="s">
        <v>759</v>
      </c>
      <c r="J36" s="49"/>
      <c r="K36" s="51" t="s">
        <v>1</v>
      </c>
      <c r="L36" s="53" t="s">
        <v>786</v>
      </c>
    </row>
    <row r="37" spans="1:12" ht="144.94999999999999" customHeight="1" x14ac:dyDescent="0.25">
      <c r="A37" s="46" t="s">
        <v>232</v>
      </c>
      <c r="B37" s="47" t="s">
        <v>131</v>
      </c>
      <c r="C37" s="47" t="s">
        <v>201</v>
      </c>
      <c r="D37" s="47" t="s">
        <v>233</v>
      </c>
      <c r="E37" s="47" t="s">
        <v>234</v>
      </c>
      <c r="F37" s="48" t="s">
        <v>139</v>
      </c>
      <c r="G37" s="49">
        <v>5</v>
      </c>
      <c r="H37" s="50" t="s">
        <v>16</v>
      </c>
      <c r="I37" s="50" t="s">
        <v>608</v>
      </c>
      <c r="J37" s="49"/>
      <c r="K37" s="51" t="s">
        <v>1</v>
      </c>
      <c r="L37" s="47" t="s">
        <v>787</v>
      </c>
    </row>
    <row r="38" spans="1:12" ht="144.94999999999999" customHeight="1" x14ac:dyDescent="0.25">
      <c r="A38" s="52" t="s">
        <v>235</v>
      </c>
      <c r="B38" s="53" t="s">
        <v>131</v>
      </c>
      <c r="C38" s="53" t="s">
        <v>201</v>
      </c>
      <c r="D38" s="53" t="s">
        <v>236</v>
      </c>
      <c r="E38" s="53" t="s">
        <v>237</v>
      </c>
      <c r="F38" s="48" t="s">
        <v>134</v>
      </c>
      <c r="G38" s="49">
        <v>3</v>
      </c>
      <c r="H38" s="51" t="s">
        <v>16</v>
      </c>
      <c r="I38" s="51" t="s">
        <v>759</v>
      </c>
      <c r="J38" s="49"/>
      <c r="K38" s="51" t="s">
        <v>1</v>
      </c>
      <c r="L38" s="53" t="s">
        <v>788</v>
      </c>
    </row>
    <row r="39" spans="1:12" ht="144.94999999999999" customHeight="1" x14ac:dyDescent="0.25">
      <c r="A39" s="46" t="s">
        <v>238</v>
      </c>
      <c r="B39" s="47" t="s">
        <v>131</v>
      </c>
      <c r="C39" s="47" t="s">
        <v>201</v>
      </c>
      <c r="D39" s="47" t="s">
        <v>239</v>
      </c>
      <c r="E39" s="47" t="s">
        <v>240</v>
      </c>
      <c r="F39" s="48" t="s">
        <v>139</v>
      </c>
      <c r="G39" s="49">
        <v>5</v>
      </c>
      <c r="H39" s="50" t="s">
        <v>16</v>
      </c>
      <c r="I39" s="50" t="s">
        <v>608</v>
      </c>
      <c r="J39" s="49"/>
      <c r="K39" s="51" t="s">
        <v>1</v>
      </c>
      <c r="L39" s="47" t="s">
        <v>789</v>
      </c>
    </row>
    <row r="40" spans="1:12" ht="144.94999999999999" customHeight="1" x14ac:dyDescent="0.25">
      <c r="A40" s="52" t="s">
        <v>241</v>
      </c>
      <c r="B40" s="53" t="s">
        <v>131</v>
      </c>
      <c r="C40" s="53" t="s">
        <v>201</v>
      </c>
      <c r="D40" s="53" t="s">
        <v>242</v>
      </c>
      <c r="E40" s="53" t="s">
        <v>243</v>
      </c>
      <c r="F40" s="48" t="s">
        <v>139</v>
      </c>
      <c r="G40" s="49">
        <v>5</v>
      </c>
      <c r="H40" s="51" t="s">
        <v>16</v>
      </c>
      <c r="I40" s="51" t="s">
        <v>759</v>
      </c>
      <c r="J40" s="49"/>
      <c r="K40" s="51" t="s">
        <v>1</v>
      </c>
      <c r="L40" s="53" t="s">
        <v>790</v>
      </c>
    </row>
    <row r="41" spans="1:12" ht="144.94999999999999" customHeight="1" x14ac:dyDescent="0.25">
      <c r="A41" s="46" t="s">
        <v>244</v>
      </c>
      <c r="B41" s="47" t="s">
        <v>131</v>
      </c>
      <c r="C41" s="47" t="s">
        <v>201</v>
      </c>
      <c r="D41" s="47" t="s">
        <v>242</v>
      </c>
      <c r="E41" s="47" t="s">
        <v>245</v>
      </c>
      <c r="F41" s="48" t="s">
        <v>225</v>
      </c>
      <c r="G41" s="49">
        <v>8</v>
      </c>
      <c r="H41" s="50" t="s">
        <v>16</v>
      </c>
      <c r="I41" s="50" t="s">
        <v>759</v>
      </c>
      <c r="J41" s="49"/>
      <c r="K41" s="51" t="s">
        <v>1</v>
      </c>
      <c r="L41" s="47" t="s">
        <v>791</v>
      </c>
    </row>
    <row r="42" spans="1:12" ht="144.94999999999999" customHeight="1" x14ac:dyDescent="0.25">
      <c r="A42" s="52" t="s">
        <v>246</v>
      </c>
      <c r="B42" s="53" t="s">
        <v>131</v>
      </c>
      <c r="C42" s="53" t="s">
        <v>247</v>
      </c>
      <c r="D42" s="53" t="s">
        <v>248</v>
      </c>
      <c r="E42" s="53" t="s">
        <v>249</v>
      </c>
      <c r="F42" s="48" t="s">
        <v>134</v>
      </c>
      <c r="G42" s="49">
        <v>3</v>
      </c>
      <c r="H42" s="51" t="s">
        <v>16</v>
      </c>
      <c r="I42" s="51" t="s">
        <v>608</v>
      </c>
      <c r="J42" s="49"/>
      <c r="K42" s="51" t="s">
        <v>1</v>
      </c>
      <c r="L42" s="53" t="s">
        <v>792</v>
      </c>
    </row>
    <row r="43" spans="1:12" ht="144.94999999999999" customHeight="1" x14ac:dyDescent="0.25">
      <c r="A43" s="46" t="s">
        <v>250</v>
      </c>
      <c r="B43" s="47" t="s">
        <v>131</v>
      </c>
      <c r="C43" s="47" t="s">
        <v>247</v>
      </c>
      <c r="D43" s="47" t="s">
        <v>251</v>
      </c>
      <c r="E43" s="47" t="s">
        <v>252</v>
      </c>
      <c r="F43" s="48" t="s">
        <v>225</v>
      </c>
      <c r="G43" s="49">
        <v>8</v>
      </c>
      <c r="H43" s="50" t="s">
        <v>16</v>
      </c>
      <c r="I43" s="50" t="s">
        <v>608</v>
      </c>
      <c r="J43" s="49"/>
      <c r="K43" s="51" t="s">
        <v>1</v>
      </c>
      <c r="L43" s="47" t="s">
        <v>793</v>
      </c>
    </row>
    <row r="44" spans="1:12" ht="144.94999999999999" customHeight="1" x14ac:dyDescent="0.25">
      <c r="A44" s="52" t="s">
        <v>253</v>
      </c>
      <c r="B44" s="53" t="s">
        <v>131</v>
      </c>
      <c r="C44" s="53" t="s">
        <v>247</v>
      </c>
      <c r="D44" s="53" t="s">
        <v>254</v>
      </c>
      <c r="E44" s="53" t="s">
        <v>255</v>
      </c>
      <c r="F44" s="48" t="s">
        <v>139</v>
      </c>
      <c r="G44" s="49">
        <v>5</v>
      </c>
      <c r="H44" s="51" t="s">
        <v>16</v>
      </c>
      <c r="I44" s="51" t="s">
        <v>608</v>
      </c>
      <c r="J44" s="49"/>
      <c r="K44" s="51" t="s">
        <v>1</v>
      </c>
      <c r="L44" s="53" t="s">
        <v>794</v>
      </c>
    </row>
    <row r="45" spans="1:12" ht="144.94999999999999" customHeight="1" x14ac:dyDescent="0.25">
      <c r="A45" s="46" t="s">
        <v>256</v>
      </c>
      <c r="B45" s="47" t="s">
        <v>131</v>
      </c>
      <c r="C45" s="47" t="s">
        <v>247</v>
      </c>
      <c r="D45" s="47" t="s">
        <v>257</v>
      </c>
      <c r="E45" s="47" t="s">
        <v>258</v>
      </c>
      <c r="F45" s="48" t="s">
        <v>139</v>
      </c>
      <c r="G45" s="49">
        <v>5</v>
      </c>
      <c r="H45" s="50" t="s">
        <v>16</v>
      </c>
      <c r="I45" s="50" t="s">
        <v>608</v>
      </c>
      <c r="J45" s="49"/>
      <c r="K45" s="51" t="s">
        <v>1</v>
      </c>
      <c r="L45" s="47" t="s">
        <v>795</v>
      </c>
    </row>
    <row r="46" spans="1:12" ht="144.94999999999999" customHeight="1" x14ac:dyDescent="0.25">
      <c r="A46" s="52" t="s">
        <v>259</v>
      </c>
      <c r="B46" s="53" t="s">
        <v>131</v>
      </c>
      <c r="C46" s="53" t="s">
        <v>247</v>
      </c>
      <c r="D46" s="53" t="s">
        <v>260</v>
      </c>
      <c r="E46" s="53" t="s">
        <v>261</v>
      </c>
      <c r="F46" s="48" t="s">
        <v>139</v>
      </c>
      <c r="G46" s="49">
        <v>5</v>
      </c>
      <c r="H46" s="51" t="s">
        <v>16</v>
      </c>
      <c r="I46" s="51" t="s">
        <v>608</v>
      </c>
      <c r="J46" s="49"/>
      <c r="K46" s="51" t="s">
        <v>1</v>
      </c>
      <c r="L46" s="53" t="s">
        <v>796</v>
      </c>
    </row>
    <row r="47" spans="1:12" ht="144.94999999999999" customHeight="1" x14ac:dyDescent="0.25">
      <c r="A47" s="46" t="s">
        <v>262</v>
      </c>
      <c r="B47" s="47" t="s">
        <v>131</v>
      </c>
      <c r="C47" s="47" t="s">
        <v>247</v>
      </c>
      <c r="D47" s="47" t="s">
        <v>263</v>
      </c>
      <c r="E47" s="47" t="s">
        <v>264</v>
      </c>
      <c r="F47" s="48" t="s">
        <v>139</v>
      </c>
      <c r="G47" s="49">
        <v>5</v>
      </c>
      <c r="H47" s="50" t="s">
        <v>16</v>
      </c>
      <c r="I47" s="50" t="s">
        <v>608</v>
      </c>
      <c r="J47" s="49"/>
      <c r="K47" s="51" t="s">
        <v>1</v>
      </c>
      <c r="L47" s="47" t="s">
        <v>797</v>
      </c>
    </row>
    <row r="48" spans="1:12" ht="144.94999999999999" customHeight="1" x14ac:dyDescent="0.25">
      <c r="A48" s="52" t="s">
        <v>265</v>
      </c>
      <c r="B48" s="53" t="s">
        <v>131</v>
      </c>
      <c r="C48" s="53" t="s">
        <v>247</v>
      </c>
      <c r="D48" s="53" t="s">
        <v>266</v>
      </c>
      <c r="E48" s="53" t="s">
        <v>267</v>
      </c>
      <c r="F48" s="48" t="s">
        <v>139</v>
      </c>
      <c r="G48" s="49">
        <v>5</v>
      </c>
      <c r="H48" s="51" t="s">
        <v>16</v>
      </c>
      <c r="I48" s="51" t="s">
        <v>608</v>
      </c>
      <c r="J48" s="49"/>
      <c r="K48" s="51" t="s">
        <v>1</v>
      </c>
      <c r="L48" s="53" t="s">
        <v>798</v>
      </c>
    </row>
    <row r="49" spans="1:12" ht="144.94999999999999" customHeight="1" x14ac:dyDescent="0.25">
      <c r="A49" s="46" t="s">
        <v>268</v>
      </c>
      <c r="B49" s="47" t="s">
        <v>131</v>
      </c>
      <c r="C49" s="47" t="s">
        <v>247</v>
      </c>
      <c r="D49" s="47" t="s">
        <v>269</v>
      </c>
      <c r="E49" s="47" t="s">
        <v>270</v>
      </c>
      <c r="F49" s="48" t="s">
        <v>139</v>
      </c>
      <c r="G49" s="49">
        <v>5</v>
      </c>
      <c r="H49" s="50" t="s">
        <v>16</v>
      </c>
      <c r="I49" s="50" t="s">
        <v>608</v>
      </c>
      <c r="J49" s="49"/>
      <c r="K49" s="51" t="s">
        <v>1</v>
      </c>
      <c r="L49" s="47" t="s">
        <v>799</v>
      </c>
    </row>
    <row r="50" spans="1:12" ht="144.94999999999999" customHeight="1" x14ac:dyDescent="0.25">
      <c r="A50" s="52" t="s">
        <v>271</v>
      </c>
      <c r="B50" s="53" t="s">
        <v>131</v>
      </c>
      <c r="C50" s="53" t="s">
        <v>247</v>
      </c>
      <c r="D50" s="53" t="s">
        <v>272</v>
      </c>
      <c r="E50" s="53" t="s">
        <v>273</v>
      </c>
      <c r="F50" s="48" t="s">
        <v>139</v>
      </c>
      <c r="G50" s="49">
        <v>5</v>
      </c>
      <c r="H50" s="51" t="s">
        <v>16</v>
      </c>
      <c r="I50" s="51" t="s">
        <v>608</v>
      </c>
      <c r="J50" s="49"/>
      <c r="K50" s="51" t="s">
        <v>1</v>
      </c>
      <c r="L50" s="53" t="s">
        <v>800</v>
      </c>
    </row>
    <row r="51" spans="1:12" ht="144.94999999999999" customHeight="1" x14ac:dyDescent="0.25">
      <c r="A51" s="46" t="s">
        <v>274</v>
      </c>
      <c r="B51" s="47" t="s">
        <v>131</v>
      </c>
      <c r="C51" s="47" t="s">
        <v>247</v>
      </c>
      <c r="D51" s="47" t="s">
        <v>275</v>
      </c>
      <c r="E51" s="47" t="s">
        <v>276</v>
      </c>
      <c r="F51" s="48" t="s">
        <v>134</v>
      </c>
      <c r="G51" s="49">
        <v>3</v>
      </c>
      <c r="H51" s="50" t="s">
        <v>16</v>
      </c>
      <c r="I51" s="50" t="s">
        <v>608</v>
      </c>
      <c r="J51" s="49"/>
      <c r="K51" s="51" t="s">
        <v>1</v>
      </c>
      <c r="L51" s="47" t="s">
        <v>801</v>
      </c>
    </row>
    <row r="52" spans="1:12" ht="144.94999999999999" customHeight="1" x14ac:dyDescent="0.25">
      <c r="A52" s="52" t="s">
        <v>277</v>
      </c>
      <c r="B52" s="53" t="s">
        <v>131</v>
      </c>
      <c r="C52" s="53" t="s">
        <v>247</v>
      </c>
      <c r="D52" s="53" t="s">
        <v>278</v>
      </c>
      <c r="E52" s="53" t="s">
        <v>279</v>
      </c>
      <c r="F52" s="48" t="s">
        <v>139</v>
      </c>
      <c r="G52" s="49">
        <v>5</v>
      </c>
      <c r="H52" s="51" t="s">
        <v>16</v>
      </c>
      <c r="I52" s="51" t="s">
        <v>608</v>
      </c>
      <c r="J52" s="49"/>
      <c r="K52" s="51" t="s">
        <v>1</v>
      </c>
      <c r="L52" s="53" t="s">
        <v>802</v>
      </c>
    </row>
    <row r="53" spans="1:12" ht="144.94999999999999" customHeight="1" x14ac:dyDescent="0.25">
      <c r="A53" s="46" t="s">
        <v>280</v>
      </c>
      <c r="B53" s="47" t="s">
        <v>131</v>
      </c>
      <c r="C53" s="47" t="s">
        <v>247</v>
      </c>
      <c r="D53" s="47" t="s">
        <v>281</v>
      </c>
      <c r="E53" s="47" t="s">
        <v>282</v>
      </c>
      <c r="F53" s="48" t="s">
        <v>139</v>
      </c>
      <c r="G53" s="49">
        <v>5</v>
      </c>
      <c r="H53" s="50" t="s">
        <v>16</v>
      </c>
      <c r="I53" s="50" t="s">
        <v>608</v>
      </c>
      <c r="J53" s="49"/>
      <c r="K53" s="51" t="s">
        <v>1</v>
      </c>
      <c r="L53" s="47" t="s">
        <v>803</v>
      </c>
    </row>
    <row r="54" spans="1:12" ht="144.94999999999999" customHeight="1" x14ac:dyDescent="0.25">
      <c r="A54" s="52" t="s">
        <v>283</v>
      </c>
      <c r="B54" s="53" t="s">
        <v>131</v>
      </c>
      <c r="C54" s="53" t="s">
        <v>247</v>
      </c>
      <c r="D54" s="53" t="s">
        <v>284</v>
      </c>
      <c r="E54" s="53" t="s">
        <v>285</v>
      </c>
      <c r="F54" s="48" t="s">
        <v>139</v>
      </c>
      <c r="G54" s="49">
        <v>5</v>
      </c>
      <c r="H54" s="51" t="s">
        <v>16</v>
      </c>
      <c r="I54" s="51" t="s">
        <v>608</v>
      </c>
      <c r="J54" s="49"/>
      <c r="K54" s="51" t="s">
        <v>1</v>
      </c>
      <c r="L54" s="53" t="s">
        <v>804</v>
      </c>
    </row>
    <row r="55" spans="1:12" ht="144.94999999999999" customHeight="1" x14ac:dyDescent="0.25">
      <c r="A55" s="46" t="s">
        <v>286</v>
      </c>
      <c r="B55" s="47" t="s">
        <v>287</v>
      </c>
      <c r="C55" s="47" t="s">
        <v>288</v>
      </c>
      <c r="D55" s="47" t="s">
        <v>805</v>
      </c>
      <c r="E55" s="47" t="s">
        <v>289</v>
      </c>
      <c r="F55" s="48" t="s">
        <v>139</v>
      </c>
      <c r="G55" s="49">
        <v>5</v>
      </c>
      <c r="H55" s="50" t="s">
        <v>14</v>
      </c>
      <c r="I55" s="50" t="s">
        <v>609</v>
      </c>
      <c r="J55" s="49"/>
      <c r="K55" s="51" t="s">
        <v>12</v>
      </c>
      <c r="L55" s="47" t="s">
        <v>806</v>
      </c>
    </row>
    <row r="56" spans="1:12" ht="144.94999999999999" customHeight="1" x14ac:dyDescent="0.25">
      <c r="A56" s="52" t="s">
        <v>290</v>
      </c>
      <c r="B56" s="53" t="s">
        <v>287</v>
      </c>
      <c r="C56" s="53" t="s">
        <v>288</v>
      </c>
      <c r="D56" s="53" t="s">
        <v>805</v>
      </c>
      <c r="E56" s="53" t="s">
        <v>291</v>
      </c>
      <c r="F56" s="48" t="s">
        <v>139</v>
      </c>
      <c r="G56" s="49">
        <v>5</v>
      </c>
      <c r="H56" s="51" t="s">
        <v>14</v>
      </c>
      <c r="I56" s="51" t="s">
        <v>807</v>
      </c>
      <c r="J56" s="49"/>
      <c r="K56" s="51" t="s">
        <v>12</v>
      </c>
      <c r="L56" s="53" t="s">
        <v>808</v>
      </c>
    </row>
    <row r="57" spans="1:12" ht="144.94999999999999" customHeight="1" x14ac:dyDescent="0.25">
      <c r="A57" s="46" t="s">
        <v>292</v>
      </c>
      <c r="B57" s="47" t="s">
        <v>287</v>
      </c>
      <c r="C57" s="47" t="s">
        <v>293</v>
      </c>
      <c r="D57" s="47" t="s">
        <v>805</v>
      </c>
      <c r="E57" s="47" t="s">
        <v>294</v>
      </c>
      <c r="F57" s="48" t="s">
        <v>225</v>
      </c>
      <c r="G57" s="49">
        <v>8</v>
      </c>
      <c r="H57" s="50" t="s">
        <v>14</v>
      </c>
      <c r="I57" s="50" t="s">
        <v>609</v>
      </c>
      <c r="J57" s="49"/>
      <c r="K57" s="51" t="s">
        <v>12</v>
      </c>
      <c r="L57" s="47" t="s">
        <v>809</v>
      </c>
    </row>
    <row r="58" spans="1:12" ht="144.94999999999999" customHeight="1" x14ac:dyDescent="0.25">
      <c r="A58" s="52" t="s">
        <v>295</v>
      </c>
      <c r="B58" s="53" t="s">
        <v>287</v>
      </c>
      <c r="C58" s="53" t="s">
        <v>288</v>
      </c>
      <c r="D58" s="53" t="s">
        <v>805</v>
      </c>
      <c r="E58" s="53" t="s">
        <v>296</v>
      </c>
      <c r="F58" s="48" t="s">
        <v>225</v>
      </c>
      <c r="G58" s="49">
        <v>8</v>
      </c>
      <c r="H58" s="51" t="s">
        <v>14</v>
      </c>
      <c r="I58" s="51" t="s">
        <v>807</v>
      </c>
      <c r="J58" s="49"/>
      <c r="K58" s="51" t="s">
        <v>12</v>
      </c>
      <c r="L58" s="53" t="s">
        <v>810</v>
      </c>
    </row>
    <row r="59" spans="1:12" ht="144.94999999999999" customHeight="1" x14ac:dyDescent="0.25">
      <c r="A59" s="46" t="s">
        <v>297</v>
      </c>
      <c r="B59" s="47" t="s">
        <v>287</v>
      </c>
      <c r="C59" s="47" t="s">
        <v>298</v>
      </c>
      <c r="D59" s="47" t="s">
        <v>805</v>
      </c>
      <c r="E59" s="47" t="s">
        <v>299</v>
      </c>
      <c r="F59" s="48" t="s">
        <v>139</v>
      </c>
      <c r="G59" s="49">
        <v>5</v>
      </c>
      <c r="H59" s="50" t="s">
        <v>14</v>
      </c>
      <c r="I59" s="50" t="s">
        <v>608</v>
      </c>
      <c r="J59" s="49"/>
      <c r="K59" s="51" t="s">
        <v>12</v>
      </c>
      <c r="L59" s="47" t="s">
        <v>811</v>
      </c>
    </row>
    <row r="60" spans="1:12" ht="144.94999999999999" customHeight="1" x14ac:dyDescent="0.25">
      <c r="A60" s="52" t="s">
        <v>300</v>
      </c>
      <c r="B60" s="53" t="s">
        <v>287</v>
      </c>
      <c r="C60" s="53" t="s">
        <v>136</v>
      </c>
      <c r="D60" s="53" t="s">
        <v>805</v>
      </c>
      <c r="E60" s="53" t="s">
        <v>301</v>
      </c>
      <c r="F60" s="48" t="s">
        <v>225</v>
      </c>
      <c r="G60" s="49">
        <v>8</v>
      </c>
      <c r="H60" s="51" t="s">
        <v>14</v>
      </c>
      <c r="I60" s="51" t="s">
        <v>608</v>
      </c>
      <c r="J60" s="49"/>
      <c r="K60" s="51" t="s">
        <v>12</v>
      </c>
      <c r="L60" s="53" t="s">
        <v>812</v>
      </c>
    </row>
    <row r="61" spans="1:12" ht="144.94999999999999" customHeight="1" x14ac:dyDescent="0.25">
      <c r="A61" s="46" t="s">
        <v>302</v>
      </c>
      <c r="B61" s="47" t="s">
        <v>287</v>
      </c>
      <c r="C61" s="47" t="s">
        <v>156</v>
      </c>
      <c r="D61" s="47" t="s">
        <v>805</v>
      </c>
      <c r="E61" s="47" t="s">
        <v>303</v>
      </c>
      <c r="F61" s="48" t="s">
        <v>225</v>
      </c>
      <c r="G61" s="49">
        <v>8</v>
      </c>
      <c r="H61" s="50" t="s">
        <v>14</v>
      </c>
      <c r="I61" s="50" t="s">
        <v>609</v>
      </c>
      <c r="J61" s="49"/>
      <c r="K61" s="51" t="s">
        <v>0</v>
      </c>
      <c r="L61" s="47" t="s">
        <v>813</v>
      </c>
    </row>
    <row r="62" spans="1:12" ht="144.94999999999999" customHeight="1" x14ac:dyDescent="0.25">
      <c r="A62" s="52" t="s">
        <v>304</v>
      </c>
      <c r="B62" s="53" t="s">
        <v>287</v>
      </c>
      <c r="C62" s="53" t="s">
        <v>305</v>
      </c>
      <c r="D62" s="53" t="s">
        <v>814</v>
      </c>
      <c r="E62" s="53" t="s">
        <v>306</v>
      </c>
      <c r="F62" s="48" t="s">
        <v>225</v>
      </c>
      <c r="G62" s="49">
        <v>8</v>
      </c>
      <c r="H62" s="51" t="s">
        <v>14</v>
      </c>
      <c r="I62" s="51" t="s">
        <v>29</v>
      </c>
      <c r="J62" s="49"/>
      <c r="K62" s="51" t="s">
        <v>12</v>
      </c>
      <c r="L62" s="53" t="s">
        <v>815</v>
      </c>
    </row>
    <row r="63" spans="1:12" ht="144.94999999999999" customHeight="1" x14ac:dyDescent="0.25">
      <c r="A63" s="46" t="s">
        <v>307</v>
      </c>
      <c r="B63" s="47" t="s">
        <v>287</v>
      </c>
      <c r="C63" s="47" t="s">
        <v>305</v>
      </c>
      <c r="D63" s="47" t="s">
        <v>816</v>
      </c>
      <c r="E63" s="47" t="s">
        <v>308</v>
      </c>
      <c r="F63" s="48" t="s">
        <v>225</v>
      </c>
      <c r="G63" s="49">
        <v>8</v>
      </c>
      <c r="H63" s="50" t="s">
        <v>14</v>
      </c>
      <c r="I63" s="50" t="s">
        <v>609</v>
      </c>
      <c r="J63" s="49"/>
      <c r="K63" s="51" t="s">
        <v>12</v>
      </c>
      <c r="L63" s="47" t="s">
        <v>817</v>
      </c>
    </row>
    <row r="64" spans="1:12" ht="144.94999999999999" customHeight="1" x14ac:dyDescent="0.25">
      <c r="A64" s="52" t="s">
        <v>309</v>
      </c>
      <c r="B64" s="53" t="s">
        <v>287</v>
      </c>
      <c r="C64" s="53" t="s">
        <v>305</v>
      </c>
      <c r="D64" s="53" t="s">
        <v>818</v>
      </c>
      <c r="E64" s="53" t="s">
        <v>819</v>
      </c>
      <c r="F64" s="48" t="s">
        <v>225</v>
      </c>
      <c r="G64" s="49">
        <v>8</v>
      </c>
      <c r="H64" s="51" t="s">
        <v>14</v>
      </c>
      <c r="I64" s="51" t="s">
        <v>29</v>
      </c>
      <c r="J64" s="49"/>
      <c r="K64" s="51" t="s">
        <v>12</v>
      </c>
      <c r="L64" s="53" t="s">
        <v>820</v>
      </c>
    </row>
    <row r="65" spans="1:12" ht="144.94999999999999" customHeight="1" x14ac:dyDescent="0.25">
      <c r="A65" s="46" t="s">
        <v>310</v>
      </c>
      <c r="B65" s="47" t="s">
        <v>287</v>
      </c>
      <c r="C65" s="47" t="s">
        <v>305</v>
      </c>
      <c r="D65" s="47" t="s">
        <v>821</v>
      </c>
      <c r="E65" s="47" t="s">
        <v>311</v>
      </c>
      <c r="F65" s="48" t="s">
        <v>225</v>
      </c>
      <c r="G65" s="49">
        <v>8</v>
      </c>
      <c r="H65" s="50" t="s">
        <v>16</v>
      </c>
      <c r="I65" s="50" t="s">
        <v>807</v>
      </c>
      <c r="J65" s="49"/>
      <c r="K65" s="51" t="s">
        <v>1</v>
      </c>
      <c r="L65" s="47" t="s">
        <v>822</v>
      </c>
    </row>
    <row r="66" spans="1:12" ht="144.94999999999999" customHeight="1" x14ac:dyDescent="0.25">
      <c r="A66" s="52" t="s">
        <v>312</v>
      </c>
      <c r="B66" s="53" t="s">
        <v>287</v>
      </c>
      <c r="C66" s="53" t="s">
        <v>305</v>
      </c>
      <c r="D66" s="53" t="s">
        <v>823</v>
      </c>
      <c r="E66" s="53" t="s">
        <v>313</v>
      </c>
      <c r="F66" s="48" t="s">
        <v>225</v>
      </c>
      <c r="G66" s="49">
        <v>8</v>
      </c>
      <c r="H66" s="51" t="s">
        <v>16</v>
      </c>
      <c r="I66" s="51" t="s">
        <v>807</v>
      </c>
      <c r="J66" s="49"/>
      <c r="K66" s="51" t="s">
        <v>1</v>
      </c>
      <c r="L66" s="53" t="s">
        <v>824</v>
      </c>
    </row>
    <row r="67" spans="1:12" ht="144.94999999999999" customHeight="1" x14ac:dyDescent="0.25">
      <c r="A67" s="46" t="s">
        <v>314</v>
      </c>
      <c r="B67" s="47" t="s">
        <v>287</v>
      </c>
      <c r="C67" s="47" t="s">
        <v>305</v>
      </c>
      <c r="D67" s="47" t="s">
        <v>825</v>
      </c>
      <c r="E67" s="47" t="s">
        <v>315</v>
      </c>
      <c r="F67" s="48" t="s">
        <v>225</v>
      </c>
      <c r="G67" s="49">
        <v>8</v>
      </c>
      <c r="H67" s="50" t="s">
        <v>16</v>
      </c>
      <c r="I67" s="50" t="s">
        <v>807</v>
      </c>
      <c r="J67" s="49"/>
      <c r="K67" s="51" t="s">
        <v>1</v>
      </c>
      <c r="L67" s="47" t="s">
        <v>826</v>
      </c>
    </row>
    <row r="68" spans="1:12" ht="144.94999999999999" customHeight="1" x14ac:dyDescent="0.25">
      <c r="A68" s="52" t="s">
        <v>316</v>
      </c>
      <c r="B68" s="53" t="s">
        <v>287</v>
      </c>
      <c r="C68" s="53" t="s">
        <v>305</v>
      </c>
      <c r="D68" s="53" t="s">
        <v>827</v>
      </c>
      <c r="E68" s="53" t="s">
        <v>317</v>
      </c>
      <c r="F68" s="48" t="s">
        <v>225</v>
      </c>
      <c r="G68" s="49">
        <v>8</v>
      </c>
      <c r="H68" s="51" t="s">
        <v>16</v>
      </c>
      <c r="I68" s="51" t="s">
        <v>759</v>
      </c>
      <c r="J68" s="49"/>
      <c r="K68" s="51" t="s">
        <v>1</v>
      </c>
      <c r="L68" s="53" t="s">
        <v>828</v>
      </c>
    </row>
    <row r="69" spans="1:12" ht="144.94999999999999" customHeight="1" x14ac:dyDescent="0.25">
      <c r="A69" s="52" t="s">
        <v>829</v>
      </c>
      <c r="B69" s="53" t="s">
        <v>287</v>
      </c>
      <c r="C69" s="53" t="s">
        <v>830</v>
      </c>
      <c r="D69" s="53" t="s">
        <v>831</v>
      </c>
      <c r="E69" s="53" t="s">
        <v>832</v>
      </c>
      <c r="F69" s="48" t="s">
        <v>225</v>
      </c>
      <c r="G69" s="49">
        <v>8</v>
      </c>
      <c r="H69" s="51" t="s">
        <v>14</v>
      </c>
      <c r="I69" s="51" t="s">
        <v>609</v>
      </c>
      <c r="J69" s="49"/>
      <c r="K69" s="51" t="s">
        <v>0</v>
      </c>
      <c r="L69" s="53" t="s">
        <v>833</v>
      </c>
    </row>
    <row r="70" spans="1:12" ht="144.94999999999999" customHeight="1" x14ac:dyDescent="0.25">
      <c r="A70" s="52" t="s">
        <v>834</v>
      </c>
      <c r="B70" s="53" t="s">
        <v>287</v>
      </c>
      <c r="C70" s="53" t="s">
        <v>835</v>
      </c>
      <c r="D70" s="53" t="s">
        <v>836</v>
      </c>
      <c r="E70" s="53" t="s">
        <v>837</v>
      </c>
      <c r="F70" s="48" t="s">
        <v>225</v>
      </c>
      <c r="G70" s="49">
        <v>8</v>
      </c>
      <c r="H70" s="51" t="s">
        <v>14</v>
      </c>
      <c r="I70" s="51" t="s">
        <v>807</v>
      </c>
      <c r="J70" s="49"/>
      <c r="K70" s="51" t="s">
        <v>12</v>
      </c>
      <c r="L70" s="53" t="s">
        <v>838</v>
      </c>
    </row>
    <row r="71" spans="1:12" ht="144.94999999999999" customHeight="1" x14ac:dyDescent="0.25">
      <c r="A71" s="52" t="s">
        <v>839</v>
      </c>
      <c r="B71" s="53" t="s">
        <v>287</v>
      </c>
      <c r="C71" s="53" t="s">
        <v>835</v>
      </c>
      <c r="D71" s="53" t="s">
        <v>840</v>
      </c>
      <c r="E71" s="53" t="s">
        <v>841</v>
      </c>
      <c r="F71" s="48" t="s">
        <v>225</v>
      </c>
      <c r="G71" s="49">
        <v>8</v>
      </c>
      <c r="H71" s="51" t="s">
        <v>14</v>
      </c>
      <c r="I71" s="51" t="s">
        <v>29</v>
      </c>
      <c r="J71" s="49"/>
      <c r="K71" s="51" t="s">
        <v>12</v>
      </c>
      <c r="L71" s="53" t="s">
        <v>842</v>
      </c>
    </row>
    <row r="72" spans="1:12" ht="144.94999999999999" customHeight="1" x14ac:dyDescent="0.25">
      <c r="A72" s="52" t="s">
        <v>843</v>
      </c>
      <c r="B72" s="53" t="s">
        <v>287</v>
      </c>
      <c r="C72" s="53" t="s">
        <v>835</v>
      </c>
      <c r="D72" s="53" t="s">
        <v>208</v>
      </c>
      <c r="E72" s="53" t="s">
        <v>844</v>
      </c>
      <c r="F72" s="48" t="s">
        <v>139</v>
      </c>
      <c r="G72" s="49">
        <v>5</v>
      </c>
      <c r="H72" s="51" t="s">
        <v>14</v>
      </c>
      <c r="I72" s="51" t="s">
        <v>807</v>
      </c>
      <c r="J72" s="49"/>
      <c r="K72" s="51" t="s">
        <v>12</v>
      </c>
      <c r="L72" s="53" t="s">
        <v>845</v>
      </c>
    </row>
    <row r="73" spans="1:12" ht="144.94999999999999" customHeight="1" x14ac:dyDescent="0.25">
      <c r="A73" s="52" t="s">
        <v>846</v>
      </c>
      <c r="B73" s="53" t="s">
        <v>287</v>
      </c>
      <c r="C73" s="53" t="s">
        <v>835</v>
      </c>
      <c r="D73" s="53" t="s">
        <v>847</v>
      </c>
      <c r="E73" s="53" t="s">
        <v>848</v>
      </c>
      <c r="F73" s="48" t="s">
        <v>139</v>
      </c>
      <c r="G73" s="49">
        <v>5</v>
      </c>
      <c r="H73" s="51" t="s">
        <v>14</v>
      </c>
      <c r="I73" s="51" t="s">
        <v>29</v>
      </c>
      <c r="J73" s="49"/>
      <c r="K73" s="51" t="s">
        <v>12</v>
      </c>
      <c r="L73" s="53" t="s">
        <v>849</v>
      </c>
    </row>
    <row r="74" spans="1:12" ht="144.94999999999999" customHeight="1" x14ac:dyDescent="0.25">
      <c r="A74" s="52" t="s">
        <v>850</v>
      </c>
      <c r="B74" s="53" t="s">
        <v>287</v>
      </c>
      <c r="C74" s="53" t="s">
        <v>835</v>
      </c>
      <c r="D74" s="53" t="s">
        <v>851</v>
      </c>
      <c r="E74" s="53" t="s">
        <v>852</v>
      </c>
      <c r="F74" s="48" t="s">
        <v>225</v>
      </c>
      <c r="G74" s="49">
        <v>8</v>
      </c>
      <c r="H74" s="51" t="s">
        <v>14</v>
      </c>
      <c r="I74" s="51" t="s">
        <v>609</v>
      </c>
      <c r="J74" s="49"/>
      <c r="K74" s="51" t="s">
        <v>12</v>
      </c>
      <c r="L74" s="53" t="s">
        <v>853</v>
      </c>
    </row>
    <row r="75" spans="1:12" ht="144.94999999999999" customHeight="1" x14ac:dyDescent="0.25">
      <c r="A75" s="52" t="s">
        <v>854</v>
      </c>
      <c r="B75" s="53" t="s">
        <v>287</v>
      </c>
      <c r="C75" s="53" t="s">
        <v>835</v>
      </c>
      <c r="D75" s="53" t="s">
        <v>855</v>
      </c>
      <c r="E75" s="53" t="s">
        <v>856</v>
      </c>
      <c r="F75" s="48" t="s">
        <v>225</v>
      </c>
      <c r="G75" s="49">
        <v>8</v>
      </c>
      <c r="H75" s="51" t="s">
        <v>14</v>
      </c>
      <c r="I75" s="51" t="s">
        <v>759</v>
      </c>
      <c r="J75" s="49"/>
      <c r="K75" s="51" t="s">
        <v>12</v>
      </c>
      <c r="L75" s="53" t="s">
        <v>857</v>
      </c>
    </row>
    <row r="76" spans="1:12" ht="144.94999999999999" customHeight="1" x14ac:dyDescent="0.25">
      <c r="A76" s="52" t="s">
        <v>858</v>
      </c>
      <c r="B76" s="53" t="s">
        <v>287</v>
      </c>
      <c r="C76" s="53" t="s">
        <v>835</v>
      </c>
      <c r="D76" s="53" t="s">
        <v>859</v>
      </c>
      <c r="E76" s="53" t="s">
        <v>860</v>
      </c>
      <c r="F76" s="48" t="s">
        <v>225</v>
      </c>
      <c r="G76" s="49">
        <v>8</v>
      </c>
      <c r="H76" s="51" t="s">
        <v>14</v>
      </c>
      <c r="I76" s="51" t="s">
        <v>609</v>
      </c>
      <c r="J76" s="49"/>
      <c r="K76" s="51" t="s">
        <v>12</v>
      </c>
      <c r="L76" s="53" t="s">
        <v>861</v>
      </c>
    </row>
    <row r="77" spans="1:12" ht="144.94999999999999" customHeight="1" x14ac:dyDescent="0.25">
      <c r="A77" s="52" t="s">
        <v>862</v>
      </c>
      <c r="B77" s="53" t="s">
        <v>131</v>
      </c>
      <c r="C77" s="53" t="s">
        <v>156</v>
      </c>
      <c r="D77" s="53" t="s">
        <v>863</v>
      </c>
      <c r="E77" s="53" t="s">
        <v>864</v>
      </c>
      <c r="F77" s="48" t="s">
        <v>225</v>
      </c>
      <c r="G77" s="49">
        <v>8</v>
      </c>
      <c r="H77" s="51" t="s">
        <v>15</v>
      </c>
      <c r="I77" s="51" t="s">
        <v>608</v>
      </c>
      <c r="J77" s="49"/>
      <c r="K77" s="51" t="s">
        <v>1</v>
      </c>
      <c r="L77" s="53" t="s">
        <v>865</v>
      </c>
    </row>
    <row r="78" spans="1:12" ht="144.94999999999999" customHeight="1" x14ac:dyDescent="0.25">
      <c r="A78" s="52" t="s">
        <v>866</v>
      </c>
      <c r="B78" s="53" t="s">
        <v>287</v>
      </c>
      <c r="C78" s="53" t="s">
        <v>835</v>
      </c>
      <c r="D78" s="53" t="s">
        <v>867</v>
      </c>
      <c r="E78" s="53" t="s">
        <v>868</v>
      </c>
      <c r="F78" s="48" t="s">
        <v>225</v>
      </c>
      <c r="G78" s="49">
        <v>8</v>
      </c>
      <c r="H78" s="51" t="s">
        <v>14</v>
      </c>
      <c r="I78" s="51" t="s">
        <v>609</v>
      </c>
      <c r="J78" s="49"/>
      <c r="K78" s="51" t="s">
        <v>12</v>
      </c>
      <c r="L78" s="53" t="s">
        <v>869</v>
      </c>
    </row>
    <row r="79" spans="1:12" ht="144.94999999999999" customHeight="1" x14ac:dyDescent="0.25">
      <c r="A79" s="52" t="s">
        <v>870</v>
      </c>
      <c r="B79" s="53" t="s">
        <v>287</v>
      </c>
      <c r="C79" s="53" t="s">
        <v>871</v>
      </c>
      <c r="D79" s="53" t="s">
        <v>872</v>
      </c>
      <c r="E79" s="53" t="s">
        <v>873</v>
      </c>
      <c r="F79" s="48" t="s">
        <v>225</v>
      </c>
      <c r="G79" s="49">
        <v>8</v>
      </c>
      <c r="H79" s="51" t="s">
        <v>15</v>
      </c>
      <c r="I79" s="51" t="s">
        <v>608</v>
      </c>
      <c r="J79" s="49"/>
      <c r="K79" s="51" t="s">
        <v>1</v>
      </c>
      <c r="L79" s="53" t="s">
        <v>874</v>
      </c>
    </row>
    <row r="80" spans="1:12" ht="144.94999999999999" customHeight="1" x14ac:dyDescent="0.25">
      <c r="A80" s="52" t="s">
        <v>875</v>
      </c>
      <c r="B80" s="53" t="s">
        <v>287</v>
      </c>
      <c r="C80" s="53" t="s">
        <v>125</v>
      </c>
      <c r="D80" s="53" t="s">
        <v>876</v>
      </c>
      <c r="E80" s="53" t="s">
        <v>877</v>
      </c>
      <c r="F80" s="48" t="s">
        <v>225</v>
      </c>
      <c r="G80" s="49">
        <v>8</v>
      </c>
      <c r="H80" s="51" t="s">
        <v>15</v>
      </c>
      <c r="I80" s="51" t="s">
        <v>759</v>
      </c>
      <c r="J80" s="49"/>
      <c r="K80" s="51" t="s">
        <v>0</v>
      </c>
      <c r="L80" s="53" t="s">
        <v>878</v>
      </c>
    </row>
    <row r="81" spans="1:12" ht="144.94999999999999" customHeight="1" x14ac:dyDescent="0.25">
      <c r="A81" s="52" t="s">
        <v>879</v>
      </c>
      <c r="B81" s="53" t="s">
        <v>287</v>
      </c>
      <c r="C81" s="53" t="s">
        <v>830</v>
      </c>
      <c r="D81" s="53" t="s">
        <v>880</v>
      </c>
      <c r="E81" s="53" t="s">
        <v>881</v>
      </c>
      <c r="F81" s="48" t="s">
        <v>225</v>
      </c>
      <c r="G81" s="49">
        <v>8</v>
      </c>
      <c r="H81" s="51" t="s">
        <v>14</v>
      </c>
      <c r="I81" s="51" t="s">
        <v>759</v>
      </c>
      <c r="J81" s="49"/>
      <c r="K81" s="51" t="s">
        <v>0</v>
      </c>
      <c r="L81" s="53" t="s">
        <v>882</v>
      </c>
    </row>
    <row r="82" spans="1:12" ht="144.94999999999999" customHeight="1" x14ac:dyDescent="0.25">
      <c r="A82" s="52" t="s">
        <v>883</v>
      </c>
      <c r="B82" s="53" t="s">
        <v>287</v>
      </c>
      <c r="C82" s="53" t="s">
        <v>288</v>
      </c>
      <c r="D82" s="53" t="s">
        <v>884</v>
      </c>
      <c r="E82" s="53" t="s">
        <v>885</v>
      </c>
      <c r="F82" s="48" t="s">
        <v>139</v>
      </c>
      <c r="G82" s="49">
        <v>5</v>
      </c>
      <c r="H82" s="51" t="s">
        <v>14</v>
      </c>
      <c r="I82" s="51" t="s">
        <v>807</v>
      </c>
      <c r="J82" s="49"/>
      <c r="K82" s="51" t="s">
        <v>0</v>
      </c>
      <c r="L82" s="53" t="s">
        <v>886</v>
      </c>
    </row>
    <row r="83" spans="1:12" ht="144.94999999999999" customHeight="1" x14ac:dyDescent="0.25">
      <c r="A83" s="52" t="s">
        <v>887</v>
      </c>
      <c r="B83" s="53" t="s">
        <v>287</v>
      </c>
      <c r="C83" s="53" t="s">
        <v>152</v>
      </c>
      <c r="D83" s="53" t="s">
        <v>888</v>
      </c>
      <c r="E83" s="53" t="s">
        <v>889</v>
      </c>
      <c r="F83" s="48" t="s">
        <v>139</v>
      </c>
      <c r="G83" s="49">
        <v>5</v>
      </c>
      <c r="H83" s="51" t="s">
        <v>14</v>
      </c>
      <c r="I83" s="51" t="s">
        <v>759</v>
      </c>
      <c r="J83" s="49"/>
      <c r="K83" s="51" t="s">
        <v>12</v>
      </c>
      <c r="L83" s="53" t="s">
        <v>890</v>
      </c>
    </row>
    <row r="84" spans="1:12" ht="90" customHeight="1" x14ac:dyDescent="0.25">
      <c r="A84" s="54" t="s">
        <v>891</v>
      </c>
      <c r="B84" s="54" t="s">
        <v>287</v>
      </c>
      <c r="C84" s="54" t="s">
        <v>892</v>
      </c>
      <c r="D84" s="54" t="s">
        <v>827</v>
      </c>
      <c r="E84" s="54" t="s">
        <v>893</v>
      </c>
      <c r="F84" s="54" t="s">
        <v>139</v>
      </c>
      <c r="G84" s="54">
        <v>5</v>
      </c>
      <c r="H84" s="54" t="s">
        <v>14</v>
      </c>
      <c r="I84" s="54" t="s">
        <v>29</v>
      </c>
      <c r="J84" s="54"/>
      <c r="K84" s="54" t="s">
        <v>12</v>
      </c>
      <c r="L84" s="54" t="s">
        <v>894</v>
      </c>
    </row>
    <row r="85" spans="1:12" ht="90" customHeight="1" x14ac:dyDescent="0.25">
      <c r="A85" s="54" t="s">
        <v>895</v>
      </c>
      <c r="B85" s="54" t="s">
        <v>287</v>
      </c>
      <c r="C85" s="54" t="s">
        <v>896</v>
      </c>
      <c r="D85" s="54" t="s">
        <v>897</v>
      </c>
      <c r="E85" s="54" t="s">
        <v>898</v>
      </c>
      <c r="F85" s="54" t="s">
        <v>139</v>
      </c>
      <c r="G85" s="54">
        <v>5</v>
      </c>
      <c r="H85" s="54" t="s">
        <v>14</v>
      </c>
      <c r="I85" s="54" t="s">
        <v>807</v>
      </c>
      <c r="J85" s="54"/>
      <c r="K85" s="54" t="s">
        <v>12</v>
      </c>
      <c r="L85" s="54" t="s">
        <v>899</v>
      </c>
    </row>
    <row r="86" spans="1:12" ht="90" customHeight="1" x14ac:dyDescent="0.25">
      <c r="A86" s="54" t="s">
        <v>900</v>
      </c>
      <c r="B86" s="54" t="s">
        <v>287</v>
      </c>
      <c r="C86" s="54" t="s">
        <v>901</v>
      </c>
      <c r="D86" s="54" t="s">
        <v>214</v>
      </c>
      <c r="E86" s="54" t="s">
        <v>902</v>
      </c>
      <c r="F86" s="54" t="s">
        <v>139</v>
      </c>
      <c r="G86" s="54">
        <v>5</v>
      </c>
      <c r="H86" s="54" t="s">
        <v>14</v>
      </c>
      <c r="I86" s="54" t="s">
        <v>807</v>
      </c>
      <c r="J86" s="54"/>
      <c r="K86" s="54" t="s">
        <v>12</v>
      </c>
      <c r="L86" s="54" t="s">
        <v>903</v>
      </c>
    </row>
    <row r="87" spans="1:12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</row>
    <row r="88" spans="1:12" ht="24.95" customHeight="1" x14ac:dyDescent="0.25">
      <c r="A88" s="4" t="s">
        <v>904</v>
      </c>
      <c r="B88" s="4"/>
      <c r="C88" s="4"/>
      <c r="D88" s="4"/>
      <c r="E88" s="4"/>
      <c r="F88" s="4"/>
      <c r="G88" s="4"/>
      <c r="H88" s="31"/>
      <c r="I88" s="31"/>
      <c r="J88" s="31"/>
      <c r="K88" s="31"/>
      <c r="L88" s="31"/>
    </row>
    <row r="89" spans="1:12" ht="30" x14ac:dyDescent="0.25">
      <c r="A89" s="55" t="s">
        <v>11</v>
      </c>
      <c r="B89" s="55" t="s">
        <v>905</v>
      </c>
      <c r="C89" s="55" t="s">
        <v>906</v>
      </c>
      <c r="D89" s="55" t="s">
        <v>12</v>
      </c>
      <c r="E89" s="55" t="s">
        <v>0</v>
      </c>
      <c r="F89" s="55" t="s">
        <v>1</v>
      </c>
      <c r="G89" s="55" t="s">
        <v>907</v>
      </c>
      <c r="H89" s="31"/>
      <c r="I89" s="31"/>
      <c r="J89" s="31"/>
      <c r="K89" s="31"/>
      <c r="L89" s="31"/>
    </row>
    <row r="90" spans="1:12" x14ac:dyDescent="0.25">
      <c r="A90" s="54" t="s">
        <v>14</v>
      </c>
      <c r="B90" s="54">
        <f>COUNTIF($H$5:$H$86,A90)</f>
        <v>39</v>
      </c>
      <c r="C90" s="54">
        <f>SUMIF($H$5:$H$86,A90,$G$5:$G$86)</f>
        <v>224</v>
      </c>
      <c r="D90" s="54">
        <f>COUNTIFS($H$5:$H$86,A90,$K$5:$K$86,"Done")</f>
        <v>22</v>
      </c>
      <c r="E90" s="54">
        <f>COUNTIFS($H$5:$H$86,A90,$K$5:$K$86,"In Progress")</f>
        <v>17</v>
      </c>
      <c r="F90" s="54">
        <f>COUNTIFS($H$5:$H$86,A90,$K$5:$K$86,"Not Started")</f>
        <v>0</v>
      </c>
      <c r="G90" s="54">
        <f>COUNTIFS($H$5:$H$86,A90,$K$5:$K$86,"Blocked")</f>
        <v>0</v>
      </c>
      <c r="H90" s="31"/>
      <c r="I90" s="31"/>
      <c r="J90" s="31"/>
      <c r="K90" s="31"/>
      <c r="L90" s="31"/>
    </row>
    <row r="91" spans="1:12" x14ac:dyDescent="0.25">
      <c r="A91" s="54" t="s">
        <v>15</v>
      </c>
      <c r="B91" s="54">
        <f>COUNTIF($H$5:$H$86,A91)</f>
        <v>18</v>
      </c>
      <c r="C91" s="54">
        <f>SUMIF($H$5:$H$86,A91,$G$5:$G$86)</f>
        <v>94</v>
      </c>
      <c r="D91" s="54">
        <f>COUNTIFS($H$5:$H$86,A91,$K$5:$K$86,"Done")</f>
        <v>0</v>
      </c>
      <c r="E91" s="54">
        <f>COUNTIFS($H$5:$H$86,A91,$K$5:$K$86,"In Progress")</f>
        <v>7</v>
      </c>
      <c r="F91" s="54">
        <f>COUNTIFS($H$5:$H$86,A91,$K$5:$K$86,"Not Started")</f>
        <v>11</v>
      </c>
      <c r="G91" s="54">
        <f>COUNTIFS($H$5:$H$86,A91,$K$5:$K$86,"Blocked")</f>
        <v>0</v>
      </c>
      <c r="H91" s="31"/>
      <c r="I91" s="31"/>
      <c r="J91" s="31"/>
      <c r="K91" s="31"/>
      <c r="L91" s="31"/>
    </row>
    <row r="92" spans="1:12" x14ac:dyDescent="0.25">
      <c r="A92" s="54" t="s">
        <v>16</v>
      </c>
      <c r="B92" s="54">
        <f>COUNTIF($H$5:$H$86,A92)</f>
        <v>25</v>
      </c>
      <c r="C92" s="54">
        <f>SUMIF($H$5:$H$86,A92,$G$5:$G$86)</f>
        <v>133</v>
      </c>
      <c r="D92" s="54">
        <f>COUNTIFS($H$5:$H$86,A92,$K$5:$K$86,"Done")</f>
        <v>0</v>
      </c>
      <c r="E92" s="54">
        <f>COUNTIFS($H$5:$H$86,A92,$K$5:$K$86,"In Progress")</f>
        <v>0</v>
      </c>
      <c r="F92" s="54">
        <f>COUNTIFS($H$5:$H$86,A92,$K$5:$K$86,"Not Started")</f>
        <v>25</v>
      </c>
      <c r="G92" s="54">
        <f>COUNTIFS($H$5:$H$86,A92,$K$5:$K$86,"Blocked")</f>
        <v>0</v>
      </c>
      <c r="H92" s="31"/>
      <c r="I92" s="31"/>
      <c r="J92" s="31"/>
      <c r="K92" s="31"/>
      <c r="L92" s="31"/>
    </row>
    <row r="93" spans="1:12" x14ac:dyDescent="0.25">
      <c r="A93" s="54" t="s">
        <v>908</v>
      </c>
      <c r="B93" s="54">
        <f t="shared" ref="B93:G93" si="0">SUM(B90:B92)</f>
        <v>82</v>
      </c>
      <c r="C93" s="54">
        <f t="shared" si="0"/>
        <v>451</v>
      </c>
      <c r="D93" s="54">
        <f t="shared" si="0"/>
        <v>22</v>
      </c>
      <c r="E93" s="54">
        <f t="shared" si="0"/>
        <v>24</v>
      </c>
      <c r="F93" s="54">
        <f t="shared" si="0"/>
        <v>36</v>
      </c>
      <c r="G93" s="54">
        <f t="shared" si="0"/>
        <v>0</v>
      </c>
      <c r="H93" s="31"/>
      <c r="I93" s="31"/>
      <c r="J93" s="31"/>
      <c r="K93" s="31"/>
      <c r="L93" s="31"/>
    </row>
    <row r="94" spans="1:12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</row>
    <row r="95" spans="1:12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</row>
    <row r="96" spans="1:12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</row>
    <row r="97" spans="1:12" ht="24.95" customHeight="1" x14ac:dyDescent="0.25">
      <c r="A97" s="4" t="s">
        <v>909</v>
      </c>
      <c r="B97" s="4"/>
      <c r="C97" s="4"/>
      <c r="D97" s="4"/>
      <c r="E97" s="4"/>
      <c r="F97" s="4"/>
      <c r="G97" s="4"/>
      <c r="H97" s="31"/>
      <c r="I97" s="31"/>
      <c r="J97" s="31"/>
      <c r="K97" s="31"/>
      <c r="L97" s="31"/>
    </row>
    <row r="98" spans="1:12" x14ac:dyDescent="0.25">
      <c r="A98" s="55" t="s">
        <v>11</v>
      </c>
      <c r="B98" s="55" t="s">
        <v>910</v>
      </c>
      <c r="C98" s="55" t="s">
        <v>911</v>
      </c>
      <c r="D98" s="55" t="s">
        <v>912</v>
      </c>
      <c r="E98" s="55" t="s">
        <v>913</v>
      </c>
      <c r="F98" s="55" t="s">
        <v>914</v>
      </c>
      <c r="G98" s="55" t="s">
        <v>915</v>
      </c>
      <c r="H98" s="31"/>
      <c r="I98" s="31"/>
      <c r="J98" s="31"/>
      <c r="K98" s="31"/>
      <c r="L98" s="31"/>
    </row>
    <row r="99" spans="1:12" ht="129.94999999999999" customHeight="1" x14ac:dyDescent="0.25">
      <c r="A99" s="54" t="s">
        <v>14</v>
      </c>
      <c r="B99" s="56">
        <v>46274</v>
      </c>
      <c r="C99" s="56">
        <v>46302</v>
      </c>
      <c r="D99" s="54" t="s">
        <v>916</v>
      </c>
      <c r="E99" s="54" t="s">
        <v>917</v>
      </c>
      <c r="F99" s="54" t="s">
        <v>918</v>
      </c>
      <c r="G99" s="54" t="s">
        <v>609</v>
      </c>
      <c r="H99" s="31"/>
      <c r="I99" s="31"/>
      <c r="J99" s="31"/>
      <c r="K99" s="31"/>
      <c r="L99" s="31"/>
    </row>
    <row r="100" spans="1:12" ht="129.94999999999999" customHeight="1" x14ac:dyDescent="0.25">
      <c r="A100" s="54" t="s">
        <v>15</v>
      </c>
      <c r="B100" s="56">
        <v>46303</v>
      </c>
      <c r="C100" s="56">
        <v>46323</v>
      </c>
      <c r="D100" s="54" t="s">
        <v>919</v>
      </c>
      <c r="E100" s="54" t="s">
        <v>920</v>
      </c>
      <c r="F100" s="54" t="s">
        <v>921</v>
      </c>
      <c r="G100" s="54" t="s">
        <v>608</v>
      </c>
      <c r="H100" s="31"/>
      <c r="I100" s="31"/>
      <c r="J100" s="31"/>
      <c r="K100" s="31"/>
      <c r="L100" s="31"/>
    </row>
    <row r="101" spans="1:12" ht="129.94999999999999" customHeight="1" x14ac:dyDescent="0.25">
      <c r="A101" s="54" t="s">
        <v>16</v>
      </c>
      <c r="B101" s="56">
        <v>46324</v>
      </c>
      <c r="C101" s="56">
        <v>46365</v>
      </c>
      <c r="D101" s="54" t="s">
        <v>922</v>
      </c>
      <c r="E101" s="54" t="s">
        <v>923</v>
      </c>
      <c r="F101" s="54" t="s">
        <v>924</v>
      </c>
      <c r="G101" s="54" t="s">
        <v>609</v>
      </c>
      <c r="H101" s="31"/>
      <c r="I101" s="31"/>
      <c r="J101" s="31"/>
      <c r="K101" s="31"/>
      <c r="L101" s="31"/>
    </row>
    <row r="102" spans="1:12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</row>
    <row r="103" spans="1:12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</row>
    <row r="104" spans="1:12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</row>
    <row r="105" spans="1:12" ht="24.95" customHeight="1" x14ac:dyDescent="0.25">
      <c r="A105" s="4" t="s">
        <v>925</v>
      </c>
      <c r="B105" s="4"/>
      <c r="C105" s="4"/>
      <c r="D105" s="4"/>
      <c r="E105" s="4"/>
      <c r="F105" s="4"/>
      <c r="G105" s="4"/>
      <c r="H105" s="31"/>
      <c r="I105" s="31"/>
      <c r="J105" s="31"/>
      <c r="K105" s="31"/>
      <c r="L105" s="31"/>
    </row>
    <row r="106" spans="1:12" ht="30" x14ac:dyDescent="0.25">
      <c r="A106" s="55" t="s">
        <v>926</v>
      </c>
      <c r="B106" s="55" t="s">
        <v>927</v>
      </c>
      <c r="C106" s="55" t="s">
        <v>928</v>
      </c>
      <c r="D106" s="55" t="s">
        <v>929</v>
      </c>
      <c r="E106" s="55" t="s">
        <v>930</v>
      </c>
      <c r="F106" s="55" t="s">
        <v>931</v>
      </c>
      <c r="G106" s="55" t="s">
        <v>932</v>
      </c>
      <c r="H106" s="31"/>
      <c r="I106" s="31"/>
      <c r="J106" s="31"/>
      <c r="K106" s="31"/>
      <c r="L106" s="31"/>
    </row>
    <row r="107" spans="1:12" ht="84.95" customHeight="1" x14ac:dyDescent="0.25">
      <c r="A107" s="54" t="s">
        <v>29</v>
      </c>
      <c r="B107" s="54" t="s">
        <v>933</v>
      </c>
      <c r="C107" s="54" t="s">
        <v>934</v>
      </c>
      <c r="D107" s="54" t="s">
        <v>935</v>
      </c>
      <c r="E107" s="54" t="s">
        <v>936</v>
      </c>
      <c r="F107" s="54" t="s">
        <v>937</v>
      </c>
      <c r="G107" s="54" t="s">
        <v>938</v>
      </c>
      <c r="H107" s="31"/>
      <c r="I107" s="31"/>
      <c r="J107" s="31"/>
      <c r="K107" s="31"/>
      <c r="L107" s="31"/>
    </row>
    <row r="108" spans="1:12" ht="84.95" customHeight="1" x14ac:dyDescent="0.25">
      <c r="A108" s="54" t="s">
        <v>608</v>
      </c>
      <c r="B108" s="54" t="s">
        <v>939</v>
      </c>
      <c r="C108" s="54" t="s">
        <v>940</v>
      </c>
      <c r="D108" s="54" t="s">
        <v>941</v>
      </c>
      <c r="E108" s="54" t="s">
        <v>942</v>
      </c>
      <c r="F108" s="54" t="s">
        <v>943</v>
      </c>
      <c r="G108" s="54" t="s">
        <v>944</v>
      </c>
      <c r="H108" s="31"/>
      <c r="I108" s="31"/>
      <c r="J108" s="31"/>
      <c r="K108" s="31"/>
      <c r="L108" s="31"/>
    </row>
    <row r="109" spans="1:12" ht="84.95" customHeight="1" x14ac:dyDescent="0.25">
      <c r="A109" s="54" t="s">
        <v>759</v>
      </c>
      <c r="B109" s="54" t="s">
        <v>43</v>
      </c>
      <c r="C109" s="54" t="s">
        <v>945</v>
      </c>
      <c r="D109" s="54" t="s">
        <v>946</v>
      </c>
      <c r="E109" s="54" t="s">
        <v>947</v>
      </c>
      <c r="F109" s="54" t="s">
        <v>948</v>
      </c>
      <c r="G109" s="54" t="s">
        <v>949</v>
      </c>
      <c r="H109" s="31"/>
      <c r="I109" s="31"/>
      <c r="J109" s="31"/>
      <c r="K109" s="31"/>
      <c r="L109" s="31"/>
    </row>
    <row r="110" spans="1:12" ht="84.95" customHeight="1" x14ac:dyDescent="0.25">
      <c r="A110" s="54" t="s">
        <v>609</v>
      </c>
      <c r="B110" s="54" t="s">
        <v>950</v>
      </c>
      <c r="C110" s="54" t="s">
        <v>951</v>
      </c>
      <c r="D110" s="54" t="s">
        <v>952</v>
      </c>
      <c r="E110" s="54" t="s">
        <v>953</v>
      </c>
      <c r="F110" s="54" t="s">
        <v>954</v>
      </c>
      <c r="G110" s="54" t="s">
        <v>955</v>
      </c>
      <c r="H110" s="31"/>
      <c r="I110" s="31"/>
      <c r="J110" s="31"/>
      <c r="K110" s="31"/>
      <c r="L110" s="31"/>
    </row>
    <row r="111" spans="1:12" ht="84.95" customHeight="1" x14ac:dyDescent="0.25">
      <c r="A111" s="54" t="s">
        <v>807</v>
      </c>
      <c r="B111" s="54" t="s">
        <v>933</v>
      </c>
      <c r="C111" s="54" t="s">
        <v>956</v>
      </c>
      <c r="D111" s="54" t="s">
        <v>957</v>
      </c>
      <c r="E111" s="54" t="s">
        <v>958</v>
      </c>
      <c r="F111" s="54" t="s">
        <v>959</v>
      </c>
      <c r="G111" s="54" t="s">
        <v>960</v>
      </c>
      <c r="H111" s="31"/>
      <c r="I111" s="31"/>
      <c r="J111" s="31"/>
      <c r="K111" s="31"/>
      <c r="L111" s="31"/>
    </row>
    <row r="112" spans="1:12" ht="51.95" customHeight="1" x14ac:dyDescent="0.25">
      <c r="A112" s="101" t="s">
        <v>750</v>
      </c>
      <c r="B112" s="101" t="s">
        <v>961</v>
      </c>
      <c r="C112" s="101" t="s">
        <v>962</v>
      </c>
      <c r="D112" s="101" t="s">
        <v>39</v>
      </c>
      <c r="E112" s="101" t="s">
        <v>963</v>
      </c>
      <c r="F112" s="101" t="s">
        <v>964</v>
      </c>
      <c r="G112" s="101" t="s">
        <v>965</v>
      </c>
      <c r="H112" s="31"/>
      <c r="I112" s="31"/>
      <c r="J112" s="31"/>
      <c r="K112" s="31"/>
      <c r="L112" s="31"/>
    </row>
    <row r="113" spans="1:12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</row>
    <row r="114" spans="1:12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</row>
    <row r="115" spans="1:12" ht="24.95" customHeight="1" x14ac:dyDescent="0.25">
      <c r="A115" s="4" t="s">
        <v>966</v>
      </c>
      <c r="B115" s="4"/>
      <c r="C115" s="4"/>
      <c r="D115" s="4"/>
      <c r="E115" s="4"/>
      <c r="F115" s="4"/>
      <c r="G115" s="4"/>
      <c r="H115" s="31"/>
      <c r="I115" s="31"/>
      <c r="J115" s="31"/>
      <c r="K115" s="31"/>
      <c r="L115" s="31"/>
    </row>
    <row r="116" spans="1:12" x14ac:dyDescent="0.25">
      <c r="A116" s="55" t="s">
        <v>967</v>
      </c>
      <c r="B116" s="55" t="s">
        <v>968</v>
      </c>
      <c r="C116" s="55" t="s">
        <v>969</v>
      </c>
      <c r="D116" s="55" t="s">
        <v>970</v>
      </c>
      <c r="E116" s="55" t="s">
        <v>129</v>
      </c>
      <c r="F116" s="55" t="s">
        <v>4</v>
      </c>
      <c r="G116" s="55" t="s">
        <v>971</v>
      </c>
      <c r="H116" s="31"/>
      <c r="I116" s="31"/>
      <c r="J116" s="31"/>
      <c r="K116" s="31"/>
      <c r="L116" s="31"/>
    </row>
    <row r="117" spans="1:12" ht="80.099999999999994" customHeight="1" x14ac:dyDescent="0.25">
      <c r="A117" s="54" t="s">
        <v>972</v>
      </c>
      <c r="B117" s="54" t="s">
        <v>973</v>
      </c>
      <c r="C117" s="54" t="s">
        <v>974</v>
      </c>
      <c r="D117" s="54" t="s">
        <v>975</v>
      </c>
      <c r="E117" s="54" t="s">
        <v>609</v>
      </c>
      <c r="F117" s="54" t="s">
        <v>976</v>
      </c>
      <c r="G117" s="54" t="s">
        <v>977</v>
      </c>
      <c r="H117" s="31"/>
      <c r="I117" s="31"/>
      <c r="J117" s="31"/>
      <c r="K117" s="31"/>
      <c r="L117" s="31"/>
    </row>
    <row r="118" spans="1:12" ht="80.099999999999994" customHeight="1" x14ac:dyDescent="0.25">
      <c r="A118" s="54" t="s">
        <v>978</v>
      </c>
      <c r="B118" s="54" t="s">
        <v>979</v>
      </c>
      <c r="C118" s="54" t="s">
        <v>980</v>
      </c>
      <c r="D118" s="54" t="s">
        <v>981</v>
      </c>
      <c r="E118" s="54" t="s">
        <v>609</v>
      </c>
      <c r="F118" s="54" t="s">
        <v>976</v>
      </c>
      <c r="G118" s="54" t="s">
        <v>982</v>
      </c>
      <c r="H118" s="31"/>
      <c r="I118" s="31"/>
      <c r="J118" s="31"/>
      <c r="K118" s="31"/>
      <c r="L118" s="31"/>
    </row>
    <row r="119" spans="1:12" ht="80.099999999999994" customHeight="1" x14ac:dyDescent="0.25">
      <c r="A119" s="54" t="s">
        <v>983</v>
      </c>
      <c r="B119" s="54" t="s">
        <v>984</v>
      </c>
      <c r="C119" s="54" t="s">
        <v>985</v>
      </c>
      <c r="D119" s="54" t="s">
        <v>986</v>
      </c>
      <c r="E119" s="54" t="s">
        <v>609</v>
      </c>
      <c r="F119" s="54" t="s">
        <v>987</v>
      </c>
      <c r="G119" s="54" t="s">
        <v>988</v>
      </c>
      <c r="H119" s="31"/>
      <c r="I119" s="31"/>
      <c r="J119" s="31"/>
      <c r="K119" s="31"/>
      <c r="L119" s="31"/>
    </row>
    <row r="120" spans="1:12" ht="80.099999999999994" customHeight="1" x14ac:dyDescent="0.25">
      <c r="A120" s="54" t="s">
        <v>989</v>
      </c>
      <c r="B120" s="54" t="s">
        <v>990</v>
      </c>
      <c r="C120" s="54" t="s">
        <v>991</v>
      </c>
      <c r="D120" s="54" t="s">
        <v>992</v>
      </c>
      <c r="E120" s="54" t="s">
        <v>952</v>
      </c>
      <c r="F120" s="54" t="s">
        <v>993</v>
      </c>
      <c r="G120" s="54" t="s">
        <v>994</v>
      </c>
      <c r="H120" s="31"/>
      <c r="I120" s="31"/>
      <c r="J120" s="31"/>
      <c r="K120" s="31"/>
      <c r="L120" s="31"/>
    </row>
    <row r="121" spans="1:12" ht="80.099999999999994" customHeight="1" x14ac:dyDescent="0.25">
      <c r="A121" s="54" t="s">
        <v>12</v>
      </c>
      <c r="B121" s="54" t="s">
        <v>995</v>
      </c>
      <c r="C121" s="54" t="s">
        <v>996</v>
      </c>
      <c r="D121" s="54" t="s">
        <v>997</v>
      </c>
      <c r="E121" s="54" t="s">
        <v>998</v>
      </c>
      <c r="F121" s="54" t="s">
        <v>999</v>
      </c>
      <c r="G121" s="54" t="s">
        <v>1000</v>
      </c>
      <c r="H121" s="31"/>
      <c r="I121" s="31"/>
      <c r="J121" s="31"/>
      <c r="K121" s="31"/>
      <c r="L121" s="31"/>
    </row>
    <row r="122" spans="1:12" ht="80.099999999999994" customHeight="1" x14ac:dyDescent="0.25">
      <c r="A122" s="54" t="s">
        <v>1001</v>
      </c>
      <c r="B122" s="54" t="s">
        <v>1002</v>
      </c>
      <c r="C122" s="54" t="s">
        <v>1003</v>
      </c>
      <c r="D122" s="54" t="s">
        <v>1004</v>
      </c>
      <c r="E122" s="54" t="s">
        <v>609</v>
      </c>
      <c r="F122" s="54" t="s">
        <v>1005</v>
      </c>
      <c r="G122" s="54" t="s">
        <v>1006</v>
      </c>
      <c r="H122" s="31"/>
      <c r="I122" s="31"/>
      <c r="J122" s="31"/>
      <c r="K122" s="31"/>
      <c r="L122" s="31"/>
    </row>
    <row r="123" spans="1:12" ht="80.099999999999994" customHeight="1" x14ac:dyDescent="0.25">
      <c r="A123" s="54" t="s">
        <v>1007</v>
      </c>
      <c r="B123" s="54" t="s">
        <v>1008</v>
      </c>
      <c r="C123" s="54" t="s">
        <v>1009</v>
      </c>
      <c r="D123" s="54" t="s">
        <v>1010</v>
      </c>
      <c r="E123" s="54" t="s">
        <v>750</v>
      </c>
      <c r="F123" s="54" t="s">
        <v>1011</v>
      </c>
      <c r="G123" s="54" t="s">
        <v>1012</v>
      </c>
      <c r="H123" s="31"/>
      <c r="I123" s="31"/>
      <c r="J123" s="31"/>
      <c r="K123" s="31"/>
      <c r="L123" s="31"/>
    </row>
  </sheetData>
  <mergeCells count="5">
    <mergeCell ref="A2:L2"/>
    <mergeCell ref="A88:G88"/>
    <mergeCell ref="A97:G97"/>
    <mergeCell ref="A105:G105"/>
    <mergeCell ref="A115:G115"/>
  </mergeCells>
  <conditionalFormatting sqref="K5:K83">
    <cfRule type="containsText" dxfId="89" priority="2" operator="containsText" text="In Progress"/>
    <cfRule type="containsText" dxfId="88" priority="3" operator="containsText" text="Not Started"/>
    <cfRule type="containsText" dxfId="87" priority="4" operator="containsText" text="Blocked"/>
  </conditionalFormatting>
  <conditionalFormatting sqref="K5:K86">
    <cfRule type="containsText" dxfId="86" priority="1" operator="containsText" text="Done"/>
  </conditionalFormatting>
  <dataValidations count="4">
    <dataValidation type="list" sqref="F5:F86" xr:uid="{00000000-0002-0000-0200-000000000000}">
      <formula1>"Simple,Medium,Complex"</formula1>
    </dataValidation>
    <dataValidation type="list" sqref="H5:H86" xr:uid="{00000000-0002-0000-0200-000001000000}">
      <formula1>"Iteration 1,Iteration 2,Iteration 3"</formula1>
    </dataValidation>
    <dataValidation type="list" sqref="I5:I86" xr:uid="{00000000-0002-0000-0200-000002000000}">
      <formula1>"PhuPD,HoangNV,SonLT,HieuLT,TungVPH"</formula1>
    </dataValidation>
    <dataValidation type="list" sqref="K5:K86" xr:uid="{00000000-0002-0000-0200-000003000000}">
      <formula1>"Not Started,In Progress,Done,Blocked"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6000"/>
  </sheetPr>
  <dimension ref="A1:L2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9" customWidth="1"/>
    <col min="2" max="2" width="13" customWidth="1"/>
    <col min="3" max="3" width="45" customWidth="1"/>
    <col min="4" max="5" width="16" customWidth="1"/>
    <col min="6" max="6" width="12" customWidth="1"/>
    <col min="7" max="7" width="13" customWidth="1"/>
    <col min="8" max="8" width="64" customWidth="1"/>
    <col min="9" max="9" width="17" customWidth="1"/>
    <col min="10" max="10" width="14" customWidth="1"/>
    <col min="11" max="11" width="16" customWidth="1"/>
    <col min="12" max="12" width="80" customWidth="1"/>
  </cols>
  <sheetData>
    <row r="1" spans="1:12" ht="18" x14ac:dyDescent="0.25">
      <c r="A1" s="11" t="s">
        <v>624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0.100000000000001" customHeight="1" x14ac:dyDescent="0.25">
      <c r="A2" s="6" t="s">
        <v>720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ht="35.1" customHeight="1" x14ac:dyDescent="0.25">
      <c r="A4" s="57" t="s">
        <v>610</v>
      </c>
      <c r="B4" s="57" t="s">
        <v>625</v>
      </c>
      <c r="C4" s="57" t="s">
        <v>626</v>
      </c>
      <c r="D4" s="57" t="s">
        <v>627</v>
      </c>
      <c r="E4" s="57" t="s">
        <v>628</v>
      </c>
      <c r="F4" s="57" t="s">
        <v>629</v>
      </c>
      <c r="G4" s="57" t="s">
        <v>630</v>
      </c>
      <c r="H4" s="57" t="s">
        <v>631</v>
      </c>
      <c r="I4" s="57" t="s">
        <v>632</v>
      </c>
      <c r="J4" s="57" t="s">
        <v>633</v>
      </c>
      <c r="K4" s="57" t="s">
        <v>612</v>
      </c>
      <c r="L4" s="57" t="s">
        <v>614</v>
      </c>
    </row>
    <row r="5" spans="1:12" ht="144.94999999999999" customHeight="1" x14ac:dyDescent="0.25">
      <c r="A5" s="58" t="s">
        <v>318</v>
      </c>
      <c r="B5" s="59">
        <v>46302</v>
      </c>
      <c r="C5" s="60" t="s">
        <v>319</v>
      </c>
      <c r="D5" s="33" t="s">
        <v>750</v>
      </c>
      <c r="E5" s="33" t="s">
        <v>609</v>
      </c>
      <c r="F5" s="61" t="s">
        <v>320</v>
      </c>
      <c r="G5" s="59">
        <v>46304</v>
      </c>
      <c r="H5" s="33" t="s">
        <v>1013</v>
      </c>
      <c r="I5" s="34"/>
      <c r="J5" s="59"/>
      <c r="K5" s="41" t="s">
        <v>321</v>
      </c>
      <c r="L5" s="33" t="s">
        <v>1014</v>
      </c>
    </row>
    <row r="6" spans="1:12" ht="144.94999999999999" customHeight="1" x14ac:dyDescent="0.25">
      <c r="A6" s="58" t="s">
        <v>322</v>
      </c>
      <c r="B6" s="62">
        <v>46302</v>
      </c>
      <c r="C6" s="63" t="s">
        <v>323</v>
      </c>
      <c r="D6" s="63" t="s">
        <v>750</v>
      </c>
      <c r="E6" s="63" t="s">
        <v>609</v>
      </c>
      <c r="F6" s="61" t="s">
        <v>139</v>
      </c>
      <c r="G6" s="62">
        <v>46302</v>
      </c>
      <c r="H6" s="63" t="s">
        <v>324</v>
      </c>
      <c r="I6" s="63" t="s">
        <v>609</v>
      </c>
      <c r="J6" s="62">
        <v>46302</v>
      </c>
      <c r="K6" s="64" t="s">
        <v>325</v>
      </c>
      <c r="L6" s="63" t="s">
        <v>1015</v>
      </c>
    </row>
    <row r="7" spans="1:12" ht="144.94999999999999" customHeight="1" x14ac:dyDescent="0.25">
      <c r="A7" s="58" t="s">
        <v>326</v>
      </c>
      <c r="B7" s="65">
        <v>46302</v>
      </c>
      <c r="C7" s="66" t="s">
        <v>327</v>
      </c>
      <c r="D7" s="66" t="s">
        <v>750</v>
      </c>
      <c r="E7" s="66" t="s">
        <v>609</v>
      </c>
      <c r="F7" s="61" t="s">
        <v>320</v>
      </c>
      <c r="G7" s="65">
        <v>46302</v>
      </c>
      <c r="H7" s="66" t="s">
        <v>328</v>
      </c>
      <c r="I7" s="66" t="s">
        <v>609</v>
      </c>
      <c r="J7" s="65">
        <v>46302</v>
      </c>
      <c r="K7" s="64" t="s">
        <v>325</v>
      </c>
      <c r="L7" s="66" t="s">
        <v>1016</v>
      </c>
    </row>
    <row r="8" spans="1:12" ht="144.94999999999999" customHeight="1" x14ac:dyDescent="0.25">
      <c r="A8" s="58" t="s">
        <v>329</v>
      </c>
      <c r="B8" s="62">
        <v>46302</v>
      </c>
      <c r="C8" s="63" t="s">
        <v>330</v>
      </c>
      <c r="D8" s="63" t="s">
        <v>750</v>
      </c>
      <c r="E8" s="63" t="s">
        <v>29</v>
      </c>
      <c r="F8" s="61" t="s">
        <v>320</v>
      </c>
      <c r="G8" s="62">
        <v>46302</v>
      </c>
      <c r="H8" s="63" t="s">
        <v>331</v>
      </c>
      <c r="I8" s="63" t="s">
        <v>29</v>
      </c>
      <c r="J8" s="62">
        <v>46302</v>
      </c>
      <c r="K8" s="64" t="s">
        <v>325</v>
      </c>
      <c r="L8" s="63" t="s">
        <v>1017</v>
      </c>
    </row>
    <row r="9" spans="1:12" ht="144.94999999999999" customHeight="1" x14ac:dyDescent="0.25">
      <c r="A9" s="58" t="s">
        <v>332</v>
      </c>
      <c r="B9" s="65">
        <v>46302</v>
      </c>
      <c r="C9" s="66" t="s">
        <v>333</v>
      </c>
      <c r="D9" s="66" t="s">
        <v>750</v>
      </c>
      <c r="E9" s="66" t="s">
        <v>609</v>
      </c>
      <c r="F9" s="61" t="s">
        <v>320</v>
      </c>
      <c r="G9" s="65">
        <v>46302</v>
      </c>
      <c r="H9" s="66" t="s">
        <v>1018</v>
      </c>
      <c r="I9" s="66" t="s">
        <v>609</v>
      </c>
      <c r="J9" s="65">
        <v>46302</v>
      </c>
      <c r="K9" s="64" t="s">
        <v>325</v>
      </c>
      <c r="L9" s="66" t="s">
        <v>1019</v>
      </c>
    </row>
    <row r="10" spans="1:12" ht="144.94999999999999" customHeight="1" x14ac:dyDescent="0.25">
      <c r="A10" s="58" t="s">
        <v>334</v>
      </c>
      <c r="B10" s="62">
        <v>46302</v>
      </c>
      <c r="C10" s="63" t="s">
        <v>335</v>
      </c>
      <c r="D10" s="63" t="s">
        <v>750</v>
      </c>
      <c r="E10" s="63" t="s">
        <v>609</v>
      </c>
      <c r="F10" s="61" t="s">
        <v>320</v>
      </c>
      <c r="G10" s="62">
        <v>46306</v>
      </c>
      <c r="H10" s="63" t="s">
        <v>336</v>
      </c>
      <c r="I10" s="63"/>
      <c r="J10" s="62"/>
      <c r="K10" s="64" t="s">
        <v>321</v>
      </c>
      <c r="L10" s="63" t="s">
        <v>1020</v>
      </c>
    </row>
    <row r="11" spans="1:12" ht="144.94999999999999" customHeight="1" x14ac:dyDescent="0.25">
      <c r="A11" s="58" t="s">
        <v>337</v>
      </c>
      <c r="B11" s="65">
        <v>46302</v>
      </c>
      <c r="C11" s="66" t="s">
        <v>338</v>
      </c>
      <c r="D11" s="66" t="s">
        <v>750</v>
      </c>
      <c r="E11" s="66" t="s">
        <v>807</v>
      </c>
      <c r="F11" s="61" t="s">
        <v>320</v>
      </c>
      <c r="G11" s="65">
        <v>46304</v>
      </c>
      <c r="H11" s="66" t="s">
        <v>339</v>
      </c>
      <c r="I11" s="66"/>
      <c r="J11" s="65"/>
      <c r="K11" s="64" t="s">
        <v>321</v>
      </c>
      <c r="L11" s="66" t="s">
        <v>1021</v>
      </c>
    </row>
    <row r="12" spans="1:12" ht="144.94999999999999" customHeight="1" x14ac:dyDescent="0.25">
      <c r="A12" s="58" t="s">
        <v>340</v>
      </c>
      <c r="B12" s="62">
        <v>46302</v>
      </c>
      <c r="C12" s="63" t="s">
        <v>341</v>
      </c>
      <c r="D12" s="63" t="s">
        <v>750</v>
      </c>
      <c r="E12" s="63" t="s">
        <v>807</v>
      </c>
      <c r="F12" s="61" t="s">
        <v>139</v>
      </c>
      <c r="G12" s="62">
        <v>46302</v>
      </c>
      <c r="H12" s="63" t="s">
        <v>342</v>
      </c>
      <c r="I12" s="63" t="s">
        <v>807</v>
      </c>
      <c r="J12" s="62">
        <v>46302</v>
      </c>
      <c r="K12" s="64" t="s">
        <v>325</v>
      </c>
      <c r="L12" s="63" t="s">
        <v>1022</v>
      </c>
    </row>
    <row r="13" spans="1:12" ht="144.94999999999999" customHeight="1" x14ac:dyDescent="0.25">
      <c r="A13" s="58" t="s">
        <v>343</v>
      </c>
      <c r="B13" s="65">
        <v>46302</v>
      </c>
      <c r="C13" s="66" t="s">
        <v>344</v>
      </c>
      <c r="D13" s="66" t="s">
        <v>750</v>
      </c>
      <c r="E13" s="66" t="s">
        <v>609</v>
      </c>
      <c r="F13" s="61" t="s">
        <v>320</v>
      </c>
      <c r="G13" s="65">
        <v>46306</v>
      </c>
      <c r="H13" s="66" t="s">
        <v>345</v>
      </c>
      <c r="I13" s="66"/>
      <c r="J13" s="65"/>
      <c r="K13" s="64" t="s">
        <v>321</v>
      </c>
      <c r="L13" s="66" t="s">
        <v>1023</v>
      </c>
    </row>
    <row r="14" spans="1:12" ht="144.94999999999999" customHeight="1" x14ac:dyDescent="0.25">
      <c r="A14" s="58" t="s">
        <v>346</v>
      </c>
      <c r="B14" s="62">
        <v>46302</v>
      </c>
      <c r="C14" s="63" t="s">
        <v>347</v>
      </c>
      <c r="D14" s="63" t="s">
        <v>750</v>
      </c>
      <c r="E14" s="63" t="s">
        <v>759</v>
      </c>
      <c r="F14" s="61" t="s">
        <v>320</v>
      </c>
      <c r="G14" s="62">
        <v>46302</v>
      </c>
      <c r="H14" s="63" t="s">
        <v>348</v>
      </c>
      <c r="I14" s="63" t="s">
        <v>759</v>
      </c>
      <c r="J14" s="62">
        <v>46302</v>
      </c>
      <c r="K14" s="64" t="s">
        <v>325</v>
      </c>
      <c r="L14" s="63" t="s">
        <v>1024</v>
      </c>
    </row>
    <row r="15" spans="1:12" ht="144.94999999999999" customHeight="1" x14ac:dyDescent="0.25">
      <c r="A15" s="58" t="s">
        <v>349</v>
      </c>
      <c r="B15" s="65">
        <v>46302</v>
      </c>
      <c r="C15" s="66" t="s">
        <v>350</v>
      </c>
      <c r="D15" s="66" t="s">
        <v>750</v>
      </c>
      <c r="E15" s="66" t="s">
        <v>608</v>
      </c>
      <c r="F15" s="61" t="s">
        <v>139</v>
      </c>
      <c r="G15" s="65">
        <v>46305</v>
      </c>
      <c r="H15" s="66" t="s">
        <v>351</v>
      </c>
      <c r="I15" s="66"/>
      <c r="J15" s="65"/>
      <c r="K15" s="64" t="s">
        <v>321</v>
      </c>
      <c r="L15" s="66" t="s">
        <v>1025</v>
      </c>
    </row>
    <row r="16" spans="1:12" ht="144.94999999999999" customHeight="1" x14ac:dyDescent="0.25">
      <c r="A16" s="58" t="s">
        <v>352</v>
      </c>
      <c r="B16" s="62">
        <v>46302</v>
      </c>
      <c r="C16" s="63" t="s">
        <v>353</v>
      </c>
      <c r="D16" s="63" t="s">
        <v>750</v>
      </c>
      <c r="E16" s="63" t="s">
        <v>609</v>
      </c>
      <c r="F16" s="61" t="s">
        <v>139</v>
      </c>
      <c r="G16" s="62">
        <v>46302</v>
      </c>
      <c r="H16" s="63" t="s">
        <v>1026</v>
      </c>
      <c r="I16" s="63" t="s">
        <v>609</v>
      </c>
      <c r="J16" s="62">
        <v>46302</v>
      </c>
      <c r="K16" s="64" t="s">
        <v>325</v>
      </c>
      <c r="L16" s="63" t="s">
        <v>1027</v>
      </c>
    </row>
    <row r="17" spans="1:12" ht="144.94999999999999" customHeight="1" x14ac:dyDescent="0.25">
      <c r="A17" s="58" t="s">
        <v>354</v>
      </c>
      <c r="B17" s="65">
        <v>46302</v>
      </c>
      <c r="C17" s="66" t="s">
        <v>355</v>
      </c>
      <c r="D17" s="66" t="s">
        <v>750</v>
      </c>
      <c r="E17" s="66" t="s">
        <v>609</v>
      </c>
      <c r="F17" s="61" t="s">
        <v>320</v>
      </c>
      <c r="G17" s="65">
        <v>46304</v>
      </c>
      <c r="H17" s="66" t="s">
        <v>356</v>
      </c>
      <c r="I17" s="66"/>
      <c r="J17" s="65"/>
      <c r="K17" s="64" t="s">
        <v>321</v>
      </c>
      <c r="L17" s="66" t="s">
        <v>1028</v>
      </c>
    </row>
    <row r="18" spans="1:12" ht="144.94999999999999" customHeight="1" x14ac:dyDescent="0.25">
      <c r="A18" s="58" t="s">
        <v>357</v>
      </c>
      <c r="B18" s="62">
        <v>46302</v>
      </c>
      <c r="C18" s="63" t="s">
        <v>358</v>
      </c>
      <c r="D18" s="63" t="s">
        <v>750</v>
      </c>
      <c r="E18" s="63" t="s">
        <v>609</v>
      </c>
      <c r="F18" s="61" t="s">
        <v>320</v>
      </c>
      <c r="G18" s="62">
        <v>46305</v>
      </c>
      <c r="H18" s="63" t="s">
        <v>1029</v>
      </c>
      <c r="I18" s="63"/>
      <c r="J18" s="62"/>
      <c r="K18" s="64" t="s">
        <v>321</v>
      </c>
      <c r="L18" s="63" t="s">
        <v>1030</v>
      </c>
    </row>
    <row r="19" spans="1:12" ht="144.94999999999999" customHeight="1" x14ac:dyDescent="0.25">
      <c r="A19" s="58" t="s">
        <v>359</v>
      </c>
      <c r="B19" s="65">
        <v>46302</v>
      </c>
      <c r="C19" s="66" t="s">
        <v>360</v>
      </c>
      <c r="D19" s="66" t="s">
        <v>750</v>
      </c>
      <c r="E19" s="66" t="s">
        <v>609</v>
      </c>
      <c r="F19" s="61" t="s">
        <v>320</v>
      </c>
      <c r="G19" s="65">
        <v>46306</v>
      </c>
      <c r="H19" s="66" t="s">
        <v>1031</v>
      </c>
      <c r="I19" s="66"/>
      <c r="J19" s="65"/>
      <c r="K19" s="64" t="s">
        <v>321</v>
      </c>
      <c r="L19" s="66" t="s">
        <v>1032</v>
      </c>
    </row>
    <row r="20" spans="1:12" x14ac:dyDescent="0.25">
      <c r="A20" s="16"/>
      <c r="B20" s="18"/>
      <c r="C20" s="18"/>
      <c r="D20" s="18"/>
      <c r="E20" s="18"/>
      <c r="F20" s="17"/>
      <c r="G20" s="18"/>
      <c r="H20" s="18"/>
      <c r="I20" s="18"/>
      <c r="J20" s="18"/>
      <c r="K20" s="19"/>
      <c r="L20" s="18"/>
    </row>
    <row r="21" spans="1:12" x14ac:dyDescent="0.25">
      <c r="A21" s="16"/>
      <c r="B21" s="20"/>
      <c r="C21" s="20"/>
      <c r="D21" s="20"/>
      <c r="E21" s="20"/>
      <c r="F21" s="17"/>
      <c r="G21" s="20"/>
      <c r="H21" s="20"/>
      <c r="I21" s="20"/>
      <c r="J21" s="20"/>
      <c r="K21" s="19"/>
      <c r="L21" s="20"/>
    </row>
    <row r="22" spans="1:12" x14ac:dyDescent="0.25">
      <c r="A22" s="16"/>
      <c r="B22" s="18"/>
      <c r="C22" s="18"/>
      <c r="D22" s="18"/>
      <c r="E22" s="18"/>
      <c r="F22" s="17"/>
      <c r="G22" s="18"/>
      <c r="H22" s="18"/>
      <c r="I22" s="18"/>
      <c r="J22" s="18"/>
      <c r="K22" s="19"/>
      <c r="L22" s="18"/>
    </row>
    <row r="23" spans="1:12" x14ac:dyDescent="0.25">
      <c r="A23" s="16"/>
      <c r="B23" s="20"/>
      <c r="C23" s="20"/>
      <c r="D23" s="20"/>
      <c r="E23" s="20"/>
      <c r="F23" s="17"/>
      <c r="G23" s="20"/>
      <c r="H23" s="20"/>
      <c r="I23" s="20"/>
      <c r="J23" s="20"/>
      <c r="K23" s="19"/>
      <c r="L23" s="20"/>
    </row>
    <row r="24" spans="1:12" x14ac:dyDescent="0.25">
      <c r="A24" s="16"/>
      <c r="B24" s="18"/>
      <c r="C24" s="18"/>
      <c r="D24" s="18"/>
      <c r="E24" s="18"/>
      <c r="F24" s="17"/>
      <c r="G24" s="18"/>
      <c r="H24" s="18"/>
      <c r="I24" s="18"/>
      <c r="J24" s="18"/>
      <c r="K24" s="19"/>
      <c r="L24" s="18"/>
    </row>
  </sheetData>
  <mergeCells count="2">
    <mergeCell ref="A2:L2"/>
    <mergeCell ref="A1:L1"/>
  </mergeCells>
  <conditionalFormatting sqref="F5:F200">
    <cfRule type="cellIs" dxfId="85" priority="13" operator="equal">
      <formula>"Critical"</formula>
    </cfRule>
    <cfRule type="cellIs" dxfId="84" priority="14" operator="equal">
      <formula>"High"</formula>
    </cfRule>
    <cfRule type="cellIs" dxfId="83" priority="15" operator="equal">
      <formula>"Medium"</formula>
    </cfRule>
    <cfRule type="cellIs" dxfId="82" priority="16" operator="equal">
      <formula>"Low"</formula>
    </cfRule>
  </conditionalFormatting>
  <conditionalFormatting sqref="K5:K200">
    <cfRule type="cellIs" dxfId="81" priority="1" operator="equal">
      <formula>"Done"</formula>
    </cfRule>
    <cfRule type="cellIs" dxfId="80" priority="2" operator="equal">
      <formula>"Completed"</formula>
    </cfRule>
    <cfRule type="cellIs" dxfId="79" priority="3" operator="equal">
      <formula>"Closed"</formula>
    </cfRule>
    <cfRule type="cellIs" dxfId="78" priority="4" operator="equal">
      <formula>"Fixed"</formula>
    </cfRule>
    <cfRule type="cellIs" dxfId="77" priority="5" operator="equal">
      <formula>"Approved"</formula>
    </cfRule>
    <cfRule type="cellIs" dxfId="76" priority="6" operator="equal">
      <formula>"In Progress"</formula>
    </cfRule>
    <cfRule type="cellIs" dxfId="75" priority="7" operator="equal">
      <formula>"Open"</formula>
    </cfRule>
    <cfRule type="cellIs" dxfId="74" priority="8" operator="equal">
      <formula>"Pending"</formula>
    </cfRule>
    <cfRule type="cellIs" dxfId="73" priority="9" operator="equal">
      <formula>"Blocked"</formula>
    </cfRule>
    <cfRule type="cellIs" dxfId="72" priority="10" operator="equal">
      <formula>"Cancelled"</formula>
    </cfRule>
    <cfRule type="cellIs" dxfId="71" priority="11" operator="equal">
      <formula>"Rejected"</formula>
    </cfRule>
    <cfRule type="cellIs" dxfId="70" priority="12" operator="equal">
      <formula>"Submitted"</formula>
    </cfRule>
  </conditionalFormatting>
  <dataValidations count="5">
    <dataValidation type="list" allowBlank="1" sqref="K20:K200" xr:uid="{00000000-0002-0000-0300-000000000000}">
      <formula1>"Open,Answered,Closed,Cancelled"</formula1>
    </dataValidation>
    <dataValidation type="list" allowBlank="1" sqref="F5:F200" xr:uid="{00000000-0002-0000-0300-000001000000}">
      <formula1>"Critical,High,Medium,Low"</formula1>
    </dataValidation>
    <dataValidation type="list" allowBlank="1" sqref="K5:K19" xr:uid="{00000000-0002-0000-0300-000002000000}">
      <formula1>"Open,Answered,Deferred,Closed"</formula1>
    </dataValidation>
    <dataValidation type="list" sqref="D5:D19" xr:uid="{00000000-0002-0000-0300-000003000000}">
      <formula1>"LinhNDM"</formula1>
    </dataValidation>
    <dataValidation type="list" sqref="E5:E19 I5:I19" xr:uid="{00000000-0002-0000-0300-000004000000}">
      <formula1>"PhuPD,HoangNV,SonLT,HieuLT,TungVPH"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6B75"/>
  </sheetPr>
  <dimension ref="A1:N149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1" customWidth="1"/>
    <col min="2" max="2" width="13" customWidth="1"/>
    <col min="3" max="3" width="15" customWidth="1"/>
    <col min="4" max="4" width="14" customWidth="1"/>
    <col min="5" max="5" width="55" customWidth="1"/>
    <col min="6" max="6" width="16" customWidth="1"/>
    <col min="7" max="7" width="18" customWidth="1"/>
    <col min="8" max="8" width="11" customWidth="1"/>
    <col min="9" max="9" width="35" customWidth="1"/>
    <col min="10" max="10" width="17" customWidth="1"/>
    <col min="11" max="11" width="15" customWidth="1"/>
    <col min="12" max="12" width="16" customWidth="1"/>
    <col min="13" max="13" width="13" customWidth="1"/>
    <col min="14" max="14" width="63" customWidth="1"/>
  </cols>
  <sheetData>
    <row r="1" spans="1:14" ht="18" x14ac:dyDescent="0.25">
      <c r="A1" s="11" t="s">
        <v>634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0.100000000000001" customHeight="1" x14ac:dyDescent="0.25">
      <c r="A2" s="6" t="s">
        <v>721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ht="35.1" customHeight="1" x14ac:dyDescent="0.25">
      <c r="A4" s="67" t="s">
        <v>610</v>
      </c>
      <c r="B4" s="67" t="s">
        <v>625</v>
      </c>
      <c r="C4" s="67" t="s">
        <v>635</v>
      </c>
      <c r="D4" s="67" t="s">
        <v>636</v>
      </c>
      <c r="E4" s="67" t="s">
        <v>637</v>
      </c>
      <c r="F4" s="67" t="s">
        <v>638</v>
      </c>
      <c r="G4" s="67" t="s">
        <v>616</v>
      </c>
      <c r="H4" s="67" t="s">
        <v>639</v>
      </c>
      <c r="I4" s="67" t="s">
        <v>640</v>
      </c>
      <c r="J4" s="67" t="s">
        <v>641</v>
      </c>
      <c r="K4" s="67" t="s">
        <v>612</v>
      </c>
      <c r="L4" s="67" t="s">
        <v>613</v>
      </c>
      <c r="M4" s="67" t="s">
        <v>642</v>
      </c>
      <c r="N4" s="67" t="s">
        <v>614</v>
      </c>
    </row>
    <row r="5" spans="1:14" ht="72" customHeight="1" x14ac:dyDescent="0.25">
      <c r="A5" s="98" t="s">
        <v>361</v>
      </c>
      <c r="B5" s="99">
        <v>46274</v>
      </c>
      <c r="C5" s="98" t="s">
        <v>29</v>
      </c>
      <c r="D5" s="98" t="s">
        <v>1033</v>
      </c>
      <c r="E5" s="98" t="s">
        <v>1034</v>
      </c>
      <c r="F5" s="98" t="s">
        <v>128</v>
      </c>
      <c r="G5" s="98" t="s">
        <v>364</v>
      </c>
      <c r="H5" s="100">
        <v>1.5</v>
      </c>
      <c r="I5" s="98" t="s">
        <v>1035</v>
      </c>
      <c r="J5" s="98" t="s">
        <v>14</v>
      </c>
      <c r="K5" s="98" t="s">
        <v>1036</v>
      </c>
      <c r="L5" s="98" t="s">
        <v>750</v>
      </c>
      <c r="M5" s="99">
        <v>46304</v>
      </c>
      <c r="N5" s="98" t="s">
        <v>1037</v>
      </c>
    </row>
    <row r="6" spans="1:14" ht="72" customHeight="1" x14ac:dyDescent="0.25">
      <c r="A6" s="98" t="s">
        <v>367</v>
      </c>
      <c r="B6" s="99">
        <v>46274</v>
      </c>
      <c r="C6" s="98" t="s">
        <v>608</v>
      </c>
      <c r="D6" s="98" t="s">
        <v>1033</v>
      </c>
      <c r="E6" s="98" t="s">
        <v>1034</v>
      </c>
      <c r="F6" s="98" t="s">
        <v>128</v>
      </c>
      <c r="G6" s="98" t="s">
        <v>364</v>
      </c>
      <c r="H6" s="100">
        <v>1.5</v>
      </c>
      <c r="I6" s="98" t="s">
        <v>1035</v>
      </c>
      <c r="J6" s="98" t="s">
        <v>14</v>
      </c>
      <c r="K6" s="98" t="s">
        <v>1036</v>
      </c>
      <c r="L6" s="98" t="s">
        <v>750</v>
      </c>
      <c r="M6" s="99">
        <v>46304</v>
      </c>
      <c r="N6" s="98" t="s">
        <v>1037</v>
      </c>
    </row>
    <row r="7" spans="1:14" ht="72" customHeight="1" x14ac:dyDescent="0.25">
      <c r="A7" s="98" t="s">
        <v>370</v>
      </c>
      <c r="B7" s="99">
        <v>46274</v>
      </c>
      <c r="C7" s="98" t="s">
        <v>759</v>
      </c>
      <c r="D7" s="98" t="s">
        <v>1033</v>
      </c>
      <c r="E7" s="98" t="s">
        <v>1034</v>
      </c>
      <c r="F7" s="98" t="s">
        <v>128</v>
      </c>
      <c r="G7" s="98" t="s">
        <v>364</v>
      </c>
      <c r="H7" s="100">
        <v>1.5</v>
      </c>
      <c r="I7" s="98" t="s">
        <v>1035</v>
      </c>
      <c r="J7" s="98" t="s">
        <v>14</v>
      </c>
      <c r="K7" s="98" t="s">
        <v>1036</v>
      </c>
      <c r="L7" s="98" t="s">
        <v>750</v>
      </c>
      <c r="M7" s="99">
        <v>46304</v>
      </c>
      <c r="N7" s="98" t="s">
        <v>1037</v>
      </c>
    </row>
    <row r="8" spans="1:14" ht="72" customHeight="1" x14ac:dyDescent="0.25">
      <c r="A8" s="98" t="s">
        <v>373</v>
      </c>
      <c r="B8" s="99">
        <v>46274</v>
      </c>
      <c r="C8" s="98" t="s">
        <v>609</v>
      </c>
      <c r="D8" s="98" t="s">
        <v>1033</v>
      </c>
      <c r="E8" s="98" t="s">
        <v>1034</v>
      </c>
      <c r="F8" s="98" t="s">
        <v>128</v>
      </c>
      <c r="G8" s="98" t="s">
        <v>364</v>
      </c>
      <c r="H8" s="100">
        <v>1.5</v>
      </c>
      <c r="I8" s="98" t="s">
        <v>1035</v>
      </c>
      <c r="J8" s="98" t="s">
        <v>14</v>
      </c>
      <c r="K8" s="98" t="s">
        <v>722</v>
      </c>
      <c r="L8" s="98"/>
      <c r="M8" s="99">
        <v>46302</v>
      </c>
      <c r="N8" s="98" t="s">
        <v>1037</v>
      </c>
    </row>
    <row r="9" spans="1:14" ht="72" customHeight="1" x14ac:dyDescent="0.25">
      <c r="A9" s="98" t="s">
        <v>377</v>
      </c>
      <c r="B9" s="99">
        <v>46274</v>
      </c>
      <c r="C9" s="98" t="s">
        <v>807</v>
      </c>
      <c r="D9" s="98" t="s">
        <v>1033</v>
      </c>
      <c r="E9" s="98" t="s">
        <v>1034</v>
      </c>
      <c r="F9" s="98" t="s">
        <v>128</v>
      </c>
      <c r="G9" s="98" t="s">
        <v>364</v>
      </c>
      <c r="H9" s="100">
        <v>1.5</v>
      </c>
      <c r="I9" s="98" t="s">
        <v>1035</v>
      </c>
      <c r="J9" s="98" t="s">
        <v>14</v>
      </c>
      <c r="K9" s="98" t="s">
        <v>1036</v>
      </c>
      <c r="L9" s="98" t="s">
        <v>750</v>
      </c>
      <c r="M9" s="99">
        <v>46304</v>
      </c>
      <c r="N9" s="98" t="s">
        <v>1037</v>
      </c>
    </row>
    <row r="10" spans="1:14" ht="72" customHeight="1" x14ac:dyDescent="0.25">
      <c r="A10" s="98" t="s">
        <v>381</v>
      </c>
      <c r="B10" s="99">
        <v>46280</v>
      </c>
      <c r="C10" s="98" t="s">
        <v>609</v>
      </c>
      <c r="D10" s="98" t="s">
        <v>362</v>
      </c>
      <c r="E10" s="98" t="s">
        <v>363</v>
      </c>
      <c r="F10" s="98" t="s">
        <v>124</v>
      </c>
      <c r="G10" s="98" t="s">
        <v>364</v>
      </c>
      <c r="H10" s="100">
        <v>3</v>
      </c>
      <c r="I10" s="98" t="s">
        <v>365</v>
      </c>
      <c r="J10" s="98" t="s">
        <v>14</v>
      </c>
      <c r="K10" s="98" t="s">
        <v>722</v>
      </c>
      <c r="L10" s="98"/>
      <c r="M10" s="99">
        <v>46302</v>
      </c>
      <c r="N10" s="98" t="s">
        <v>1038</v>
      </c>
    </row>
    <row r="11" spans="1:14" ht="72" customHeight="1" x14ac:dyDescent="0.25">
      <c r="A11" s="98" t="s">
        <v>385</v>
      </c>
      <c r="B11" s="99">
        <v>46280</v>
      </c>
      <c r="C11" s="98" t="s">
        <v>609</v>
      </c>
      <c r="D11" s="98" t="s">
        <v>362</v>
      </c>
      <c r="E11" s="98" t="s">
        <v>368</v>
      </c>
      <c r="F11" s="98" t="s">
        <v>124</v>
      </c>
      <c r="G11" s="98" t="s">
        <v>364</v>
      </c>
      <c r="H11" s="100">
        <v>2.5</v>
      </c>
      <c r="I11" s="98" t="s">
        <v>369</v>
      </c>
      <c r="J11" s="98" t="s">
        <v>14</v>
      </c>
      <c r="K11" s="98" t="s">
        <v>722</v>
      </c>
      <c r="L11" s="98"/>
      <c r="M11" s="99">
        <v>46302</v>
      </c>
      <c r="N11" s="98" t="s">
        <v>1038</v>
      </c>
    </row>
    <row r="12" spans="1:14" ht="72" customHeight="1" x14ac:dyDescent="0.25">
      <c r="A12" s="98" t="s">
        <v>389</v>
      </c>
      <c r="B12" s="99">
        <v>46280</v>
      </c>
      <c r="C12" s="98" t="s">
        <v>609</v>
      </c>
      <c r="D12" s="98" t="s">
        <v>362</v>
      </c>
      <c r="E12" s="98" t="s">
        <v>371</v>
      </c>
      <c r="F12" s="98" t="s">
        <v>124</v>
      </c>
      <c r="G12" s="98" t="s">
        <v>364</v>
      </c>
      <c r="H12" s="100">
        <v>2</v>
      </c>
      <c r="I12" s="98" t="s">
        <v>372</v>
      </c>
      <c r="J12" s="98" t="s">
        <v>14</v>
      </c>
      <c r="K12" s="98" t="s">
        <v>722</v>
      </c>
      <c r="L12" s="98"/>
      <c r="M12" s="99">
        <v>46302</v>
      </c>
      <c r="N12" s="98" t="s">
        <v>1039</v>
      </c>
    </row>
    <row r="13" spans="1:14" ht="72" customHeight="1" x14ac:dyDescent="0.25">
      <c r="A13" s="98" t="s">
        <v>392</v>
      </c>
      <c r="B13" s="99">
        <v>46281</v>
      </c>
      <c r="C13" s="98" t="s">
        <v>609</v>
      </c>
      <c r="D13" s="98" t="s">
        <v>382</v>
      </c>
      <c r="E13" s="98" t="s">
        <v>383</v>
      </c>
      <c r="F13" s="98" t="s">
        <v>124</v>
      </c>
      <c r="G13" s="98" t="s">
        <v>1040</v>
      </c>
      <c r="H13" s="100">
        <v>5</v>
      </c>
      <c r="I13" s="98" t="s">
        <v>384</v>
      </c>
      <c r="J13" s="98" t="s">
        <v>14</v>
      </c>
      <c r="K13" s="98" t="s">
        <v>722</v>
      </c>
      <c r="L13" s="98"/>
      <c r="M13" s="99">
        <v>46302</v>
      </c>
      <c r="N13" s="98" t="s">
        <v>1041</v>
      </c>
    </row>
    <row r="14" spans="1:14" ht="72" customHeight="1" x14ac:dyDescent="0.25">
      <c r="A14" s="98" t="s">
        <v>393</v>
      </c>
      <c r="B14" s="99">
        <v>46282</v>
      </c>
      <c r="C14" s="98" t="s">
        <v>609</v>
      </c>
      <c r="D14" s="98" t="s">
        <v>374</v>
      </c>
      <c r="E14" s="98" t="s">
        <v>375</v>
      </c>
      <c r="F14" s="98" t="s">
        <v>124</v>
      </c>
      <c r="G14" s="98" t="s">
        <v>364</v>
      </c>
      <c r="H14" s="100">
        <v>2.5</v>
      </c>
      <c r="I14" s="98" t="s">
        <v>376</v>
      </c>
      <c r="J14" s="98" t="s">
        <v>14</v>
      </c>
      <c r="K14" s="98" t="s">
        <v>722</v>
      </c>
      <c r="L14" s="98"/>
      <c r="M14" s="99">
        <v>46302</v>
      </c>
      <c r="N14" s="98" t="s">
        <v>1042</v>
      </c>
    </row>
    <row r="15" spans="1:14" ht="72" customHeight="1" x14ac:dyDescent="0.25">
      <c r="A15" s="98" t="s">
        <v>394</v>
      </c>
      <c r="B15" s="99">
        <v>46282</v>
      </c>
      <c r="C15" s="98" t="s">
        <v>807</v>
      </c>
      <c r="D15" s="98" t="s">
        <v>378</v>
      </c>
      <c r="E15" s="98" t="s">
        <v>379</v>
      </c>
      <c r="F15" s="98" t="s">
        <v>124</v>
      </c>
      <c r="G15" s="98" t="s">
        <v>364</v>
      </c>
      <c r="H15" s="100">
        <v>3.5</v>
      </c>
      <c r="I15" s="98" t="s">
        <v>380</v>
      </c>
      <c r="J15" s="98" t="s">
        <v>14</v>
      </c>
      <c r="K15" s="98" t="s">
        <v>1036</v>
      </c>
      <c r="L15" s="98" t="s">
        <v>750</v>
      </c>
      <c r="M15" s="99">
        <v>46304</v>
      </c>
      <c r="N15" s="98" t="s">
        <v>1043</v>
      </c>
    </row>
    <row r="16" spans="1:14" ht="72" customHeight="1" x14ac:dyDescent="0.25">
      <c r="A16" s="98" t="s">
        <v>398</v>
      </c>
      <c r="B16" s="99">
        <v>46282</v>
      </c>
      <c r="C16" s="98" t="s">
        <v>807</v>
      </c>
      <c r="D16" s="98" t="s">
        <v>386</v>
      </c>
      <c r="E16" s="98" t="s">
        <v>387</v>
      </c>
      <c r="F16" s="98" t="s">
        <v>124</v>
      </c>
      <c r="G16" s="98" t="s">
        <v>1040</v>
      </c>
      <c r="H16" s="100">
        <v>4</v>
      </c>
      <c r="I16" s="98" t="s">
        <v>388</v>
      </c>
      <c r="J16" s="98" t="s">
        <v>14</v>
      </c>
      <c r="K16" s="98" t="s">
        <v>1036</v>
      </c>
      <c r="L16" s="98" t="s">
        <v>750</v>
      </c>
      <c r="M16" s="99">
        <v>46304</v>
      </c>
      <c r="N16" s="98" t="s">
        <v>1044</v>
      </c>
    </row>
    <row r="17" spans="1:14" ht="72" customHeight="1" x14ac:dyDescent="0.25">
      <c r="A17" s="98" t="s">
        <v>401</v>
      </c>
      <c r="B17" s="99">
        <v>46282</v>
      </c>
      <c r="C17" s="98" t="s">
        <v>29</v>
      </c>
      <c r="D17" s="98" t="s">
        <v>1045</v>
      </c>
      <c r="E17" s="98" t="s">
        <v>1046</v>
      </c>
      <c r="F17" s="98" t="s">
        <v>124</v>
      </c>
      <c r="G17" s="98" t="s">
        <v>364</v>
      </c>
      <c r="H17" s="100">
        <v>1.5</v>
      </c>
      <c r="I17" s="98" t="s">
        <v>1047</v>
      </c>
      <c r="J17" s="98" t="s">
        <v>14</v>
      </c>
      <c r="K17" s="98" t="s">
        <v>1036</v>
      </c>
      <c r="L17" s="98" t="s">
        <v>750</v>
      </c>
      <c r="M17" s="99">
        <v>46304</v>
      </c>
      <c r="N17" s="98" t="s">
        <v>1048</v>
      </c>
    </row>
    <row r="18" spans="1:14" ht="72" customHeight="1" x14ac:dyDescent="0.25">
      <c r="A18" s="98" t="s">
        <v>404</v>
      </c>
      <c r="B18" s="99">
        <v>46287</v>
      </c>
      <c r="C18" s="98" t="s">
        <v>29</v>
      </c>
      <c r="D18" s="98" t="s">
        <v>1045</v>
      </c>
      <c r="E18" s="98" t="s">
        <v>390</v>
      </c>
      <c r="F18" s="98" t="s">
        <v>124</v>
      </c>
      <c r="G18" s="98" t="s">
        <v>1040</v>
      </c>
      <c r="H18" s="100">
        <v>6.5</v>
      </c>
      <c r="I18" s="98" t="s">
        <v>391</v>
      </c>
      <c r="J18" s="98" t="s">
        <v>14</v>
      </c>
      <c r="K18" s="98" t="s">
        <v>1036</v>
      </c>
      <c r="L18" s="98" t="s">
        <v>750</v>
      </c>
      <c r="M18" s="99">
        <v>46304</v>
      </c>
      <c r="N18" s="98" t="s">
        <v>1049</v>
      </c>
    </row>
    <row r="19" spans="1:14" ht="72" customHeight="1" x14ac:dyDescent="0.25">
      <c r="A19" s="98" t="s">
        <v>407</v>
      </c>
      <c r="B19" s="99">
        <v>46287</v>
      </c>
      <c r="C19" s="98" t="s">
        <v>807</v>
      </c>
      <c r="D19" s="98" t="s">
        <v>1050</v>
      </c>
      <c r="E19" s="98" t="s">
        <v>1051</v>
      </c>
      <c r="F19" s="98" t="s">
        <v>124</v>
      </c>
      <c r="G19" s="98" t="s">
        <v>364</v>
      </c>
      <c r="H19" s="100">
        <v>1.5</v>
      </c>
      <c r="I19" s="98" t="s">
        <v>1052</v>
      </c>
      <c r="J19" s="98" t="s">
        <v>14</v>
      </c>
      <c r="K19" s="98" t="s">
        <v>1036</v>
      </c>
      <c r="L19" s="98" t="s">
        <v>750</v>
      </c>
      <c r="M19" s="99">
        <v>46304</v>
      </c>
      <c r="N19" s="98" t="s">
        <v>1053</v>
      </c>
    </row>
    <row r="20" spans="1:14" ht="72" customHeight="1" x14ac:dyDescent="0.25">
      <c r="A20" s="98" t="s">
        <v>408</v>
      </c>
      <c r="B20" s="99">
        <v>46288</v>
      </c>
      <c r="C20" s="98" t="s">
        <v>807</v>
      </c>
      <c r="D20" s="98" t="s">
        <v>1054</v>
      </c>
      <c r="E20" s="98" t="s">
        <v>1055</v>
      </c>
      <c r="F20" s="98" t="s">
        <v>124</v>
      </c>
      <c r="G20" s="98" t="s">
        <v>1040</v>
      </c>
      <c r="H20" s="100">
        <v>3</v>
      </c>
      <c r="I20" s="98" t="s">
        <v>1056</v>
      </c>
      <c r="J20" s="98" t="s">
        <v>14</v>
      </c>
      <c r="K20" s="98" t="s">
        <v>1036</v>
      </c>
      <c r="L20" s="98" t="s">
        <v>750</v>
      </c>
      <c r="M20" s="99">
        <v>46304</v>
      </c>
      <c r="N20" s="98" t="s">
        <v>1057</v>
      </c>
    </row>
    <row r="21" spans="1:14" ht="72" customHeight="1" x14ac:dyDescent="0.25">
      <c r="A21" s="98" t="s">
        <v>411</v>
      </c>
      <c r="B21" s="99">
        <v>46288</v>
      </c>
      <c r="C21" s="98" t="s">
        <v>759</v>
      </c>
      <c r="D21" s="98" t="s">
        <v>1058</v>
      </c>
      <c r="E21" s="98" t="s">
        <v>399</v>
      </c>
      <c r="F21" s="98" t="s">
        <v>124</v>
      </c>
      <c r="G21" s="98" t="s">
        <v>1040</v>
      </c>
      <c r="H21" s="100">
        <v>6</v>
      </c>
      <c r="I21" s="98" t="s">
        <v>400</v>
      </c>
      <c r="J21" s="98" t="s">
        <v>14</v>
      </c>
      <c r="K21" s="98" t="s">
        <v>1036</v>
      </c>
      <c r="L21" s="98" t="s">
        <v>750</v>
      </c>
      <c r="M21" s="99">
        <v>46304</v>
      </c>
      <c r="N21" s="98" t="s">
        <v>1059</v>
      </c>
    </row>
    <row r="22" spans="1:14" ht="72" customHeight="1" x14ac:dyDescent="0.25">
      <c r="A22" s="98" t="s">
        <v>413</v>
      </c>
      <c r="B22" s="99">
        <v>46288</v>
      </c>
      <c r="C22" s="98" t="s">
        <v>29</v>
      </c>
      <c r="D22" s="98" t="s">
        <v>1060</v>
      </c>
      <c r="E22" s="98" t="s">
        <v>1061</v>
      </c>
      <c r="F22" s="98" t="s">
        <v>124</v>
      </c>
      <c r="G22" s="98" t="s">
        <v>364</v>
      </c>
      <c r="H22" s="100">
        <v>2.5</v>
      </c>
      <c r="I22" s="98" t="s">
        <v>1062</v>
      </c>
      <c r="J22" s="98" t="s">
        <v>14</v>
      </c>
      <c r="K22" s="98" t="s">
        <v>1036</v>
      </c>
      <c r="L22" s="98" t="s">
        <v>750</v>
      </c>
      <c r="M22" s="99">
        <v>46304</v>
      </c>
      <c r="N22" s="98" t="s">
        <v>1063</v>
      </c>
    </row>
    <row r="23" spans="1:14" ht="72" customHeight="1" x14ac:dyDescent="0.25">
      <c r="A23" s="98" t="s">
        <v>414</v>
      </c>
      <c r="B23" s="99">
        <v>46288</v>
      </c>
      <c r="C23" s="98" t="s">
        <v>807</v>
      </c>
      <c r="D23" s="98" t="s">
        <v>1064</v>
      </c>
      <c r="E23" s="98" t="s">
        <v>1065</v>
      </c>
      <c r="F23" s="98" t="s">
        <v>124</v>
      </c>
      <c r="G23" s="98" t="s">
        <v>364</v>
      </c>
      <c r="H23" s="100">
        <v>3</v>
      </c>
      <c r="I23" s="98" t="s">
        <v>1066</v>
      </c>
      <c r="J23" s="98" t="s">
        <v>14</v>
      </c>
      <c r="K23" s="98" t="s">
        <v>1036</v>
      </c>
      <c r="L23" s="98" t="s">
        <v>750</v>
      </c>
      <c r="M23" s="99">
        <v>46304</v>
      </c>
      <c r="N23" s="98" t="s">
        <v>1067</v>
      </c>
    </row>
    <row r="24" spans="1:14" ht="72" customHeight="1" x14ac:dyDescent="0.25">
      <c r="A24" s="98" t="s">
        <v>417</v>
      </c>
      <c r="B24" s="99">
        <v>46288</v>
      </c>
      <c r="C24" s="98" t="s">
        <v>608</v>
      </c>
      <c r="D24" s="98" t="s">
        <v>1068</v>
      </c>
      <c r="E24" s="98" t="s">
        <v>1069</v>
      </c>
      <c r="F24" s="98" t="s">
        <v>124</v>
      </c>
      <c r="G24" s="98" t="s">
        <v>364</v>
      </c>
      <c r="H24" s="100">
        <v>1.5</v>
      </c>
      <c r="I24" s="98" t="s">
        <v>1070</v>
      </c>
      <c r="J24" s="98" t="s">
        <v>14</v>
      </c>
      <c r="K24" s="98" t="s">
        <v>1036</v>
      </c>
      <c r="L24" s="98" t="s">
        <v>750</v>
      </c>
      <c r="M24" s="99">
        <v>46304</v>
      </c>
      <c r="N24" s="98" t="s">
        <v>1071</v>
      </c>
    </row>
    <row r="25" spans="1:14" ht="72" customHeight="1" x14ac:dyDescent="0.25">
      <c r="A25" s="98" t="s">
        <v>420</v>
      </c>
      <c r="B25" s="99">
        <v>46289</v>
      </c>
      <c r="C25" s="98" t="s">
        <v>29</v>
      </c>
      <c r="D25" s="98" t="s">
        <v>1072</v>
      </c>
      <c r="E25" s="98" t="s">
        <v>1073</v>
      </c>
      <c r="F25" s="98" t="s">
        <v>124</v>
      </c>
      <c r="G25" s="98" t="s">
        <v>1040</v>
      </c>
      <c r="H25" s="100">
        <v>3.5</v>
      </c>
      <c r="I25" s="98" t="s">
        <v>1074</v>
      </c>
      <c r="J25" s="98" t="s">
        <v>14</v>
      </c>
      <c r="K25" s="98" t="s">
        <v>1036</v>
      </c>
      <c r="L25" s="98" t="s">
        <v>750</v>
      </c>
      <c r="M25" s="99">
        <v>46304</v>
      </c>
      <c r="N25" s="98" t="s">
        <v>1075</v>
      </c>
    </row>
    <row r="26" spans="1:14" ht="72" customHeight="1" x14ac:dyDescent="0.25">
      <c r="A26" s="98" t="s">
        <v>423</v>
      </c>
      <c r="B26" s="99">
        <v>46289</v>
      </c>
      <c r="C26" s="98" t="s">
        <v>609</v>
      </c>
      <c r="D26" s="98" t="s">
        <v>1076</v>
      </c>
      <c r="E26" s="98" t="s">
        <v>396</v>
      </c>
      <c r="F26" s="98" t="s">
        <v>124</v>
      </c>
      <c r="G26" s="98" t="s">
        <v>1040</v>
      </c>
      <c r="H26" s="100">
        <v>4</v>
      </c>
      <c r="I26" s="98" t="s">
        <v>397</v>
      </c>
      <c r="J26" s="98" t="s">
        <v>14</v>
      </c>
      <c r="K26" s="98" t="s">
        <v>722</v>
      </c>
      <c r="L26" s="98"/>
      <c r="M26" s="99">
        <v>46302</v>
      </c>
      <c r="N26" s="98" t="s">
        <v>1077</v>
      </c>
    </row>
    <row r="27" spans="1:14" ht="72" customHeight="1" x14ac:dyDescent="0.25">
      <c r="A27" s="98" t="s">
        <v>426</v>
      </c>
      <c r="B27" s="99">
        <v>46289</v>
      </c>
      <c r="C27" s="98" t="s">
        <v>29</v>
      </c>
      <c r="D27" s="98" t="s">
        <v>1078</v>
      </c>
      <c r="E27" s="98" t="s">
        <v>1079</v>
      </c>
      <c r="F27" s="98" t="s">
        <v>124</v>
      </c>
      <c r="G27" s="98" t="s">
        <v>364</v>
      </c>
      <c r="H27" s="100">
        <v>3</v>
      </c>
      <c r="I27" s="98" t="s">
        <v>1080</v>
      </c>
      <c r="J27" s="98" t="s">
        <v>14</v>
      </c>
      <c r="K27" s="98" t="s">
        <v>1036</v>
      </c>
      <c r="L27" s="98" t="s">
        <v>750</v>
      </c>
      <c r="M27" s="99">
        <v>46304</v>
      </c>
      <c r="N27" s="98" t="s">
        <v>1081</v>
      </c>
    </row>
    <row r="28" spans="1:14" ht="72" customHeight="1" x14ac:dyDescent="0.25">
      <c r="A28" s="98" t="s">
        <v>429</v>
      </c>
      <c r="B28" s="99">
        <v>46294</v>
      </c>
      <c r="C28" s="98" t="s">
        <v>759</v>
      </c>
      <c r="D28" s="98" t="s">
        <v>1058</v>
      </c>
      <c r="E28" s="98" t="s">
        <v>405</v>
      </c>
      <c r="F28" s="98" t="s">
        <v>125</v>
      </c>
      <c r="G28" s="98" t="s">
        <v>126</v>
      </c>
      <c r="H28" s="100">
        <v>3.5</v>
      </c>
      <c r="I28" s="98" t="s">
        <v>406</v>
      </c>
      <c r="J28" s="98" t="s">
        <v>14</v>
      </c>
      <c r="K28" s="98" t="s">
        <v>1036</v>
      </c>
      <c r="L28" s="98" t="s">
        <v>750</v>
      </c>
      <c r="M28" s="99">
        <v>46304</v>
      </c>
      <c r="N28" s="98" t="s">
        <v>1082</v>
      </c>
    </row>
    <row r="29" spans="1:14" ht="72" customHeight="1" x14ac:dyDescent="0.25">
      <c r="A29" s="98" t="s">
        <v>432</v>
      </c>
      <c r="B29" s="99">
        <v>46294</v>
      </c>
      <c r="C29" s="98" t="s">
        <v>609</v>
      </c>
      <c r="D29" s="98" t="s">
        <v>1083</v>
      </c>
      <c r="E29" s="98" t="s">
        <v>421</v>
      </c>
      <c r="F29" s="98" t="s">
        <v>125</v>
      </c>
      <c r="G29" s="98" t="s">
        <v>126</v>
      </c>
      <c r="H29" s="100">
        <v>4</v>
      </c>
      <c r="I29" s="98" t="s">
        <v>422</v>
      </c>
      <c r="J29" s="98" t="s">
        <v>14</v>
      </c>
      <c r="K29" s="98" t="s">
        <v>722</v>
      </c>
      <c r="L29" s="98"/>
      <c r="M29" s="99">
        <v>46302</v>
      </c>
      <c r="N29" s="98" t="s">
        <v>1084</v>
      </c>
    </row>
    <row r="30" spans="1:14" ht="72" customHeight="1" x14ac:dyDescent="0.25">
      <c r="A30" s="98" t="s">
        <v>435</v>
      </c>
      <c r="B30" s="99">
        <v>46295</v>
      </c>
      <c r="C30" s="98" t="s">
        <v>759</v>
      </c>
      <c r="D30" s="98" t="s">
        <v>1058</v>
      </c>
      <c r="E30" s="98" t="s">
        <v>402</v>
      </c>
      <c r="F30" s="98" t="s">
        <v>124</v>
      </c>
      <c r="G30" s="98" t="s">
        <v>1040</v>
      </c>
      <c r="H30" s="100">
        <v>8</v>
      </c>
      <c r="I30" s="98" t="s">
        <v>403</v>
      </c>
      <c r="J30" s="98" t="s">
        <v>14</v>
      </c>
      <c r="K30" s="98" t="s">
        <v>1036</v>
      </c>
      <c r="L30" s="98" t="s">
        <v>750</v>
      </c>
      <c r="M30" s="99">
        <v>46304</v>
      </c>
      <c r="N30" s="98" t="s">
        <v>1085</v>
      </c>
    </row>
    <row r="31" spans="1:14" ht="72" customHeight="1" x14ac:dyDescent="0.25">
      <c r="A31" s="98" t="s">
        <v>438</v>
      </c>
      <c r="B31" s="99">
        <v>46295</v>
      </c>
      <c r="C31" s="98" t="s">
        <v>609</v>
      </c>
      <c r="D31" s="98" t="s">
        <v>1086</v>
      </c>
      <c r="E31" s="98" t="s">
        <v>1087</v>
      </c>
      <c r="F31" s="98" t="s">
        <v>124</v>
      </c>
      <c r="G31" s="98" t="s">
        <v>1040</v>
      </c>
      <c r="H31" s="100">
        <v>8</v>
      </c>
      <c r="I31" s="98" t="s">
        <v>1088</v>
      </c>
      <c r="J31" s="98" t="s">
        <v>14</v>
      </c>
      <c r="K31" s="98" t="s">
        <v>722</v>
      </c>
      <c r="L31" s="98"/>
      <c r="M31" s="99">
        <v>46302</v>
      </c>
      <c r="N31" s="98" t="s">
        <v>1089</v>
      </c>
    </row>
    <row r="32" spans="1:14" ht="72" customHeight="1" x14ac:dyDescent="0.25">
      <c r="A32" s="98" t="s">
        <v>441</v>
      </c>
      <c r="B32" s="99">
        <v>46295</v>
      </c>
      <c r="C32" s="98" t="s">
        <v>807</v>
      </c>
      <c r="D32" s="98" t="s">
        <v>1054</v>
      </c>
      <c r="E32" s="98" t="s">
        <v>415</v>
      </c>
      <c r="F32" s="98" t="s">
        <v>124</v>
      </c>
      <c r="G32" s="98" t="s">
        <v>1040</v>
      </c>
      <c r="H32" s="100">
        <v>5</v>
      </c>
      <c r="I32" s="98" t="s">
        <v>416</v>
      </c>
      <c r="J32" s="98" t="s">
        <v>14</v>
      </c>
      <c r="K32" s="98" t="s">
        <v>1036</v>
      </c>
      <c r="L32" s="98" t="s">
        <v>750</v>
      </c>
      <c r="M32" s="99">
        <v>46304</v>
      </c>
      <c r="N32" s="98" t="s">
        <v>1090</v>
      </c>
    </row>
    <row r="33" spans="1:14" ht="72" customHeight="1" x14ac:dyDescent="0.25">
      <c r="A33" s="98" t="s">
        <v>444</v>
      </c>
      <c r="B33" s="99">
        <v>46296</v>
      </c>
      <c r="C33" s="98" t="s">
        <v>759</v>
      </c>
      <c r="D33" s="98" t="s">
        <v>1068</v>
      </c>
      <c r="E33" s="98" t="s">
        <v>1091</v>
      </c>
      <c r="F33" s="98" t="s">
        <v>124</v>
      </c>
      <c r="G33" s="98" t="s">
        <v>1040</v>
      </c>
      <c r="H33" s="100">
        <v>6</v>
      </c>
      <c r="I33" s="98" t="s">
        <v>1092</v>
      </c>
      <c r="J33" s="98" t="s">
        <v>14</v>
      </c>
      <c r="K33" s="98" t="s">
        <v>1036</v>
      </c>
      <c r="L33" s="98" t="s">
        <v>750</v>
      </c>
      <c r="M33" s="99">
        <v>46304</v>
      </c>
      <c r="N33" s="98" t="s">
        <v>1093</v>
      </c>
    </row>
    <row r="34" spans="1:14" ht="72" customHeight="1" x14ac:dyDescent="0.25">
      <c r="A34" s="98" t="s">
        <v>447</v>
      </c>
      <c r="B34" s="99">
        <v>46296</v>
      </c>
      <c r="C34" s="98" t="s">
        <v>807</v>
      </c>
      <c r="D34" s="98" t="s">
        <v>1054</v>
      </c>
      <c r="E34" s="98" t="s">
        <v>409</v>
      </c>
      <c r="F34" s="98" t="s">
        <v>124</v>
      </c>
      <c r="G34" s="98" t="s">
        <v>1040</v>
      </c>
      <c r="H34" s="100">
        <v>5</v>
      </c>
      <c r="I34" s="98" t="s">
        <v>410</v>
      </c>
      <c r="J34" s="98" t="s">
        <v>14</v>
      </c>
      <c r="K34" s="98" t="s">
        <v>1036</v>
      </c>
      <c r="L34" s="98" t="s">
        <v>750</v>
      </c>
      <c r="M34" s="99">
        <v>46304</v>
      </c>
      <c r="N34" s="98" t="s">
        <v>1094</v>
      </c>
    </row>
    <row r="35" spans="1:14" ht="72" customHeight="1" x14ac:dyDescent="0.25">
      <c r="A35" s="98" t="s">
        <v>723</v>
      </c>
      <c r="B35" s="99">
        <v>46296</v>
      </c>
      <c r="C35" s="98" t="s">
        <v>609</v>
      </c>
      <c r="D35" s="98" t="s">
        <v>1076</v>
      </c>
      <c r="E35" s="98" t="s">
        <v>1095</v>
      </c>
      <c r="F35" s="98" t="s">
        <v>124</v>
      </c>
      <c r="G35" s="98" t="s">
        <v>1040</v>
      </c>
      <c r="H35" s="100">
        <v>8</v>
      </c>
      <c r="I35" s="98" t="s">
        <v>412</v>
      </c>
      <c r="J35" s="98" t="s">
        <v>14</v>
      </c>
      <c r="K35" s="98" t="s">
        <v>722</v>
      </c>
      <c r="L35" s="98"/>
      <c r="M35" s="99">
        <v>46302</v>
      </c>
      <c r="N35" s="98" t="s">
        <v>1096</v>
      </c>
    </row>
    <row r="36" spans="1:14" ht="72" customHeight="1" x14ac:dyDescent="0.25">
      <c r="A36" s="98" t="s">
        <v>1097</v>
      </c>
      <c r="B36" s="99">
        <v>46297</v>
      </c>
      <c r="C36" s="98" t="s">
        <v>609</v>
      </c>
      <c r="D36" s="98" t="s">
        <v>1076</v>
      </c>
      <c r="E36" s="98" t="s">
        <v>418</v>
      </c>
      <c r="F36" s="98" t="s">
        <v>124</v>
      </c>
      <c r="G36" s="98" t="s">
        <v>1040</v>
      </c>
      <c r="H36" s="100">
        <v>8</v>
      </c>
      <c r="I36" s="98" t="s">
        <v>419</v>
      </c>
      <c r="J36" s="98" t="s">
        <v>14</v>
      </c>
      <c r="K36" s="98" t="s">
        <v>722</v>
      </c>
      <c r="L36" s="98"/>
      <c r="M36" s="99">
        <v>46302</v>
      </c>
      <c r="N36" s="98" t="s">
        <v>1098</v>
      </c>
    </row>
    <row r="37" spans="1:14" ht="72" customHeight="1" x14ac:dyDescent="0.25">
      <c r="A37" s="98" t="s">
        <v>1099</v>
      </c>
      <c r="B37" s="99">
        <v>46297</v>
      </c>
      <c r="C37" s="98" t="s">
        <v>608</v>
      </c>
      <c r="D37" s="98" t="s">
        <v>1100</v>
      </c>
      <c r="E37" s="98" t="s">
        <v>427</v>
      </c>
      <c r="F37" s="98" t="s">
        <v>124</v>
      </c>
      <c r="G37" s="98" t="s">
        <v>1040</v>
      </c>
      <c r="H37" s="100">
        <v>8</v>
      </c>
      <c r="I37" s="98" t="s">
        <v>428</v>
      </c>
      <c r="J37" s="98" t="s">
        <v>14</v>
      </c>
      <c r="K37" s="98" t="s">
        <v>1036</v>
      </c>
      <c r="L37" s="98" t="s">
        <v>750</v>
      </c>
      <c r="M37" s="99">
        <v>46304</v>
      </c>
      <c r="N37" s="98" t="s">
        <v>1101</v>
      </c>
    </row>
    <row r="38" spans="1:14" ht="72" customHeight="1" x14ac:dyDescent="0.25">
      <c r="A38" s="98" t="s">
        <v>1102</v>
      </c>
      <c r="B38" s="99">
        <v>46298</v>
      </c>
      <c r="C38" s="98" t="s">
        <v>609</v>
      </c>
      <c r="D38" s="98" t="s">
        <v>395</v>
      </c>
      <c r="E38" s="98" t="s">
        <v>424</v>
      </c>
      <c r="F38" s="98" t="s">
        <v>124</v>
      </c>
      <c r="G38" s="98" t="s">
        <v>1040</v>
      </c>
      <c r="H38" s="100">
        <v>8</v>
      </c>
      <c r="I38" s="98" t="s">
        <v>425</v>
      </c>
      <c r="J38" s="98" t="s">
        <v>14</v>
      </c>
      <c r="K38" s="98" t="s">
        <v>722</v>
      </c>
      <c r="L38" s="98"/>
      <c r="M38" s="99">
        <v>46302</v>
      </c>
      <c r="N38" s="98" t="s">
        <v>1103</v>
      </c>
    </row>
    <row r="39" spans="1:14" ht="72" customHeight="1" x14ac:dyDescent="0.25">
      <c r="A39" s="98" t="s">
        <v>1104</v>
      </c>
      <c r="B39" s="99">
        <v>46298</v>
      </c>
      <c r="C39" s="98" t="s">
        <v>608</v>
      </c>
      <c r="D39" s="98" t="s">
        <v>1083</v>
      </c>
      <c r="E39" s="98" t="s">
        <v>439</v>
      </c>
      <c r="F39" s="98" t="s">
        <v>125</v>
      </c>
      <c r="G39" s="98" t="s">
        <v>126</v>
      </c>
      <c r="H39" s="100">
        <v>4.5</v>
      </c>
      <c r="I39" s="98" t="s">
        <v>440</v>
      </c>
      <c r="J39" s="98" t="s">
        <v>14</v>
      </c>
      <c r="K39" s="98" t="s">
        <v>1036</v>
      </c>
      <c r="L39" s="98" t="s">
        <v>750</v>
      </c>
      <c r="M39" s="99">
        <v>46304</v>
      </c>
      <c r="N39" s="98" t="s">
        <v>1105</v>
      </c>
    </row>
    <row r="40" spans="1:14" ht="72" customHeight="1" x14ac:dyDescent="0.25">
      <c r="A40" s="98" t="s">
        <v>1106</v>
      </c>
      <c r="B40" s="99">
        <v>46299</v>
      </c>
      <c r="C40" s="98" t="s">
        <v>608</v>
      </c>
      <c r="D40" s="98" t="s">
        <v>1107</v>
      </c>
      <c r="E40" s="98" t="s">
        <v>436</v>
      </c>
      <c r="F40" s="98" t="s">
        <v>124</v>
      </c>
      <c r="G40" s="98" t="s">
        <v>1108</v>
      </c>
      <c r="H40" s="100">
        <v>8</v>
      </c>
      <c r="I40" s="98" t="s">
        <v>437</v>
      </c>
      <c r="J40" s="98" t="s">
        <v>14</v>
      </c>
      <c r="K40" s="98" t="s">
        <v>1036</v>
      </c>
      <c r="L40" s="98" t="s">
        <v>750</v>
      </c>
      <c r="M40" s="99">
        <v>46304</v>
      </c>
      <c r="N40" s="98" t="s">
        <v>1109</v>
      </c>
    </row>
    <row r="41" spans="1:14" ht="72" customHeight="1" x14ac:dyDescent="0.25">
      <c r="A41" s="98" t="s">
        <v>1110</v>
      </c>
      <c r="B41" s="99">
        <v>46299</v>
      </c>
      <c r="C41" s="98" t="s">
        <v>609</v>
      </c>
      <c r="D41" s="98" t="s">
        <v>1033</v>
      </c>
      <c r="E41" s="98" t="s">
        <v>442</v>
      </c>
      <c r="F41" s="98" t="s">
        <v>122</v>
      </c>
      <c r="G41" s="98" t="s">
        <v>1040</v>
      </c>
      <c r="H41" s="100">
        <v>5.5</v>
      </c>
      <c r="I41" s="98" t="s">
        <v>443</v>
      </c>
      <c r="J41" s="98" t="s">
        <v>14</v>
      </c>
      <c r="K41" s="98" t="s">
        <v>722</v>
      </c>
      <c r="L41" s="98"/>
      <c r="M41" s="99">
        <v>46302</v>
      </c>
      <c r="N41" s="98" t="s">
        <v>1111</v>
      </c>
    </row>
    <row r="42" spans="1:14" ht="72" customHeight="1" x14ac:dyDescent="0.25">
      <c r="A42" s="98" t="s">
        <v>1112</v>
      </c>
      <c r="B42" s="99">
        <v>46300</v>
      </c>
      <c r="C42" s="98" t="s">
        <v>759</v>
      </c>
      <c r="D42" s="98" t="s">
        <v>1113</v>
      </c>
      <c r="E42" s="98" t="s">
        <v>430</v>
      </c>
      <c r="F42" s="98" t="s">
        <v>124</v>
      </c>
      <c r="G42" s="98" t="s">
        <v>1040</v>
      </c>
      <c r="H42" s="100">
        <v>6</v>
      </c>
      <c r="I42" s="98" t="s">
        <v>431</v>
      </c>
      <c r="J42" s="98" t="s">
        <v>14</v>
      </c>
      <c r="K42" s="98" t="s">
        <v>1036</v>
      </c>
      <c r="L42" s="98" t="s">
        <v>750</v>
      </c>
      <c r="M42" s="99">
        <v>46304</v>
      </c>
      <c r="N42" s="98" t="s">
        <v>1114</v>
      </c>
    </row>
    <row r="43" spans="1:14" ht="72" customHeight="1" x14ac:dyDescent="0.25">
      <c r="A43" s="98" t="s">
        <v>1115</v>
      </c>
      <c r="B43" s="99">
        <v>46300</v>
      </c>
      <c r="C43" s="98" t="s">
        <v>608</v>
      </c>
      <c r="D43" s="98" t="s">
        <v>1116</v>
      </c>
      <c r="E43" s="98" t="s">
        <v>433</v>
      </c>
      <c r="F43" s="98" t="s">
        <v>124</v>
      </c>
      <c r="G43" s="98" t="s">
        <v>1040</v>
      </c>
      <c r="H43" s="100">
        <v>5</v>
      </c>
      <c r="I43" s="98" t="s">
        <v>434</v>
      </c>
      <c r="J43" s="98" t="s">
        <v>14</v>
      </c>
      <c r="K43" s="98" t="s">
        <v>1036</v>
      </c>
      <c r="L43" s="98" t="s">
        <v>750</v>
      </c>
      <c r="M43" s="99">
        <v>46304</v>
      </c>
      <c r="N43" s="98" t="s">
        <v>1117</v>
      </c>
    </row>
    <row r="44" spans="1:14" ht="72" customHeight="1" x14ac:dyDescent="0.25">
      <c r="A44" s="98" t="s">
        <v>1118</v>
      </c>
      <c r="B44" s="99">
        <v>46300</v>
      </c>
      <c r="C44" s="98" t="s">
        <v>609</v>
      </c>
      <c r="D44" s="98" t="s">
        <v>1119</v>
      </c>
      <c r="E44" s="98" t="s">
        <v>448</v>
      </c>
      <c r="F44" s="98" t="s">
        <v>124</v>
      </c>
      <c r="G44" s="98" t="s">
        <v>1108</v>
      </c>
      <c r="H44" s="100">
        <v>4.5</v>
      </c>
      <c r="I44" s="98" t="s">
        <v>449</v>
      </c>
      <c r="J44" s="98" t="s">
        <v>14</v>
      </c>
      <c r="K44" s="98" t="s">
        <v>366</v>
      </c>
      <c r="L44" s="98"/>
      <c r="M44" s="99">
        <v>46302</v>
      </c>
      <c r="N44" s="98" t="s">
        <v>1120</v>
      </c>
    </row>
    <row r="45" spans="1:14" ht="72" customHeight="1" x14ac:dyDescent="0.25">
      <c r="A45" s="98" t="s">
        <v>1121</v>
      </c>
      <c r="B45" s="99">
        <v>46301</v>
      </c>
      <c r="C45" s="98" t="s">
        <v>609</v>
      </c>
      <c r="D45" s="98" t="s">
        <v>1119</v>
      </c>
      <c r="E45" s="98" t="s">
        <v>445</v>
      </c>
      <c r="F45" s="98" t="s">
        <v>124</v>
      </c>
      <c r="G45" s="98" t="s">
        <v>1040</v>
      </c>
      <c r="H45" s="100">
        <v>8</v>
      </c>
      <c r="I45" s="98" t="s">
        <v>446</v>
      </c>
      <c r="J45" s="98" t="s">
        <v>14</v>
      </c>
      <c r="K45" s="98" t="s">
        <v>366</v>
      </c>
      <c r="L45" s="98"/>
      <c r="M45" s="99">
        <v>46302</v>
      </c>
      <c r="N45" s="98" t="s">
        <v>1122</v>
      </c>
    </row>
    <row r="46" spans="1:14" ht="72" customHeight="1" x14ac:dyDescent="0.25">
      <c r="A46" s="98" t="s">
        <v>1123</v>
      </c>
      <c r="B46" s="99">
        <v>46301</v>
      </c>
      <c r="C46" s="98" t="s">
        <v>29</v>
      </c>
      <c r="D46" s="98" t="s">
        <v>1033</v>
      </c>
      <c r="E46" s="98" t="s">
        <v>1124</v>
      </c>
      <c r="F46" s="98" t="s">
        <v>123</v>
      </c>
      <c r="G46" s="98" t="s">
        <v>126</v>
      </c>
      <c r="H46" s="100">
        <v>6</v>
      </c>
      <c r="I46" s="98" t="s">
        <v>1125</v>
      </c>
      <c r="J46" s="98" t="s">
        <v>14</v>
      </c>
      <c r="K46" s="98" t="s">
        <v>366</v>
      </c>
      <c r="L46" s="98"/>
      <c r="M46" s="99">
        <v>46302</v>
      </c>
      <c r="N46" s="98" t="s">
        <v>1126</v>
      </c>
    </row>
    <row r="47" spans="1:14" ht="72" customHeight="1" x14ac:dyDescent="0.25">
      <c r="A47" s="98" t="s">
        <v>1127</v>
      </c>
      <c r="B47" s="99">
        <v>46302</v>
      </c>
      <c r="C47" s="98" t="s">
        <v>608</v>
      </c>
      <c r="D47" s="98" t="s">
        <v>1128</v>
      </c>
      <c r="E47" s="98" t="s">
        <v>1129</v>
      </c>
      <c r="F47" s="98" t="s">
        <v>122</v>
      </c>
      <c r="G47" s="98" t="s">
        <v>126</v>
      </c>
      <c r="H47" s="100">
        <v>5</v>
      </c>
      <c r="I47" s="98" t="s">
        <v>1130</v>
      </c>
      <c r="J47" s="98" t="s">
        <v>14</v>
      </c>
      <c r="K47" s="98" t="s">
        <v>366</v>
      </c>
      <c r="L47" s="98"/>
      <c r="M47" s="99">
        <v>46302</v>
      </c>
      <c r="N47" s="98" t="s">
        <v>1131</v>
      </c>
    </row>
    <row r="48" spans="1:14" ht="72" customHeight="1" x14ac:dyDescent="0.25">
      <c r="A48" s="98" t="s">
        <v>1132</v>
      </c>
      <c r="B48" s="99">
        <v>46302</v>
      </c>
      <c r="C48" s="98" t="s">
        <v>759</v>
      </c>
      <c r="D48" s="98" t="s">
        <v>1133</v>
      </c>
      <c r="E48" s="98" t="s">
        <v>1134</v>
      </c>
      <c r="F48" s="98" t="s">
        <v>123</v>
      </c>
      <c r="G48" s="98" t="s">
        <v>126</v>
      </c>
      <c r="H48" s="100">
        <v>6</v>
      </c>
      <c r="I48" s="98" t="s">
        <v>1135</v>
      </c>
      <c r="J48" s="98" t="s">
        <v>14</v>
      </c>
      <c r="K48" s="98" t="s">
        <v>366</v>
      </c>
      <c r="L48" s="98"/>
      <c r="M48" s="99">
        <v>46302</v>
      </c>
      <c r="N48" s="98" t="s">
        <v>1136</v>
      </c>
    </row>
    <row r="49" spans="1:14" ht="72" customHeight="1" x14ac:dyDescent="0.25">
      <c r="A49" s="98" t="s">
        <v>1137</v>
      </c>
      <c r="B49" s="99">
        <v>46302</v>
      </c>
      <c r="C49" s="98" t="s">
        <v>609</v>
      </c>
      <c r="D49" s="98" t="s">
        <v>1033</v>
      </c>
      <c r="E49" s="98" t="s">
        <v>1138</v>
      </c>
      <c r="F49" s="98" t="s">
        <v>126</v>
      </c>
      <c r="G49" s="98" t="s">
        <v>126</v>
      </c>
      <c r="H49" s="100">
        <v>2.5</v>
      </c>
      <c r="I49" s="98" t="s">
        <v>1139</v>
      </c>
      <c r="J49" s="98" t="s">
        <v>14</v>
      </c>
      <c r="K49" s="98" t="s">
        <v>366</v>
      </c>
      <c r="L49" s="98"/>
      <c r="M49" s="99">
        <v>46302</v>
      </c>
      <c r="N49" s="98" t="s">
        <v>1140</v>
      </c>
    </row>
    <row r="50" spans="1:14" ht="72" customHeight="1" x14ac:dyDescent="0.25">
      <c r="A50" s="98" t="s">
        <v>1141</v>
      </c>
      <c r="B50" s="99">
        <v>46302</v>
      </c>
      <c r="C50" s="98" t="s">
        <v>807</v>
      </c>
      <c r="D50" s="98" t="s">
        <v>1142</v>
      </c>
      <c r="E50" s="98" t="s">
        <v>1143</v>
      </c>
      <c r="F50" s="98" t="s">
        <v>126</v>
      </c>
      <c r="G50" s="98" t="s">
        <v>126</v>
      </c>
      <c r="H50" s="100">
        <v>6</v>
      </c>
      <c r="I50" s="98" t="s">
        <v>1144</v>
      </c>
      <c r="J50" s="98" t="s">
        <v>14</v>
      </c>
      <c r="K50" s="98" t="s">
        <v>366</v>
      </c>
      <c r="L50" s="98"/>
      <c r="M50" s="99">
        <v>46302</v>
      </c>
      <c r="N50" s="98" t="s">
        <v>1145</v>
      </c>
    </row>
    <row r="51" spans="1:14" ht="72" customHeight="1" x14ac:dyDescent="0.25">
      <c r="A51" s="98" t="s">
        <v>1146</v>
      </c>
      <c r="B51" s="99">
        <v>46302</v>
      </c>
      <c r="C51" s="98" t="s">
        <v>609</v>
      </c>
      <c r="D51" s="98" t="s">
        <v>1147</v>
      </c>
      <c r="E51" s="98" t="s">
        <v>1148</v>
      </c>
      <c r="F51" s="98" t="s">
        <v>124</v>
      </c>
      <c r="G51" s="98" t="s">
        <v>364</v>
      </c>
      <c r="H51" s="100">
        <v>4</v>
      </c>
      <c r="I51" s="98" t="s">
        <v>1149</v>
      </c>
      <c r="J51" s="98" t="s">
        <v>14</v>
      </c>
      <c r="K51" s="98" t="s">
        <v>366</v>
      </c>
      <c r="L51" s="98"/>
      <c r="M51" s="99">
        <v>46302</v>
      </c>
      <c r="N51" s="98" t="s">
        <v>1150</v>
      </c>
    </row>
    <row r="52" spans="1:14" ht="72" customHeight="1" x14ac:dyDescent="0.25">
      <c r="A52" s="98" t="s">
        <v>1151</v>
      </c>
      <c r="B52" s="99">
        <v>46302</v>
      </c>
      <c r="C52" s="98" t="s">
        <v>29</v>
      </c>
      <c r="D52" s="98" t="s">
        <v>1152</v>
      </c>
      <c r="E52" s="98" t="s">
        <v>1153</v>
      </c>
      <c r="F52" s="98" t="s">
        <v>124</v>
      </c>
      <c r="G52" s="98" t="s">
        <v>364</v>
      </c>
      <c r="H52" s="100">
        <v>3</v>
      </c>
      <c r="I52" s="98" t="s">
        <v>1154</v>
      </c>
      <c r="J52" s="98" t="s">
        <v>14</v>
      </c>
      <c r="K52" s="98" t="s">
        <v>366</v>
      </c>
      <c r="L52" s="98"/>
      <c r="M52" s="99">
        <v>46302</v>
      </c>
      <c r="N52" s="98" t="s">
        <v>1155</v>
      </c>
    </row>
    <row r="53" spans="1:14" ht="20.100000000000001" customHeigh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</row>
    <row r="54" spans="1:14" ht="20.100000000000001" customHeight="1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</row>
    <row r="55" spans="1:14" ht="20.100000000000001" customHeight="1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</row>
    <row r="56" spans="1:14" ht="27.95" customHeight="1" x14ac:dyDescent="0.25">
      <c r="A56" s="3" t="s">
        <v>1156</v>
      </c>
      <c r="B56" s="3"/>
      <c r="C56" s="3"/>
      <c r="D56" s="3"/>
      <c r="E56" s="31"/>
      <c r="F56" s="31"/>
      <c r="G56" s="31"/>
      <c r="H56" s="31"/>
      <c r="I56" s="31"/>
      <c r="J56" s="31"/>
      <c r="K56" s="31"/>
      <c r="L56" s="31"/>
      <c r="M56" s="31"/>
      <c r="N56" s="31"/>
    </row>
    <row r="57" spans="1:14" ht="30" customHeight="1" x14ac:dyDescent="0.25">
      <c r="A57" s="68" t="s">
        <v>120</v>
      </c>
      <c r="B57" s="68" t="s">
        <v>1157</v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</row>
    <row r="58" spans="1:14" ht="30" customHeight="1" x14ac:dyDescent="0.25">
      <c r="A58" s="69" t="s">
        <v>121</v>
      </c>
      <c r="B58" s="70">
        <f t="shared" ref="B58:B65" si="0">SUMIF($F$5:$F$52,A58,$H$5:$H$52)</f>
        <v>0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</row>
    <row r="59" spans="1:14" ht="30" customHeight="1" x14ac:dyDescent="0.25">
      <c r="A59" s="69" t="s">
        <v>122</v>
      </c>
      <c r="B59" s="70">
        <f t="shared" si="0"/>
        <v>10.5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</row>
    <row r="60" spans="1:14" ht="30" customHeight="1" x14ac:dyDescent="0.25">
      <c r="A60" s="69" t="s">
        <v>123</v>
      </c>
      <c r="B60" s="70">
        <f t="shared" si="0"/>
        <v>12</v>
      </c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</row>
    <row r="61" spans="1:14" ht="30" customHeight="1" x14ac:dyDescent="0.25">
      <c r="A61" s="69" t="s">
        <v>124</v>
      </c>
      <c r="B61" s="70">
        <f t="shared" si="0"/>
        <v>161</v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</row>
    <row r="62" spans="1:14" ht="30" customHeight="1" x14ac:dyDescent="0.25">
      <c r="A62" s="69" t="s">
        <v>125</v>
      </c>
      <c r="B62" s="70">
        <f t="shared" si="0"/>
        <v>12</v>
      </c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</row>
    <row r="63" spans="1:14" ht="30" customHeight="1" x14ac:dyDescent="0.25">
      <c r="A63" s="69" t="s">
        <v>126</v>
      </c>
      <c r="B63" s="70">
        <f t="shared" si="0"/>
        <v>8.5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</row>
    <row r="64" spans="1:14" ht="30" customHeight="1" x14ac:dyDescent="0.25">
      <c r="A64" s="69" t="s">
        <v>127</v>
      </c>
      <c r="B64" s="70">
        <f t="shared" si="0"/>
        <v>0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</row>
    <row r="65" spans="1:14" ht="30" customHeight="1" x14ac:dyDescent="0.25">
      <c r="A65" s="69" t="s">
        <v>128</v>
      </c>
      <c r="B65" s="70">
        <f t="shared" si="0"/>
        <v>7.5</v>
      </c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</row>
    <row r="66" spans="1:14" ht="30" customHeight="1" x14ac:dyDescent="0.25">
      <c r="A66" s="71" t="s">
        <v>908</v>
      </c>
      <c r="B66" s="72">
        <f>SUM(B58:B65)</f>
        <v>211.5</v>
      </c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</row>
    <row r="67" spans="1:14" ht="20.100000000000001" customHeight="1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</row>
    <row r="68" spans="1:14" ht="20.100000000000001" customHeight="1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</row>
    <row r="69" spans="1:14" ht="27.95" customHeight="1" x14ac:dyDescent="0.25">
      <c r="A69" s="3" t="s">
        <v>1158</v>
      </c>
      <c r="B69" s="3"/>
      <c r="C69" s="3"/>
      <c r="D69" s="3"/>
      <c r="E69" s="3"/>
      <c r="F69" s="31"/>
      <c r="G69" s="31"/>
      <c r="H69" s="31"/>
      <c r="I69" s="31"/>
      <c r="J69" s="31"/>
      <c r="K69" s="31"/>
      <c r="L69" s="31"/>
      <c r="M69" s="31"/>
      <c r="N69" s="31"/>
    </row>
    <row r="70" spans="1:14" ht="30" customHeight="1" x14ac:dyDescent="0.25">
      <c r="A70" s="68" t="s">
        <v>926</v>
      </c>
      <c r="B70" s="68" t="s">
        <v>1157</v>
      </c>
      <c r="C70" s="68" t="s">
        <v>1036</v>
      </c>
      <c r="D70" s="68" t="s">
        <v>722</v>
      </c>
      <c r="E70" s="68" t="s">
        <v>366</v>
      </c>
      <c r="F70" s="31"/>
      <c r="G70" s="31"/>
      <c r="H70" s="31"/>
      <c r="I70" s="31"/>
      <c r="J70" s="31"/>
      <c r="K70" s="31"/>
      <c r="L70" s="31"/>
      <c r="M70" s="31"/>
      <c r="N70" s="31"/>
    </row>
    <row r="71" spans="1:14" ht="30" customHeight="1" x14ac:dyDescent="0.25">
      <c r="A71" s="69" t="s">
        <v>29</v>
      </c>
      <c r="B71" s="70">
        <f>SUMIF($C$5:$C$52,A71,$H$5:$H$52)</f>
        <v>27.5</v>
      </c>
      <c r="C71" s="70">
        <f>SUMIFS($H$5:$H$52,$C$5:$C$52,A71,$K$5:$K$52,"Approved")</f>
        <v>18.5</v>
      </c>
      <c r="D71" s="70">
        <f>SUMIFS($H$5:$H$52,$C$5:$C$52,A71,$K$5:$K$52,"Submitted")</f>
        <v>0</v>
      </c>
      <c r="E71" s="70">
        <f>SUMIFS($H$5:$H$52,$C$5:$C$52,A71,$K$5:$K$52,"Pending")</f>
        <v>9</v>
      </c>
      <c r="F71" s="31"/>
      <c r="G71" s="31"/>
      <c r="H71" s="31"/>
      <c r="I71" s="31"/>
      <c r="J71" s="31"/>
      <c r="K71" s="31"/>
      <c r="L71" s="31"/>
      <c r="M71" s="31"/>
      <c r="N71" s="31"/>
    </row>
    <row r="72" spans="1:14" ht="30" customHeight="1" x14ac:dyDescent="0.25">
      <c r="A72" s="69" t="s">
        <v>608</v>
      </c>
      <c r="B72" s="70">
        <f>SUMIF($C$5:$C$52,A72,$H$5:$H$52)</f>
        <v>33.5</v>
      </c>
      <c r="C72" s="70">
        <f>SUMIFS($H$5:$H$52,$C$5:$C$52,A72,$K$5:$K$52,"Approved")</f>
        <v>28.5</v>
      </c>
      <c r="D72" s="70">
        <f>SUMIFS($H$5:$H$52,$C$5:$C$52,A72,$K$5:$K$52,"Submitted")</f>
        <v>0</v>
      </c>
      <c r="E72" s="70">
        <f>SUMIFS($H$5:$H$52,$C$5:$C$52,A72,$K$5:$K$52,"Pending")</f>
        <v>5</v>
      </c>
      <c r="F72" s="31"/>
      <c r="G72" s="31"/>
      <c r="H72" s="31"/>
      <c r="I72" s="31"/>
      <c r="J72" s="31"/>
      <c r="K72" s="31"/>
      <c r="L72" s="31"/>
      <c r="M72" s="31"/>
      <c r="N72" s="31"/>
    </row>
    <row r="73" spans="1:14" ht="30" customHeight="1" x14ac:dyDescent="0.25">
      <c r="A73" s="69" t="s">
        <v>759</v>
      </c>
      <c r="B73" s="70">
        <f>SUMIF($C$5:$C$52,A73,$H$5:$H$52)</f>
        <v>37</v>
      </c>
      <c r="C73" s="70">
        <f>SUMIFS($H$5:$H$52,$C$5:$C$52,A73,$K$5:$K$52,"Approved")</f>
        <v>31</v>
      </c>
      <c r="D73" s="70">
        <f>SUMIFS($H$5:$H$52,$C$5:$C$52,A73,$K$5:$K$52,"Submitted")</f>
        <v>0</v>
      </c>
      <c r="E73" s="70">
        <f>SUMIFS($H$5:$H$52,$C$5:$C$52,A73,$K$5:$K$52,"Pending")</f>
        <v>6</v>
      </c>
      <c r="F73" s="31"/>
      <c r="G73" s="31"/>
      <c r="H73" s="31"/>
      <c r="I73" s="31"/>
      <c r="J73" s="31"/>
      <c r="K73" s="31"/>
      <c r="L73" s="31"/>
      <c r="M73" s="31"/>
      <c r="N73" s="31"/>
    </row>
    <row r="74" spans="1:14" ht="30" customHeight="1" x14ac:dyDescent="0.25">
      <c r="A74" s="69" t="s">
        <v>609</v>
      </c>
      <c r="B74" s="70">
        <f>SUMIF($C$5:$C$52,A74,$H$5:$H$52)</f>
        <v>81</v>
      </c>
      <c r="C74" s="70">
        <f>SUMIFS($H$5:$H$52,$C$5:$C$52,A74,$K$5:$K$52,"Approved")</f>
        <v>0</v>
      </c>
      <c r="D74" s="70">
        <f>SUMIFS($H$5:$H$52,$C$5:$C$52,A74,$K$5:$K$52,"Submitted")</f>
        <v>62</v>
      </c>
      <c r="E74" s="70">
        <f>SUMIFS($H$5:$H$52,$C$5:$C$52,A74,$K$5:$K$52,"Pending")</f>
        <v>19</v>
      </c>
      <c r="F74" s="31"/>
      <c r="G74" s="31"/>
      <c r="H74" s="31"/>
      <c r="I74" s="31"/>
      <c r="J74" s="31"/>
      <c r="K74" s="31"/>
      <c r="L74" s="31"/>
      <c r="M74" s="31"/>
      <c r="N74" s="31"/>
    </row>
    <row r="75" spans="1:14" ht="30" customHeight="1" x14ac:dyDescent="0.25">
      <c r="A75" s="69" t="s">
        <v>807</v>
      </c>
      <c r="B75" s="70">
        <f>SUMIF($C$5:$C$52,A75,$H$5:$H$52)</f>
        <v>32.5</v>
      </c>
      <c r="C75" s="70">
        <f>SUMIFS($H$5:$H$52,$C$5:$C$52,A75,$K$5:$K$52,"Approved")</f>
        <v>26.5</v>
      </c>
      <c r="D75" s="70">
        <f>SUMIFS($H$5:$H$52,$C$5:$C$52,A75,$K$5:$K$52,"Submitted")</f>
        <v>0</v>
      </c>
      <c r="E75" s="70">
        <f>SUMIFS($H$5:$H$52,$C$5:$C$52,A75,$K$5:$K$52,"Pending")</f>
        <v>6</v>
      </c>
      <c r="F75" s="31"/>
      <c r="G75" s="31"/>
      <c r="H75" s="31"/>
      <c r="I75" s="31"/>
      <c r="J75" s="31"/>
      <c r="K75" s="31"/>
      <c r="L75" s="31"/>
      <c r="M75" s="31"/>
      <c r="N75" s="31"/>
    </row>
    <row r="76" spans="1:14" ht="30" customHeight="1" x14ac:dyDescent="0.25">
      <c r="A76" s="71" t="s">
        <v>908</v>
      </c>
      <c r="B76" s="72">
        <f>SUM(B71:B75)</f>
        <v>211.5</v>
      </c>
      <c r="C76" s="72">
        <f>SUM(C71:C75)</f>
        <v>104.5</v>
      </c>
      <c r="D76" s="72">
        <f>SUM(D71:D75)</f>
        <v>62</v>
      </c>
      <c r="E76" s="72">
        <f>SUM(E71:E75)</f>
        <v>45</v>
      </c>
      <c r="F76" s="31"/>
      <c r="G76" s="31"/>
      <c r="H76" s="31"/>
      <c r="I76" s="31"/>
      <c r="J76" s="31"/>
      <c r="K76" s="31"/>
      <c r="L76" s="31"/>
      <c r="M76" s="31"/>
      <c r="N76" s="31"/>
    </row>
    <row r="77" spans="1:14" ht="20.100000000000001" customHeigh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</row>
    <row r="78" spans="1:14" ht="20.100000000000001" customHeight="1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</row>
    <row r="79" spans="1:14" ht="27.95" customHeight="1" x14ac:dyDescent="0.25">
      <c r="A79" s="3" t="s">
        <v>1159</v>
      </c>
      <c r="B79" s="3"/>
      <c r="C79" s="3"/>
      <c r="D79" s="3"/>
      <c r="E79" s="3"/>
      <c r="F79" s="3"/>
      <c r="G79" s="3"/>
      <c r="H79" s="3"/>
      <c r="I79" s="31"/>
      <c r="J79" s="31"/>
      <c r="K79" s="31"/>
      <c r="L79" s="31"/>
      <c r="M79" s="31"/>
      <c r="N79" s="31"/>
    </row>
    <row r="80" spans="1:14" ht="24.95" customHeight="1" x14ac:dyDescent="0.25">
      <c r="A80" s="2" t="s">
        <v>1160</v>
      </c>
      <c r="B80" s="2"/>
      <c r="C80" s="2"/>
      <c r="D80" s="2"/>
      <c r="E80" s="2"/>
      <c r="F80" s="2"/>
      <c r="G80" s="2"/>
      <c r="H80" s="2"/>
      <c r="I80" s="31"/>
      <c r="J80" s="31"/>
      <c r="K80" s="31"/>
      <c r="L80" s="31"/>
      <c r="M80" s="31"/>
      <c r="N80" s="31"/>
    </row>
    <row r="81" spans="1:14" ht="24.95" customHeight="1" x14ac:dyDescent="0.25">
      <c r="A81" s="2"/>
      <c r="B81" s="2"/>
      <c r="C81" s="2"/>
      <c r="D81" s="2"/>
      <c r="E81" s="2"/>
      <c r="F81" s="2"/>
      <c r="G81" s="2"/>
      <c r="H81" s="2"/>
      <c r="I81" s="31"/>
      <c r="J81" s="31"/>
      <c r="K81" s="31"/>
      <c r="L81" s="31"/>
      <c r="M81" s="31"/>
      <c r="N81" s="31"/>
    </row>
    <row r="82" spans="1:14" ht="24.95" customHeight="1" x14ac:dyDescent="0.25">
      <c r="A82" s="2"/>
      <c r="B82" s="2"/>
      <c r="C82" s="2"/>
      <c r="D82" s="2"/>
      <c r="E82" s="2"/>
      <c r="F82" s="2"/>
      <c r="G82" s="2"/>
      <c r="H82" s="2"/>
      <c r="I82" s="31"/>
      <c r="J82" s="31"/>
      <c r="K82" s="31"/>
      <c r="L82" s="31"/>
      <c r="M82" s="31"/>
      <c r="N82" s="31"/>
    </row>
    <row r="83" spans="1:14" ht="24.95" customHeight="1" x14ac:dyDescent="0.25">
      <c r="A83" s="2"/>
      <c r="B83" s="2"/>
      <c r="C83" s="2"/>
      <c r="D83" s="2"/>
      <c r="E83" s="2"/>
      <c r="F83" s="2"/>
      <c r="G83" s="2"/>
      <c r="H83" s="2"/>
      <c r="I83" s="31"/>
      <c r="J83" s="31"/>
      <c r="K83" s="31"/>
      <c r="L83" s="31"/>
      <c r="M83" s="31"/>
      <c r="N83" s="31"/>
    </row>
    <row r="84" spans="1:14" ht="20.100000000000001" customHeight="1" x14ac:dyDescent="0.25"/>
    <row r="85" spans="1:14" ht="20.100000000000001" customHeight="1" x14ac:dyDescent="0.25"/>
    <row r="86" spans="1:14" ht="20.100000000000001" customHeight="1" x14ac:dyDescent="0.25"/>
    <row r="87" spans="1:14" ht="20.100000000000001" customHeight="1" x14ac:dyDescent="0.25"/>
    <row r="88" spans="1:14" ht="20.100000000000001" customHeight="1" x14ac:dyDescent="0.25"/>
    <row r="89" spans="1:14" ht="20.100000000000001" customHeight="1" x14ac:dyDescent="0.25"/>
    <row r="90" spans="1:14" ht="20.100000000000001" customHeight="1" x14ac:dyDescent="0.25"/>
    <row r="91" spans="1:14" ht="20.100000000000001" customHeight="1" x14ac:dyDescent="0.25"/>
    <row r="92" spans="1:14" ht="20.100000000000001" customHeight="1" x14ac:dyDescent="0.25"/>
    <row r="93" spans="1:14" ht="20.100000000000001" customHeight="1" x14ac:dyDescent="0.25"/>
    <row r="94" spans="1:14" ht="20.100000000000001" customHeight="1" x14ac:dyDescent="0.25"/>
    <row r="95" spans="1:14" ht="20.100000000000001" customHeight="1" x14ac:dyDescent="0.25"/>
    <row r="96" spans="1:1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</sheetData>
  <mergeCells count="6">
    <mergeCell ref="A80:H83"/>
    <mergeCell ref="A2:N2"/>
    <mergeCell ref="A1:N1"/>
    <mergeCell ref="A56:D56"/>
    <mergeCell ref="A69:E69"/>
    <mergeCell ref="A79:H79"/>
  </mergeCells>
  <conditionalFormatting sqref="K5:K52">
    <cfRule type="containsText" dxfId="69" priority="1" operator="containsText" text="Pending"/>
    <cfRule type="containsText" dxfId="68" priority="2" operator="containsText" text="Submitted"/>
    <cfRule type="containsText" dxfId="67" priority="3" operator="containsText" text="Approved"/>
    <cfRule type="containsText" dxfId="66" priority="4" operator="containsText" text="Rejected"/>
  </conditionalFormatting>
  <dataValidations count="6">
    <dataValidation type="list" sqref="C5:C52" xr:uid="{00000000-0002-0000-0400-000000000000}">
      <formula1>"PhuPD,HoangNV,SonLT,HieuLT,TungVPH"</formula1>
    </dataValidation>
    <dataValidation type="list" sqref="F5:F52" xr:uid="{00000000-0002-0000-0400-000001000000}">
      <formula1>"Training,Analyzing,Designing,Coding,Testing,Reviewing,Deploying,Meeting"</formula1>
    </dataValidation>
    <dataValidation type="list" sqref="G5:G52" xr:uid="{00000000-0002-0000-0400-000002000000}">
      <formula1>"Newly-Created,Updating,Reviewing,Bug-Fix,Research"</formula1>
    </dataValidation>
    <dataValidation type="list" sqref="J5:J52" xr:uid="{00000000-0002-0000-0400-000003000000}">
      <formula1>"Iteration 1,Iteration 2,Iteration 3,General"</formula1>
    </dataValidation>
    <dataValidation type="list" sqref="K5:K52" xr:uid="{00000000-0002-0000-0400-000004000000}">
      <formula1>"Pending,Submitted,Approved,Rejected"</formula1>
    </dataValidation>
    <dataValidation type="list" sqref="L5:L52" xr:uid="{00000000-0002-0000-0400-000005000000}">
      <formula1>"LinhNDM"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R3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13" customWidth="1"/>
    <col min="3" max="3" width="43" customWidth="1"/>
    <col min="4" max="4" width="42" customWidth="1"/>
    <col min="5" max="6" width="43" customWidth="1"/>
    <col min="7" max="8" width="12" customWidth="1"/>
    <col min="9" max="9" width="20" customWidth="1"/>
    <col min="10" max="10" width="22" customWidth="1"/>
    <col min="11" max="11" width="36" customWidth="1"/>
    <col min="12" max="12" width="22" customWidth="1"/>
    <col min="13" max="13" width="24" customWidth="1"/>
    <col min="14" max="14" width="16" customWidth="1"/>
    <col min="15" max="15" width="13" customWidth="1"/>
    <col min="16" max="16" width="18" customWidth="1"/>
    <col min="17" max="17" width="13" customWidth="1"/>
    <col min="18" max="18" width="80" customWidth="1"/>
  </cols>
  <sheetData>
    <row r="1" spans="1:18" ht="18" x14ac:dyDescent="0.25">
      <c r="A1" s="11" t="s">
        <v>643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20.100000000000001" customHeight="1" x14ac:dyDescent="0.25">
      <c r="A2" s="6" t="s">
        <v>724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35.1" customHeight="1" x14ac:dyDescent="0.25">
      <c r="A4" s="73" t="s">
        <v>610</v>
      </c>
      <c r="B4" s="73" t="s">
        <v>644</v>
      </c>
      <c r="C4" s="73" t="s">
        <v>645</v>
      </c>
      <c r="D4" s="73" t="s">
        <v>646</v>
      </c>
      <c r="E4" s="73" t="s">
        <v>647</v>
      </c>
      <c r="F4" s="73" t="s">
        <v>648</v>
      </c>
      <c r="G4" s="73" t="s">
        <v>649</v>
      </c>
      <c r="H4" s="73" t="s">
        <v>629</v>
      </c>
      <c r="I4" s="73" t="s">
        <v>638</v>
      </c>
      <c r="J4" s="73" t="s">
        <v>650</v>
      </c>
      <c r="K4" s="73" t="s">
        <v>651</v>
      </c>
      <c r="L4" s="73" t="s">
        <v>652</v>
      </c>
      <c r="M4" s="73" t="s">
        <v>653</v>
      </c>
      <c r="N4" s="73" t="s">
        <v>612</v>
      </c>
      <c r="O4" s="73" t="s">
        <v>654</v>
      </c>
      <c r="P4" s="73" t="s">
        <v>655</v>
      </c>
      <c r="Q4" s="73" t="s">
        <v>642</v>
      </c>
      <c r="R4" s="73" t="s">
        <v>614</v>
      </c>
    </row>
    <row r="5" spans="1:18" ht="144.94999999999999" customHeight="1" x14ac:dyDescent="0.25">
      <c r="A5" s="74" t="s">
        <v>450</v>
      </c>
      <c r="B5" s="75">
        <v>46300</v>
      </c>
      <c r="C5" s="76" t="s">
        <v>451</v>
      </c>
      <c r="D5" s="76" t="s">
        <v>452</v>
      </c>
      <c r="E5" s="76" t="s">
        <v>453</v>
      </c>
      <c r="F5" s="76" t="s">
        <v>454</v>
      </c>
      <c r="G5" s="77" t="s">
        <v>320</v>
      </c>
      <c r="H5" s="78" t="s">
        <v>320</v>
      </c>
      <c r="I5" s="77" t="s">
        <v>1161</v>
      </c>
      <c r="J5" s="79" t="s">
        <v>455</v>
      </c>
      <c r="K5" s="79" t="s">
        <v>456</v>
      </c>
      <c r="L5" s="79" t="s">
        <v>609</v>
      </c>
      <c r="M5" s="79" t="s">
        <v>608</v>
      </c>
      <c r="N5" s="41" t="s">
        <v>457</v>
      </c>
      <c r="O5" s="75">
        <v>46300</v>
      </c>
      <c r="P5" s="77" t="s">
        <v>1162</v>
      </c>
      <c r="Q5" s="75">
        <v>46302</v>
      </c>
      <c r="R5" s="79" t="s">
        <v>1163</v>
      </c>
    </row>
    <row r="6" spans="1:18" ht="144.94999999999999" customHeight="1" x14ac:dyDescent="0.25">
      <c r="A6" s="74" t="s">
        <v>458</v>
      </c>
      <c r="B6" s="80">
        <v>46300</v>
      </c>
      <c r="C6" s="35" t="s">
        <v>459</v>
      </c>
      <c r="D6" s="35" t="s">
        <v>460</v>
      </c>
      <c r="E6" s="35" t="s">
        <v>461</v>
      </c>
      <c r="F6" s="35" t="s">
        <v>462</v>
      </c>
      <c r="G6" s="78" t="s">
        <v>320</v>
      </c>
      <c r="H6" s="78" t="s">
        <v>320</v>
      </c>
      <c r="I6" s="36" t="s">
        <v>1161</v>
      </c>
      <c r="J6" s="35" t="s">
        <v>455</v>
      </c>
      <c r="K6" s="35" t="s">
        <v>463</v>
      </c>
      <c r="L6" s="35" t="s">
        <v>609</v>
      </c>
      <c r="M6" s="35" t="s">
        <v>608</v>
      </c>
      <c r="N6" s="41" t="s">
        <v>457</v>
      </c>
      <c r="O6" s="80">
        <v>46300</v>
      </c>
      <c r="P6" s="36" t="s">
        <v>1162</v>
      </c>
      <c r="Q6" s="80">
        <v>46302</v>
      </c>
      <c r="R6" s="35" t="s">
        <v>1164</v>
      </c>
    </row>
    <row r="7" spans="1:18" ht="144.94999999999999" customHeight="1" x14ac:dyDescent="0.25">
      <c r="A7" s="74" t="s">
        <v>464</v>
      </c>
      <c r="B7" s="75">
        <v>46300</v>
      </c>
      <c r="C7" s="79" t="s">
        <v>465</v>
      </c>
      <c r="D7" s="79" t="s">
        <v>466</v>
      </c>
      <c r="E7" s="79" t="s">
        <v>467</v>
      </c>
      <c r="F7" s="79" t="s">
        <v>468</v>
      </c>
      <c r="G7" s="78" t="s">
        <v>320</v>
      </c>
      <c r="H7" s="78" t="s">
        <v>320</v>
      </c>
      <c r="I7" s="77" t="s">
        <v>1161</v>
      </c>
      <c r="J7" s="79" t="s">
        <v>455</v>
      </c>
      <c r="K7" s="79" t="s">
        <v>469</v>
      </c>
      <c r="L7" s="79" t="s">
        <v>609</v>
      </c>
      <c r="M7" s="79" t="s">
        <v>608</v>
      </c>
      <c r="N7" s="41" t="s">
        <v>457</v>
      </c>
      <c r="O7" s="75">
        <v>46300</v>
      </c>
      <c r="P7" s="77" t="s">
        <v>1162</v>
      </c>
      <c r="Q7" s="75">
        <v>46302</v>
      </c>
      <c r="R7" s="79" t="s">
        <v>1165</v>
      </c>
    </row>
    <row r="8" spans="1:18" ht="144.94999999999999" customHeight="1" x14ac:dyDescent="0.25">
      <c r="A8" s="74" t="s">
        <v>470</v>
      </c>
      <c r="B8" s="80">
        <v>46300</v>
      </c>
      <c r="C8" s="35" t="s">
        <v>471</v>
      </c>
      <c r="D8" s="35" t="s">
        <v>472</v>
      </c>
      <c r="E8" s="35" t="s">
        <v>473</v>
      </c>
      <c r="F8" s="35" t="s">
        <v>474</v>
      </c>
      <c r="G8" s="78" t="s">
        <v>139</v>
      </c>
      <c r="H8" s="78" t="s">
        <v>139</v>
      </c>
      <c r="I8" s="36" t="s">
        <v>1161</v>
      </c>
      <c r="J8" s="35" t="s">
        <v>455</v>
      </c>
      <c r="K8" s="35" t="s">
        <v>475</v>
      </c>
      <c r="L8" s="35" t="s">
        <v>609</v>
      </c>
      <c r="M8" s="35" t="s">
        <v>608</v>
      </c>
      <c r="N8" s="41" t="s">
        <v>366</v>
      </c>
      <c r="O8" s="80"/>
      <c r="P8" s="36"/>
      <c r="Q8" s="80">
        <v>46302</v>
      </c>
      <c r="R8" s="35" t="s">
        <v>1166</v>
      </c>
    </row>
    <row r="9" spans="1:18" ht="144.94999999999999" customHeight="1" x14ac:dyDescent="0.25">
      <c r="A9" s="74" t="s">
        <v>476</v>
      </c>
      <c r="B9" s="75">
        <v>46300</v>
      </c>
      <c r="C9" s="79" t="s">
        <v>477</v>
      </c>
      <c r="D9" s="79" t="s">
        <v>478</v>
      </c>
      <c r="E9" s="79" t="s">
        <v>479</v>
      </c>
      <c r="F9" s="79" t="s">
        <v>480</v>
      </c>
      <c r="G9" s="78" t="s">
        <v>139</v>
      </c>
      <c r="H9" s="78" t="s">
        <v>139</v>
      </c>
      <c r="I9" s="77" t="s">
        <v>1161</v>
      </c>
      <c r="J9" s="79" t="s">
        <v>455</v>
      </c>
      <c r="K9" s="79" t="s">
        <v>481</v>
      </c>
      <c r="L9" s="79" t="s">
        <v>609</v>
      </c>
      <c r="M9" s="79" t="s">
        <v>608</v>
      </c>
      <c r="N9" s="41" t="s">
        <v>366</v>
      </c>
      <c r="O9" s="75"/>
      <c r="P9" s="77"/>
      <c r="Q9" s="75">
        <v>46302</v>
      </c>
      <c r="R9" s="79" t="s">
        <v>1167</v>
      </c>
    </row>
    <row r="10" spans="1:18" ht="144.94999999999999" customHeight="1" x14ac:dyDescent="0.25">
      <c r="A10" s="74" t="s">
        <v>482</v>
      </c>
      <c r="B10" s="80">
        <v>46302</v>
      </c>
      <c r="C10" s="35" t="s">
        <v>1168</v>
      </c>
      <c r="D10" s="35" t="s">
        <v>483</v>
      </c>
      <c r="E10" s="35" t="s">
        <v>1169</v>
      </c>
      <c r="F10" s="35" t="s">
        <v>1170</v>
      </c>
      <c r="G10" s="78" t="s">
        <v>139</v>
      </c>
      <c r="H10" s="78" t="s">
        <v>320</v>
      </c>
      <c r="I10" s="36" t="s">
        <v>725</v>
      </c>
      <c r="J10" s="35" t="s">
        <v>484</v>
      </c>
      <c r="K10" s="35" t="s">
        <v>485</v>
      </c>
      <c r="L10" s="35" t="s">
        <v>609</v>
      </c>
      <c r="M10" s="35" t="s">
        <v>609</v>
      </c>
      <c r="N10" s="41" t="s">
        <v>457</v>
      </c>
      <c r="O10" s="102">
        <v>46304</v>
      </c>
      <c r="P10" s="36" t="s">
        <v>1171</v>
      </c>
      <c r="Q10" s="102">
        <v>46304</v>
      </c>
      <c r="R10" s="35" t="s">
        <v>1172</v>
      </c>
    </row>
    <row r="11" spans="1:18" ht="144.94999999999999" customHeight="1" x14ac:dyDescent="0.25">
      <c r="A11" s="74" t="s">
        <v>486</v>
      </c>
      <c r="B11" s="75">
        <v>46302</v>
      </c>
      <c r="C11" s="79" t="s">
        <v>1173</v>
      </c>
      <c r="D11" s="79" t="s">
        <v>487</v>
      </c>
      <c r="E11" s="79" t="s">
        <v>1174</v>
      </c>
      <c r="F11" s="79" t="s">
        <v>1175</v>
      </c>
      <c r="G11" s="78" t="s">
        <v>139</v>
      </c>
      <c r="H11" s="78" t="s">
        <v>139</v>
      </c>
      <c r="I11" s="77" t="s">
        <v>725</v>
      </c>
      <c r="J11" s="79" t="s">
        <v>484</v>
      </c>
      <c r="K11" s="79" t="s">
        <v>1176</v>
      </c>
      <c r="L11" s="79" t="s">
        <v>609</v>
      </c>
      <c r="M11" s="79" t="s">
        <v>609</v>
      </c>
      <c r="N11" s="41" t="s">
        <v>457</v>
      </c>
      <c r="O11" s="103">
        <v>46304</v>
      </c>
      <c r="P11" s="77" t="s">
        <v>1171</v>
      </c>
      <c r="Q11" s="103">
        <v>46304</v>
      </c>
      <c r="R11" s="79" t="s">
        <v>1177</v>
      </c>
    </row>
    <row r="12" spans="1:18" ht="144.94999999999999" customHeight="1" x14ac:dyDescent="0.25">
      <c r="A12" s="74" t="s">
        <v>488</v>
      </c>
      <c r="B12" s="80">
        <v>46302</v>
      </c>
      <c r="C12" s="35" t="s">
        <v>1178</v>
      </c>
      <c r="D12" s="35" t="s">
        <v>489</v>
      </c>
      <c r="E12" s="35" t="s">
        <v>490</v>
      </c>
      <c r="F12" s="35" t="s">
        <v>1179</v>
      </c>
      <c r="G12" s="78" t="s">
        <v>139</v>
      </c>
      <c r="H12" s="78" t="s">
        <v>139</v>
      </c>
      <c r="I12" s="36" t="s">
        <v>725</v>
      </c>
      <c r="J12" s="35" t="s">
        <v>484</v>
      </c>
      <c r="K12" s="35" t="s">
        <v>491</v>
      </c>
      <c r="L12" s="35" t="s">
        <v>609</v>
      </c>
      <c r="M12" s="35" t="s">
        <v>609</v>
      </c>
      <c r="N12" s="41" t="s">
        <v>321</v>
      </c>
      <c r="O12" s="80"/>
      <c r="P12" s="36"/>
      <c r="Q12" s="102">
        <v>46304</v>
      </c>
      <c r="R12" s="35" t="s">
        <v>1180</v>
      </c>
    </row>
    <row r="13" spans="1:18" x14ac:dyDescent="0.25">
      <c r="A13" s="22"/>
      <c r="B13" s="23"/>
      <c r="C13" s="24"/>
      <c r="D13" s="24"/>
      <c r="E13" s="24"/>
      <c r="F13" s="24"/>
      <c r="G13" s="21"/>
      <c r="H13" s="21"/>
      <c r="I13" s="23"/>
      <c r="J13" s="24"/>
      <c r="K13" s="24"/>
      <c r="L13" s="24"/>
      <c r="M13" s="24"/>
      <c r="N13" s="15"/>
      <c r="O13" s="23"/>
      <c r="P13" s="23"/>
      <c r="Q13" s="23"/>
      <c r="R13" s="24"/>
    </row>
    <row r="14" spans="1:18" x14ac:dyDescent="0.25">
      <c r="A14" s="22"/>
      <c r="B14" s="13"/>
      <c r="C14" s="14"/>
      <c r="D14" s="14"/>
      <c r="E14" s="14"/>
      <c r="F14" s="14"/>
      <c r="G14" s="21"/>
      <c r="H14" s="21"/>
      <c r="I14" s="13"/>
      <c r="J14" s="14"/>
      <c r="K14" s="14"/>
      <c r="L14" s="14"/>
      <c r="M14" s="14"/>
      <c r="N14" s="15"/>
      <c r="O14" s="13"/>
      <c r="P14" s="13"/>
      <c r="Q14" s="13"/>
      <c r="R14" s="14"/>
    </row>
    <row r="15" spans="1:18" x14ac:dyDescent="0.25">
      <c r="A15" s="22"/>
      <c r="B15" s="23"/>
      <c r="C15" s="24"/>
      <c r="D15" s="24"/>
      <c r="E15" s="24"/>
      <c r="F15" s="24"/>
      <c r="G15" s="21"/>
      <c r="H15" s="21"/>
      <c r="I15" s="23"/>
      <c r="J15" s="24"/>
      <c r="K15" s="24"/>
      <c r="L15" s="24"/>
      <c r="M15" s="24"/>
      <c r="N15" s="15"/>
      <c r="O15" s="23"/>
      <c r="P15" s="23"/>
      <c r="Q15" s="23"/>
      <c r="R15" s="24"/>
    </row>
    <row r="16" spans="1:18" x14ac:dyDescent="0.25">
      <c r="A16" s="22"/>
      <c r="B16" s="13"/>
      <c r="C16" s="14"/>
      <c r="D16" s="14"/>
      <c r="E16" s="14"/>
      <c r="F16" s="14"/>
      <c r="G16" s="21"/>
      <c r="H16" s="21"/>
      <c r="I16" s="13"/>
      <c r="J16" s="14"/>
      <c r="K16" s="14"/>
      <c r="L16" s="14"/>
      <c r="M16" s="14"/>
      <c r="N16" s="15"/>
      <c r="O16" s="13"/>
      <c r="P16" s="13"/>
      <c r="Q16" s="13"/>
      <c r="R16" s="14"/>
    </row>
    <row r="17" spans="1:18" x14ac:dyDescent="0.25">
      <c r="A17" s="22"/>
      <c r="B17" s="23"/>
      <c r="C17" s="24"/>
      <c r="D17" s="24"/>
      <c r="E17" s="24"/>
      <c r="F17" s="24"/>
      <c r="G17" s="21"/>
      <c r="H17" s="21"/>
      <c r="I17" s="23"/>
      <c r="J17" s="24"/>
      <c r="K17" s="24"/>
      <c r="L17" s="24"/>
      <c r="M17" s="24"/>
      <c r="N17" s="15"/>
      <c r="O17" s="23"/>
      <c r="P17" s="23"/>
      <c r="Q17" s="23"/>
      <c r="R17" s="24"/>
    </row>
    <row r="18" spans="1:18" x14ac:dyDescent="0.25">
      <c r="A18" s="22"/>
      <c r="B18" s="13"/>
      <c r="C18" s="14"/>
      <c r="D18" s="14"/>
      <c r="E18" s="14"/>
      <c r="F18" s="14"/>
      <c r="G18" s="21"/>
      <c r="H18" s="21"/>
      <c r="I18" s="13"/>
      <c r="J18" s="14"/>
      <c r="K18" s="14"/>
      <c r="L18" s="14"/>
      <c r="M18" s="14"/>
      <c r="N18" s="15"/>
      <c r="O18" s="13"/>
      <c r="P18" s="13"/>
      <c r="Q18" s="13"/>
      <c r="R18" s="14"/>
    </row>
    <row r="19" spans="1:18" x14ac:dyDescent="0.25">
      <c r="A19" s="22"/>
      <c r="B19" s="23"/>
      <c r="C19" s="24"/>
      <c r="D19" s="24"/>
      <c r="E19" s="24"/>
      <c r="F19" s="24"/>
      <c r="G19" s="21"/>
      <c r="H19" s="21"/>
      <c r="I19" s="23"/>
      <c r="J19" s="24"/>
      <c r="K19" s="24"/>
      <c r="L19" s="24"/>
      <c r="M19" s="24"/>
      <c r="N19" s="15"/>
      <c r="O19" s="23"/>
      <c r="P19" s="23"/>
      <c r="Q19" s="23"/>
      <c r="R19" s="24"/>
    </row>
    <row r="20" spans="1:18" x14ac:dyDescent="0.25">
      <c r="A20" s="22"/>
      <c r="B20" s="13"/>
      <c r="C20" s="14"/>
      <c r="D20" s="14"/>
      <c r="E20" s="14"/>
      <c r="F20" s="14"/>
      <c r="G20" s="21"/>
      <c r="H20" s="21"/>
      <c r="I20" s="13"/>
      <c r="J20" s="14"/>
      <c r="K20" s="14"/>
      <c r="L20" s="14"/>
      <c r="M20" s="14"/>
      <c r="N20" s="15"/>
      <c r="O20" s="13"/>
      <c r="P20" s="13"/>
      <c r="Q20" s="13"/>
      <c r="R20" s="14"/>
    </row>
    <row r="21" spans="1:18" x14ac:dyDescent="0.25">
      <c r="A21" s="22"/>
      <c r="B21" s="23"/>
      <c r="C21" s="24"/>
      <c r="D21" s="24"/>
      <c r="E21" s="24"/>
      <c r="F21" s="24"/>
      <c r="G21" s="21"/>
      <c r="H21" s="21"/>
      <c r="I21" s="23"/>
      <c r="J21" s="24"/>
      <c r="K21" s="24"/>
      <c r="L21" s="24"/>
      <c r="M21" s="24"/>
      <c r="N21" s="15"/>
      <c r="O21" s="23"/>
      <c r="P21" s="23"/>
      <c r="Q21" s="23"/>
      <c r="R21" s="24"/>
    </row>
    <row r="22" spans="1:18" x14ac:dyDescent="0.25">
      <c r="A22" s="22"/>
      <c r="B22" s="13"/>
      <c r="C22" s="14"/>
      <c r="D22" s="14"/>
      <c r="E22" s="14"/>
      <c r="F22" s="14"/>
      <c r="G22" s="21"/>
      <c r="H22" s="21"/>
      <c r="I22" s="13"/>
      <c r="J22" s="14"/>
      <c r="K22" s="14"/>
      <c r="L22" s="14"/>
      <c r="M22" s="14"/>
      <c r="N22" s="15"/>
      <c r="O22" s="13"/>
      <c r="P22" s="13"/>
      <c r="Q22" s="13"/>
      <c r="R22" s="14"/>
    </row>
    <row r="23" spans="1:18" x14ac:dyDescent="0.25">
      <c r="A23" s="22"/>
      <c r="B23" s="23"/>
      <c r="C23" s="24"/>
      <c r="D23" s="24"/>
      <c r="E23" s="24"/>
      <c r="F23" s="24"/>
      <c r="G23" s="21"/>
      <c r="H23" s="21"/>
      <c r="I23" s="23"/>
      <c r="J23" s="24"/>
      <c r="K23" s="24"/>
      <c r="L23" s="24"/>
      <c r="M23" s="24"/>
      <c r="N23" s="15"/>
      <c r="O23" s="23"/>
      <c r="P23" s="23"/>
      <c r="Q23" s="23"/>
      <c r="R23" s="24"/>
    </row>
    <row r="24" spans="1:18" x14ac:dyDescent="0.25">
      <c r="A24" s="22"/>
      <c r="B24" s="13"/>
      <c r="C24" s="14"/>
      <c r="D24" s="14"/>
      <c r="E24" s="14"/>
      <c r="F24" s="14"/>
      <c r="G24" s="21"/>
      <c r="H24" s="21"/>
      <c r="I24" s="13"/>
      <c r="J24" s="14"/>
      <c r="K24" s="14"/>
      <c r="L24" s="14"/>
      <c r="M24" s="14"/>
      <c r="N24" s="15"/>
      <c r="O24" s="13"/>
      <c r="P24" s="13"/>
      <c r="Q24" s="13"/>
      <c r="R24" s="14"/>
    </row>
    <row r="25" spans="1:18" x14ac:dyDescent="0.25">
      <c r="A25" s="22"/>
      <c r="B25" s="23"/>
      <c r="C25" s="24"/>
      <c r="D25" s="24"/>
      <c r="E25" s="24"/>
      <c r="F25" s="24"/>
      <c r="G25" s="21"/>
      <c r="H25" s="21"/>
      <c r="I25" s="23"/>
      <c r="J25" s="24"/>
      <c r="K25" s="24"/>
      <c r="L25" s="24"/>
      <c r="M25" s="24"/>
      <c r="N25" s="15"/>
      <c r="O25" s="23"/>
      <c r="P25" s="23"/>
      <c r="Q25" s="23"/>
      <c r="R25" s="24"/>
    </row>
    <row r="26" spans="1:18" x14ac:dyDescent="0.25">
      <c r="A26" s="22"/>
      <c r="B26" s="13"/>
      <c r="C26" s="14"/>
      <c r="D26" s="14"/>
      <c r="E26" s="14"/>
      <c r="F26" s="14"/>
      <c r="G26" s="21"/>
      <c r="H26" s="21"/>
      <c r="I26" s="13"/>
      <c r="J26" s="14"/>
      <c r="K26" s="14"/>
      <c r="L26" s="14"/>
      <c r="M26" s="14"/>
      <c r="N26" s="15"/>
      <c r="O26" s="13"/>
      <c r="P26" s="13"/>
      <c r="Q26" s="13"/>
      <c r="R26" s="14"/>
    </row>
    <row r="27" spans="1:18" x14ac:dyDescent="0.25">
      <c r="A27" s="22"/>
      <c r="B27" s="23"/>
      <c r="C27" s="24"/>
      <c r="D27" s="24"/>
      <c r="E27" s="24"/>
      <c r="F27" s="24"/>
      <c r="G27" s="21"/>
      <c r="H27" s="21"/>
      <c r="I27" s="23"/>
      <c r="J27" s="24"/>
      <c r="K27" s="24"/>
      <c r="L27" s="24"/>
      <c r="M27" s="24"/>
      <c r="N27" s="15"/>
      <c r="O27" s="23"/>
      <c r="P27" s="23"/>
      <c r="Q27" s="23"/>
      <c r="R27" s="24"/>
    </row>
    <row r="28" spans="1:18" x14ac:dyDescent="0.25">
      <c r="A28" s="22"/>
      <c r="B28" s="13"/>
      <c r="C28" s="14"/>
      <c r="D28" s="14"/>
      <c r="E28" s="14"/>
      <c r="F28" s="14"/>
      <c r="G28" s="21"/>
      <c r="H28" s="21"/>
      <c r="I28" s="13"/>
      <c r="J28" s="14"/>
      <c r="K28" s="14"/>
      <c r="L28" s="14"/>
      <c r="M28" s="14"/>
      <c r="N28" s="15"/>
      <c r="O28" s="13"/>
      <c r="P28" s="13"/>
      <c r="Q28" s="13"/>
      <c r="R28" s="14"/>
    </row>
    <row r="29" spans="1:18" x14ac:dyDescent="0.25">
      <c r="A29" s="22"/>
      <c r="B29" s="23"/>
      <c r="C29" s="24"/>
      <c r="D29" s="24"/>
      <c r="E29" s="24"/>
      <c r="F29" s="24"/>
      <c r="G29" s="21"/>
      <c r="H29" s="21"/>
      <c r="I29" s="23"/>
      <c r="J29" s="24"/>
      <c r="K29" s="24"/>
      <c r="L29" s="24"/>
      <c r="M29" s="24"/>
      <c r="N29" s="15"/>
      <c r="O29" s="23"/>
      <c r="P29" s="23"/>
      <c r="Q29" s="23"/>
      <c r="R29" s="24"/>
    </row>
    <row r="30" spans="1:18" x14ac:dyDescent="0.25">
      <c r="A30" s="22"/>
      <c r="B30" s="13"/>
      <c r="C30" s="14"/>
      <c r="D30" s="14"/>
      <c r="E30" s="14"/>
      <c r="F30" s="14"/>
      <c r="G30" s="21"/>
      <c r="H30" s="21"/>
      <c r="I30" s="13"/>
      <c r="J30" s="14"/>
      <c r="K30" s="14"/>
      <c r="L30" s="14"/>
      <c r="M30" s="14"/>
      <c r="N30" s="15"/>
      <c r="O30" s="13"/>
      <c r="P30" s="13"/>
      <c r="Q30" s="13"/>
      <c r="R30" s="14"/>
    </row>
    <row r="31" spans="1:18" x14ac:dyDescent="0.25">
      <c r="A31" s="22"/>
      <c r="B31" s="23"/>
      <c r="C31" s="24"/>
      <c r="D31" s="24"/>
      <c r="E31" s="24"/>
      <c r="F31" s="24"/>
      <c r="G31" s="21"/>
      <c r="H31" s="21"/>
      <c r="I31" s="23"/>
      <c r="J31" s="24"/>
      <c r="K31" s="24"/>
      <c r="L31" s="24"/>
      <c r="M31" s="24"/>
      <c r="N31" s="15"/>
      <c r="O31" s="23"/>
      <c r="P31" s="23"/>
      <c r="Q31" s="23"/>
      <c r="R31" s="24"/>
    </row>
    <row r="32" spans="1:18" x14ac:dyDescent="0.25">
      <c r="A32" s="22"/>
      <c r="B32" s="13"/>
      <c r="C32" s="14"/>
      <c r="D32" s="14"/>
      <c r="E32" s="14"/>
      <c r="F32" s="14"/>
      <c r="G32" s="21"/>
      <c r="H32" s="21"/>
      <c r="I32" s="13"/>
      <c r="J32" s="14"/>
      <c r="K32" s="14"/>
      <c r="L32" s="14"/>
      <c r="M32" s="14"/>
      <c r="N32" s="15"/>
      <c r="O32" s="13"/>
      <c r="P32" s="13"/>
      <c r="Q32" s="13"/>
      <c r="R32" s="14"/>
    </row>
    <row r="33" spans="1:18" x14ac:dyDescent="0.25">
      <c r="A33" s="22"/>
      <c r="B33" s="23"/>
      <c r="C33" s="24"/>
      <c r="D33" s="24"/>
      <c r="E33" s="24"/>
      <c r="F33" s="24"/>
      <c r="G33" s="21"/>
      <c r="H33" s="21"/>
      <c r="I33" s="23"/>
      <c r="J33" s="24"/>
      <c r="K33" s="24"/>
      <c r="L33" s="24"/>
      <c r="M33" s="24"/>
      <c r="N33" s="15"/>
      <c r="O33" s="23"/>
      <c r="P33" s="23"/>
      <c r="Q33" s="23"/>
      <c r="R33" s="24"/>
    </row>
    <row r="34" spans="1:18" x14ac:dyDescent="0.25">
      <c r="A34" s="22"/>
      <c r="B34" s="13"/>
      <c r="C34" s="14"/>
      <c r="D34" s="14"/>
      <c r="E34" s="14"/>
      <c r="F34" s="14"/>
      <c r="G34" s="21"/>
      <c r="H34" s="21"/>
      <c r="I34" s="13"/>
      <c r="J34" s="14"/>
      <c r="K34" s="14"/>
      <c r="L34" s="14"/>
      <c r="M34" s="14"/>
      <c r="N34" s="15"/>
      <c r="O34" s="13"/>
      <c r="P34" s="13"/>
      <c r="Q34" s="13"/>
      <c r="R34" s="14"/>
    </row>
  </sheetData>
  <mergeCells count="2">
    <mergeCell ref="A2:R2"/>
    <mergeCell ref="A1:R1"/>
  </mergeCells>
  <conditionalFormatting sqref="G5:G300">
    <cfRule type="cellIs" dxfId="65" priority="5" operator="equal">
      <formula>"Info"</formula>
    </cfRule>
  </conditionalFormatting>
  <conditionalFormatting sqref="G5:H300">
    <cfRule type="cellIs" dxfId="64" priority="1" operator="equal">
      <formula>"Critical"</formula>
    </cfRule>
    <cfRule type="cellIs" dxfId="63" priority="2" operator="equal">
      <formula>"High"</formula>
    </cfRule>
    <cfRule type="cellIs" dxfId="62" priority="3" operator="equal">
      <formula>"Medium"</formula>
    </cfRule>
    <cfRule type="cellIs" dxfId="61" priority="4" operator="equal">
      <formula>"Low"</formula>
    </cfRule>
  </conditionalFormatting>
  <conditionalFormatting sqref="N5:N9 N12:N300">
    <cfRule type="cellIs" dxfId="60" priority="10" operator="equal">
      <formula>"Done"</formula>
    </cfRule>
    <cfRule type="cellIs" dxfId="59" priority="11" operator="equal">
      <formula>"Completed"</formula>
    </cfRule>
    <cfRule type="cellIs" dxfId="58" priority="12" operator="equal">
      <formula>"Closed"</formula>
    </cfRule>
    <cfRule type="cellIs" dxfId="57" priority="13" operator="equal">
      <formula>"Fixed"</formula>
    </cfRule>
    <cfRule type="cellIs" dxfId="56" priority="14" operator="equal">
      <formula>"Approved"</formula>
    </cfRule>
    <cfRule type="cellIs" dxfId="55" priority="15" operator="equal">
      <formula>"In Progress"</formula>
    </cfRule>
    <cfRule type="cellIs" dxfId="54" priority="16" operator="equal">
      <formula>"Open"</formula>
    </cfRule>
    <cfRule type="cellIs" dxfId="53" priority="17" operator="equal">
      <formula>"Pending"</formula>
    </cfRule>
    <cfRule type="cellIs" dxfId="52" priority="18" operator="equal">
      <formula>"Blocked"</formula>
    </cfRule>
    <cfRule type="cellIs" dxfId="51" priority="19" operator="equal">
      <formula>"Cancelled"</formula>
    </cfRule>
    <cfRule type="cellIs" dxfId="50" priority="20" operator="equal">
      <formula>"Rejected"</formula>
    </cfRule>
    <cfRule type="cellIs" dxfId="49" priority="21" operator="equal">
      <formula>"Submitted"</formula>
    </cfRule>
  </conditionalFormatting>
  <conditionalFormatting sqref="N10:N11">
    <cfRule type="containsText" dxfId="48" priority="22" operator="containsText" text="Fixed"/>
  </conditionalFormatting>
  <dataValidations count="7">
    <dataValidation type="list" allowBlank="1" sqref="G5:G300" xr:uid="{00000000-0002-0000-0500-000000000000}">
      <formula1>"Critical,High,Medium,Low,Info"</formula1>
    </dataValidation>
    <dataValidation type="list" allowBlank="1" sqref="H5:H300" xr:uid="{00000000-0002-0000-0500-000001000000}">
      <formula1>"Critical,High,Medium,Low"</formula1>
    </dataValidation>
    <dataValidation type="list" allowBlank="1" sqref="I13:I300" xr:uid="{00000000-0002-0000-0500-000002000000}">
      <formula1>"Review,Unit Test,Integration Test,System Test,UAT"</formula1>
    </dataValidation>
    <dataValidation type="list" allowBlank="1" sqref="N13:N300" xr:uid="{00000000-0002-0000-0500-000003000000}">
      <formula1>"Pending,Open,In Progress,Fixed,Closed,Rejected"</formula1>
    </dataValidation>
    <dataValidation type="list" allowBlank="1" sqref="I5:I12" xr:uid="{00000000-0002-0000-0500-000004000000}">
      <formula1>"Review,Unit Test,Integration Test,System Test,Acceptance Test"</formula1>
    </dataValidation>
    <dataValidation type="list" sqref="M5:M12" xr:uid="{00000000-0002-0000-0500-000005000000}">
      <formula1>"PhuPD,HoangNV,SonLT,HieuLT,TungVPH"</formula1>
    </dataValidation>
    <dataValidation type="list" allowBlank="1" sqref="N5:N12" xr:uid="{00000000-0002-0000-0500-000006000000}">
      <formula1>"Open,Pending,In Progress,Fixed,Closed,Rejected"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C3292"/>
  </sheetPr>
  <dimension ref="A1:M2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13" customWidth="1"/>
    <col min="3" max="3" width="47" customWidth="1"/>
    <col min="4" max="4" width="16" customWidth="1"/>
    <col min="5" max="5" width="12" customWidth="1"/>
    <col min="6" max="6" width="43" customWidth="1"/>
    <col min="7" max="7" width="22" customWidth="1"/>
    <col min="8" max="8" width="26" customWidth="1"/>
    <col min="9" max="9" width="13" customWidth="1"/>
    <col min="10" max="10" width="65" customWidth="1"/>
    <col min="11" max="11" width="16" customWidth="1"/>
    <col min="12" max="12" width="14" customWidth="1"/>
    <col min="13" max="13" width="80" customWidth="1"/>
  </cols>
  <sheetData>
    <row r="1" spans="1:13" ht="28.15" customHeight="1" x14ac:dyDescent="0.25">
      <c r="A1" s="11" t="s">
        <v>656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0.100000000000001" customHeight="1" x14ac:dyDescent="0.25">
      <c r="A2" s="6" t="s">
        <v>726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6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ht="35.1" customHeight="1" x14ac:dyDescent="0.25">
      <c r="A4" s="81" t="s">
        <v>610</v>
      </c>
      <c r="B4" s="81" t="s">
        <v>625</v>
      </c>
      <c r="C4" s="81" t="s">
        <v>657</v>
      </c>
      <c r="D4" s="81" t="s">
        <v>658</v>
      </c>
      <c r="E4" s="81" t="s">
        <v>629</v>
      </c>
      <c r="F4" s="81" t="s">
        <v>659</v>
      </c>
      <c r="G4" s="81" t="s">
        <v>627</v>
      </c>
      <c r="H4" s="81" t="s">
        <v>660</v>
      </c>
      <c r="I4" s="81" t="s">
        <v>630</v>
      </c>
      <c r="J4" s="81" t="s">
        <v>661</v>
      </c>
      <c r="K4" s="81" t="s">
        <v>612</v>
      </c>
      <c r="L4" s="81" t="s">
        <v>662</v>
      </c>
      <c r="M4" s="81" t="s">
        <v>614</v>
      </c>
    </row>
    <row r="5" spans="1:13" ht="135" customHeight="1" x14ac:dyDescent="0.25">
      <c r="A5" s="82" t="s">
        <v>492</v>
      </c>
      <c r="B5" s="83">
        <v>46302</v>
      </c>
      <c r="C5" s="84" t="s">
        <v>493</v>
      </c>
      <c r="D5" s="85" t="s">
        <v>494</v>
      </c>
      <c r="E5" s="78" t="s">
        <v>320</v>
      </c>
      <c r="F5" s="86" t="s">
        <v>495</v>
      </c>
      <c r="G5" s="86" t="s">
        <v>609</v>
      </c>
      <c r="H5" s="86" t="s">
        <v>609</v>
      </c>
      <c r="I5" s="83">
        <v>46307</v>
      </c>
      <c r="J5" s="86" t="s">
        <v>1181</v>
      </c>
      <c r="K5" s="41" t="s">
        <v>321</v>
      </c>
      <c r="L5" s="83"/>
      <c r="M5" s="86" t="s">
        <v>1182</v>
      </c>
    </row>
    <row r="6" spans="1:13" ht="135" customHeight="1" x14ac:dyDescent="0.25">
      <c r="A6" s="82" t="s">
        <v>496</v>
      </c>
      <c r="B6" s="80">
        <v>46302</v>
      </c>
      <c r="C6" s="35" t="s">
        <v>497</v>
      </c>
      <c r="D6" s="36" t="s">
        <v>498</v>
      </c>
      <c r="E6" s="78" t="s">
        <v>320</v>
      </c>
      <c r="F6" s="35" t="s">
        <v>499</v>
      </c>
      <c r="G6" s="35" t="s">
        <v>609</v>
      </c>
      <c r="H6" s="35" t="s">
        <v>609</v>
      </c>
      <c r="I6" s="80">
        <v>46307</v>
      </c>
      <c r="J6" s="35" t="s">
        <v>1183</v>
      </c>
      <c r="K6" s="41" t="s">
        <v>321</v>
      </c>
      <c r="L6" s="80"/>
      <c r="M6" s="35" t="s">
        <v>1184</v>
      </c>
    </row>
    <row r="7" spans="1:13" ht="135" customHeight="1" x14ac:dyDescent="0.25">
      <c r="A7" s="82" t="s">
        <v>500</v>
      </c>
      <c r="B7" s="83">
        <v>46302</v>
      </c>
      <c r="C7" s="86" t="s">
        <v>501</v>
      </c>
      <c r="D7" s="85" t="s">
        <v>502</v>
      </c>
      <c r="E7" s="78" t="s">
        <v>320</v>
      </c>
      <c r="F7" s="86" t="s">
        <v>503</v>
      </c>
      <c r="G7" s="86" t="s">
        <v>609</v>
      </c>
      <c r="H7" s="86" t="s">
        <v>759</v>
      </c>
      <c r="I7" s="83">
        <v>46307</v>
      </c>
      <c r="J7" s="86" t="s">
        <v>504</v>
      </c>
      <c r="K7" s="41" t="s">
        <v>321</v>
      </c>
      <c r="L7" s="83"/>
      <c r="M7" s="86" t="s">
        <v>1185</v>
      </c>
    </row>
    <row r="8" spans="1:13" ht="135" customHeight="1" x14ac:dyDescent="0.25">
      <c r="A8" s="82" t="s">
        <v>505</v>
      </c>
      <c r="B8" s="80">
        <v>46302</v>
      </c>
      <c r="C8" s="35" t="s">
        <v>506</v>
      </c>
      <c r="D8" s="36" t="s">
        <v>502</v>
      </c>
      <c r="E8" s="78" t="s">
        <v>320</v>
      </c>
      <c r="F8" s="35" t="s">
        <v>507</v>
      </c>
      <c r="G8" s="35" t="s">
        <v>609</v>
      </c>
      <c r="H8" s="35" t="s">
        <v>807</v>
      </c>
      <c r="I8" s="80">
        <v>46311</v>
      </c>
      <c r="J8" s="35" t="s">
        <v>508</v>
      </c>
      <c r="K8" s="41" t="s">
        <v>321</v>
      </c>
      <c r="L8" s="80"/>
      <c r="M8" s="35" t="s">
        <v>1186</v>
      </c>
    </row>
    <row r="9" spans="1:13" ht="135" customHeight="1" x14ac:dyDescent="0.25">
      <c r="A9" s="82" t="s">
        <v>509</v>
      </c>
      <c r="B9" s="83">
        <v>46302</v>
      </c>
      <c r="C9" s="86" t="s">
        <v>1187</v>
      </c>
      <c r="D9" s="85" t="s">
        <v>498</v>
      </c>
      <c r="E9" s="78" t="s">
        <v>320</v>
      </c>
      <c r="F9" s="86" t="s">
        <v>1188</v>
      </c>
      <c r="G9" s="86" t="s">
        <v>609</v>
      </c>
      <c r="H9" s="86" t="s">
        <v>759</v>
      </c>
      <c r="I9" s="83">
        <v>46311</v>
      </c>
      <c r="J9" s="86" t="s">
        <v>1189</v>
      </c>
      <c r="K9" s="41" t="s">
        <v>321</v>
      </c>
      <c r="L9" s="83"/>
      <c r="M9" s="86" t="s">
        <v>1190</v>
      </c>
    </row>
    <row r="10" spans="1:13" ht="135" customHeight="1" x14ac:dyDescent="0.25">
      <c r="A10" s="82" t="s">
        <v>510</v>
      </c>
      <c r="B10" s="80">
        <v>46302</v>
      </c>
      <c r="C10" s="35" t="s">
        <v>511</v>
      </c>
      <c r="D10" s="36" t="s">
        <v>494</v>
      </c>
      <c r="E10" s="78" t="s">
        <v>320</v>
      </c>
      <c r="F10" s="35" t="s">
        <v>512</v>
      </c>
      <c r="G10" s="35" t="s">
        <v>609</v>
      </c>
      <c r="H10" s="35" t="s">
        <v>609</v>
      </c>
      <c r="I10" s="80">
        <v>46311</v>
      </c>
      <c r="J10" s="35" t="s">
        <v>513</v>
      </c>
      <c r="K10" s="41" t="s">
        <v>321</v>
      </c>
      <c r="L10" s="80"/>
      <c r="M10" s="35" t="s">
        <v>1191</v>
      </c>
    </row>
    <row r="11" spans="1:13" ht="135" customHeight="1" x14ac:dyDescent="0.25">
      <c r="A11" s="82" t="s">
        <v>514</v>
      </c>
      <c r="B11" s="83">
        <v>46302</v>
      </c>
      <c r="C11" s="86" t="s">
        <v>1192</v>
      </c>
      <c r="D11" s="85" t="s">
        <v>502</v>
      </c>
      <c r="E11" s="78" t="s">
        <v>139</v>
      </c>
      <c r="F11" s="86" t="s">
        <v>515</v>
      </c>
      <c r="G11" s="86" t="s">
        <v>609</v>
      </c>
      <c r="H11" s="86" t="s">
        <v>608</v>
      </c>
      <c r="I11" s="83">
        <v>46316</v>
      </c>
      <c r="J11" s="86" t="s">
        <v>1193</v>
      </c>
      <c r="K11" s="41" t="s">
        <v>321</v>
      </c>
      <c r="L11" s="83"/>
      <c r="M11" s="86" t="s">
        <v>1194</v>
      </c>
    </row>
    <row r="12" spans="1:13" ht="135" customHeight="1" x14ac:dyDescent="0.25">
      <c r="A12" s="82" t="s">
        <v>516</v>
      </c>
      <c r="B12" s="80">
        <v>46302</v>
      </c>
      <c r="C12" s="35" t="s">
        <v>517</v>
      </c>
      <c r="D12" s="36" t="s">
        <v>498</v>
      </c>
      <c r="E12" s="78" t="s">
        <v>139</v>
      </c>
      <c r="F12" s="35" t="s">
        <v>518</v>
      </c>
      <c r="G12" s="35" t="s">
        <v>609</v>
      </c>
      <c r="H12" s="35" t="s">
        <v>609</v>
      </c>
      <c r="I12" s="80">
        <v>46311</v>
      </c>
      <c r="J12" s="35" t="s">
        <v>519</v>
      </c>
      <c r="K12" s="41" t="s">
        <v>321</v>
      </c>
      <c r="L12" s="80"/>
      <c r="M12" s="35" t="s">
        <v>1195</v>
      </c>
    </row>
    <row r="13" spans="1:13" ht="135" customHeight="1" x14ac:dyDescent="0.25">
      <c r="A13" s="82" t="s">
        <v>520</v>
      </c>
      <c r="B13" s="83">
        <v>46302</v>
      </c>
      <c r="C13" s="86" t="s">
        <v>521</v>
      </c>
      <c r="D13" s="85" t="s">
        <v>522</v>
      </c>
      <c r="E13" s="78" t="s">
        <v>139</v>
      </c>
      <c r="F13" s="86" t="s">
        <v>523</v>
      </c>
      <c r="G13" s="86" t="s">
        <v>609</v>
      </c>
      <c r="H13" s="86" t="s">
        <v>29</v>
      </c>
      <c r="I13" s="83">
        <v>46311</v>
      </c>
      <c r="J13" s="86" t="s">
        <v>1196</v>
      </c>
      <c r="K13" s="41" t="s">
        <v>321</v>
      </c>
      <c r="L13" s="83"/>
      <c r="M13" s="86" t="s">
        <v>1197</v>
      </c>
    </row>
    <row r="14" spans="1:13" ht="20.100000000000001" customHeight="1" x14ac:dyDescent="0.25">
      <c r="A14" s="25"/>
      <c r="B14" s="13"/>
      <c r="C14" s="14"/>
      <c r="D14" s="13"/>
      <c r="E14" s="21"/>
      <c r="F14" s="14"/>
      <c r="G14" s="14"/>
      <c r="H14" s="14"/>
      <c r="I14" s="13"/>
      <c r="J14" s="14"/>
      <c r="K14" s="15"/>
      <c r="L14" s="13"/>
      <c r="M14" s="14"/>
    </row>
    <row r="15" spans="1:13" ht="20.100000000000001" customHeight="1" x14ac:dyDescent="0.25">
      <c r="A15" s="25"/>
      <c r="B15" s="26"/>
      <c r="C15" s="27"/>
      <c r="D15" s="26"/>
      <c r="E15" s="21"/>
      <c r="F15" s="27"/>
      <c r="G15" s="27"/>
      <c r="H15" s="27"/>
      <c r="I15" s="26"/>
      <c r="J15" s="27"/>
      <c r="K15" s="15"/>
      <c r="L15" s="26"/>
      <c r="M15" s="27"/>
    </row>
    <row r="16" spans="1:13" ht="20.100000000000001" customHeight="1" x14ac:dyDescent="0.25">
      <c r="A16" s="25"/>
      <c r="B16" s="13"/>
      <c r="C16" s="14"/>
      <c r="D16" s="13"/>
      <c r="E16" s="21"/>
      <c r="F16" s="14"/>
      <c r="G16" s="14"/>
      <c r="H16" s="14"/>
      <c r="I16" s="13"/>
      <c r="J16" s="14"/>
      <c r="K16" s="15"/>
      <c r="L16" s="13"/>
      <c r="M16" s="14"/>
    </row>
    <row r="17" spans="1:13" ht="20.100000000000001" customHeight="1" x14ac:dyDescent="0.25">
      <c r="A17" s="25"/>
      <c r="B17" s="26"/>
      <c r="C17" s="27"/>
      <c r="D17" s="26"/>
      <c r="E17" s="21"/>
      <c r="F17" s="27"/>
      <c r="G17" s="27"/>
      <c r="H17" s="27"/>
      <c r="I17" s="26"/>
      <c r="J17" s="27"/>
      <c r="K17" s="15"/>
      <c r="L17" s="26"/>
      <c r="M17" s="27"/>
    </row>
    <row r="18" spans="1:13" ht="20.100000000000001" customHeight="1" x14ac:dyDescent="0.25">
      <c r="A18" s="25"/>
      <c r="B18" s="13"/>
      <c r="C18" s="14"/>
      <c r="D18" s="13"/>
      <c r="E18" s="21"/>
      <c r="F18" s="14"/>
      <c r="G18" s="14"/>
      <c r="H18" s="14"/>
      <c r="I18" s="13"/>
      <c r="J18" s="14"/>
      <c r="K18" s="15"/>
      <c r="L18" s="13"/>
      <c r="M18" s="14"/>
    </row>
    <row r="19" spans="1:13" ht="20.100000000000001" customHeight="1" x14ac:dyDescent="0.25">
      <c r="A19" s="25"/>
      <c r="B19" s="26"/>
      <c r="C19" s="27"/>
      <c r="D19" s="26"/>
      <c r="E19" s="21"/>
      <c r="F19" s="27"/>
      <c r="G19" s="27"/>
      <c r="H19" s="27"/>
      <c r="I19" s="26"/>
      <c r="J19" s="27"/>
      <c r="K19" s="15"/>
      <c r="L19" s="26"/>
      <c r="M19" s="27"/>
    </row>
    <row r="20" spans="1:13" ht="20.100000000000001" customHeight="1" x14ac:dyDescent="0.25">
      <c r="A20" s="25"/>
      <c r="B20" s="13"/>
      <c r="C20" s="14"/>
      <c r="D20" s="13"/>
      <c r="E20" s="21"/>
      <c r="F20" s="14"/>
      <c r="G20" s="14"/>
      <c r="H20" s="14"/>
      <c r="I20" s="13"/>
      <c r="J20" s="14"/>
      <c r="K20" s="15"/>
      <c r="L20" s="13"/>
      <c r="M20" s="14"/>
    </row>
    <row r="21" spans="1:13" ht="20.100000000000001" customHeight="1" x14ac:dyDescent="0.25">
      <c r="A21" s="25"/>
      <c r="B21" s="26"/>
      <c r="C21" s="27"/>
      <c r="D21" s="26"/>
      <c r="E21" s="21"/>
      <c r="F21" s="27"/>
      <c r="G21" s="27"/>
      <c r="H21" s="27"/>
      <c r="I21" s="26"/>
      <c r="J21" s="27"/>
      <c r="K21" s="15"/>
      <c r="L21" s="26"/>
      <c r="M21" s="27"/>
    </row>
    <row r="22" spans="1:13" ht="20.100000000000001" customHeight="1" x14ac:dyDescent="0.25">
      <c r="A22" s="25"/>
      <c r="B22" s="13"/>
      <c r="C22" s="14"/>
      <c r="D22" s="13"/>
      <c r="E22" s="21"/>
      <c r="F22" s="14"/>
      <c r="G22" s="14"/>
      <c r="H22" s="14"/>
      <c r="I22" s="13"/>
      <c r="J22" s="14"/>
      <c r="K22" s="15"/>
      <c r="L22" s="13"/>
      <c r="M22" s="14"/>
    </row>
    <row r="23" spans="1:13" ht="20.100000000000001" customHeight="1" x14ac:dyDescent="0.25">
      <c r="A23" s="25"/>
      <c r="B23" s="26"/>
      <c r="C23" s="27"/>
      <c r="D23" s="26"/>
      <c r="E23" s="21"/>
      <c r="F23" s="27"/>
      <c r="G23" s="27"/>
      <c r="H23" s="27"/>
      <c r="I23" s="26"/>
      <c r="J23" s="27"/>
      <c r="K23" s="15"/>
      <c r="L23" s="26"/>
      <c r="M23" s="27"/>
    </row>
    <row r="24" spans="1:13" ht="20.100000000000001" customHeight="1" x14ac:dyDescent="0.25">
      <c r="A24" s="25"/>
      <c r="B24" s="13"/>
      <c r="C24" s="14"/>
      <c r="D24" s="13"/>
      <c r="E24" s="21"/>
      <c r="F24" s="14"/>
      <c r="G24" s="14"/>
      <c r="H24" s="14"/>
      <c r="I24" s="13"/>
      <c r="J24" s="14"/>
      <c r="K24" s="15"/>
      <c r="L24" s="13"/>
      <c r="M24" s="14"/>
    </row>
  </sheetData>
  <mergeCells count="2">
    <mergeCell ref="A2:M2"/>
    <mergeCell ref="A1:M1"/>
  </mergeCells>
  <conditionalFormatting sqref="E5:E200">
    <cfRule type="cellIs" dxfId="47" priority="1" operator="equal">
      <formula>"Critical"</formula>
    </cfRule>
    <cfRule type="cellIs" dxfId="46" priority="2" operator="equal">
      <formula>"High"</formula>
    </cfRule>
    <cfRule type="cellIs" dxfId="45" priority="3" operator="equal">
      <formula>"Medium"</formula>
    </cfRule>
    <cfRule type="cellIs" dxfId="44" priority="4" operator="equal">
      <formula>"Low"</formula>
    </cfRule>
  </conditionalFormatting>
  <conditionalFormatting sqref="K5:K200">
    <cfRule type="cellIs" dxfId="43" priority="5" operator="equal">
      <formula>"Done"</formula>
    </cfRule>
    <cfRule type="cellIs" dxfId="42" priority="6" operator="equal">
      <formula>"Completed"</formula>
    </cfRule>
    <cfRule type="cellIs" dxfId="41" priority="7" operator="equal">
      <formula>"Closed"</formula>
    </cfRule>
    <cfRule type="cellIs" dxfId="40" priority="8" operator="equal">
      <formula>"Fixed"</formula>
    </cfRule>
    <cfRule type="cellIs" dxfId="39" priority="9" operator="equal">
      <formula>"Approved"</formula>
    </cfRule>
    <cfRule type="cellIs" dxfId="38" priority="10" operator="equal">
      <formula>"In Progress"</formula>
    </cfRule>
    <cfRule type="cellIs" dxfId="37" priority="11" operator="equal">
      <formula>"Open"</formula>
    </cfRule>
    <cfRule type="cellIs" dxfId="36" priority="12" operator="equal">
      <formula>"Pending"</formula>
    </cfRule>
    <cfRule type="cellIs" dxfId="35" priority="13" operator="equal">
      <formula>"Blocked"</formula>
    </cfRule>
    <cfRule type="cellIs" dxfId="34" priority="14" operator="equal">
      <formula>"Cancelled"</formula>
    </cfRule>
    <cfRule type="cellIs" dxfId="33" priority="15" operator="equal">
      <formula>"Rejected"</formula>
    </cfRule>
    <cfRule type="cellIs" dxfId="32" priority="16" operator="equal">
      <formula>"Submitted"</formula>
    </cfRule>
  </conditionalFormatting>
  <dataValidations count="4">
    <dataValidation type="list" allowBlank="1" sqref="D5:D200" xr:uid="{00000000-0002-0000-0600-000000000000}">
      <formula1>"Technical,Process,Resource,Scope,External,Other"</formula1>
    </dataValidation>
    <dataValidation type="list" allowBlank="1" sqref="E5:E200" xr:uid="{00000000-0002-0000-0600-000001000000}">
      <formula1>"Critical,High,Medium,Low"</formula1>
    </dataValidation>
    <dataValidation type="list" allowBlank="1" sqref="K5:K200" xr:uid="{00000000-0002-0000-0600-000002000000}">
      <formula1>"Open,In Progress,Closed,Deferred,Cancelled"</formula1>
    </dataValidation>
    <dataValidation type="list" sqref="H5:H13" xr:uid="{00000000-0002-0000-0600-000003000000}">
      <formula1>"PhuPD,HoangNV,SonLT,HieuLT,TungVPH"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43C0C"/>
  </sheetPr>
  <dimension ref="A1:L19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48" customWidth="1"/>
    <col min="3" max="3" width="15" customWidth="1"/>
    <col min="4" max="5" width="14" customWidth="1"/>
    <col min="6" max="6" width="16" customWidth="1"/>
    <col min="7" max="7" width="55" customWidth="1"/>
    <col min="8" max="8" width="50" customWidth="1"/>
    <col min="9" max="9" width="28" customWidth="1"/>
    <col min="10" max="10" width="13" customWidth="1"/>
    <col min="11" max="11" width="16" customWidth="1"/>
    <col min="12" max="12" width="80" customWidth="1"/>
  </cols>
  <sheetData>
    <row r="1" spans="1:12" ht="18" x14ac:dyDescent="0.25">
      <c r="A1" s="11" t="s">
        <v>663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0.100000000000001" customHeight="1" x14ac:dyDescent="0.25">
      <c r="A2" s="6" t="s">
        <v>727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ht="35.1" customHeight="1" x14ac:dyDescent="0.25">
      <c r="A4" s="87" t="s">
        <v>610</v>
      </c>
      <c r="B4" s="87" t="s">
        <v>664</v>
      </c>
      <c r="C4" s="87" t="s">
        <v>658</v>
      </c>
      <c r="D4" s="87" t="s">
        <v>665</v>
      </c>
      <c r="E4" s="87" t="s">
        <v>666</v>
      </c>
      <c r="F4" s="87" t="s">
        <v>667</v>
      </c>
      <c r="G4" s="87" t="s">
        <v>668</v>
      </c>
      <c r="H4" s="87" t="s">
        <v>669</v>
      </c>
      <c r="I4" s="87" t="s">
        <v>660</v>
      </c>
      <c r="J4" s="87" t="s">
        <v>630</v>
      </c>
      <c r="K4" s="87" t="s">
        <v>612</v>
      </c>
      <c r="L4" s="87" t="s">
        <v>614</v>
      </c>
    </row>
    <row r="5" spans="1:12" ht="135" customHeight="1" x14ac:dyDescent="0.25">
      <c r="A5" s="88" t="s">
        <v>524</v>
      </c>
      <c r="B5" s="79" t="s">
        <v>525</v>
      </c>
      <c r="C5" s="79" t="s">
        <v>494</v>
      </c>
      <c r="D5" s="78" t="s">
        <v>320</v>
      </c>
      <c r="E5" s="78" t="s">
        <v>320</v>
      </c>
      <c r="F5" s="89">
        <f t="shared" ref="F5:F15" si="0">IF(OR(D5="",E5=""),"",IF(D5="High",3,IF(D5="Medium",2,1))*IF(E5="High",3,IF(E5="Medium",2,1)))</f>
        <v>9</v>
      </c>
      <c r="G5" s="79" t="s">
        <v>526</v>
      </c>
      <c r="H5" s="79" t="s">
        <v>527</v>
      </c>
      <c r="I5" s="79" t="s">
        <v>609</v>
      </c>
      <c r="J5" s="75">
        <v>46304</v>
      </c>
      <c r="K5" s="41" t="s">
        <v>321</v>
      </c>
      <c r="L5" s="79" t="s">
        <v>1198</v>
      </c>
    </row>
    <row r="6" spans="1:12" ht="135" customHeight="1" x14ac:dyDescent="0.25">
      <c r="A6" s="88" t="s">
        <v>528</v>
      </c>
      <c r="B6" s="35" t="s">
        <v>529</v>
      </c>
      <c r="C6" s="35" t="s">
        <v>502</v>
      </c>
      <c r="D6" s="78" t="s">
        <v>139</v>
      </c>
      <c r="E6" s="78" t="s">
        <v>320</v>
      </c>
      <c r="F6" s="90">
        <f t="shared" si="0"/>
        <v>6</v>
      </c>
      <c r="G6" s="35" t="s">
        <v>1199</v>
      </c>
      <c r="H6" s="35" t="s">
        <v>530</v>
      </c>
      <c r="I6" s="35" t="s">
        <v>608</v>
      </c>
      <c r="J6" s="80">
        <v>46307</v>
      </c>
      <c r="K6" s="41" t="s">
        <v>321</v>
      </c>
      <c r="L6" s="35" t="s">
        <v>1200</v>
      </c>
    </row>
    <row r="7" spans="1:12" ht="135" customHeight="1" x14ac:dyDescent="0.25">
      <c r="A7" s="88" t="s">
        <v>531</v>
      </c>
      <c r="B7" s="79" t="s">
        <v>532</v>
      </c>
      <c r="C7" s="79" t="s">
        <v>522</v>
      </c>
      <c r="D7" s="78" t="s">
        <v>139</v>
      </c>
      <c r="E7" s="78" t="s">
        <v>320</v>
      </c>
      <c r="F7" s="90">
        <f t="shared" si="0"/>
        <v>6</v>
      </c>
      <c r="G7" s="79" t="s">
        <v>533</v>
      </c>
      <c r="H7" s="79" t="s">
        <v>534</v>
      </c>
      <c r="I7" s="79" t="s">
        <v>609</v>
      </c>
      <c r="J7" s="75">
        <v>46316</v>
      </c>
      <c r="K7" s="41" t="s">
        <v>321</v>
      </c>
      <c r="L7" s="79" t="s">
        <v>1201</v>
      </c>
    </row>
    <row r="8" spans="1:12" ht="135" customHeight="1" x14ac:dyDescent="0.25">
      <c r="A8" s="88" t="s">
        <v>535</v>
      </c>
      <c r="B8" s="35" t="s">
        <v>536</v>
      </c>
      <c r="C8" s="35" t="s">
        <v>502</v>
      </c>
      <c r="D8" s="78" t="s">
        <v>139</v>
      </c>
      <c r="E8" s="78" t="s">
        <v>320</v>
      </c>
      <c r="F8" s="90">
        <f t="shared" si="0"/>
        <v>6</v>
      </c>
      <c r="G8" s="35" t="s">
        <v>537</v>
      </c>
      <c r="H8" s="35" t="s">
        <v>538</v>
      </c>
      <c r="I8" s="35" t="s">
        <v>609</v>
      </c>
      <c r="J8" s="80">
        <v>46316</v>
      </c>
      <c r="K8" s="41" t="s">
        <v>321</v>
      </c>
      <c r="L8" s="35" t="s">
        <v>1202</v>
      </c>
    </row>
    <row r="9" spans="1:12" ht="135" customHeight="1" x14ac:dyDescent="0.25">
      <c r="A9" s="88" t="s">
        <v>539</v>
      </c>
      <c r="B9" s="79" t="s">
        <v>540</v>
      </c>
      <c r="C9" s="79" t="s">
        <v>293</v>
      </c>
      <c r="D9" s="78" t="s">
        <v>139</v>
      </c>
      <c r="E9" s="78" t="s">
        <v>320</v>
      </c>
      <c r="F9" s="90">
        <f t="shared" si="0"/>
        <v>6</v>
      </c>
      <c r="G9" s="79" t="s">
        <v>541</v>
      </c>
      <c r="H9" s="79" t="s">
        <v>542</v>
      </c>
      <c r="I9" s="79" t="s">
        <v>29</v>
      </c>
      <c r="J9" s="75">
        <v>46316</v>
      </c>
      <c r="K9" s="41" t="s">
        <v>321</v>
      </c>
      <c r="L9" s="79" t="s">
        <v>1203</v>
      </c>
    </row>
    <row r="10" spans="1:12" ht="135" customHeight="1" x14ac:dyDescent="0.25">
      <c r="A10" s="88" t="s">
        <v>543</v>
      </c>
      <c r="B10" s="35" t="s">
        <v>544</v>
      </c>
      <c r="C10" s="35" t="s">
        <v>545</v>
      </c>
      <c r="D10" s="78" t="s">
        <v>139</v>
      </c>
      <c r="E10" s="78" t="s">
        <v>320</v>
      </c>
      <c r="F10" s="89">
        <f t="shared" si="0"/>
        <v>6</v>
      </c>
      <c r="G10" s="35" t="s">
        <v>546</v>
      </c>
      <c r="H10" s="35" t="s">
        <v>547</v>
      </c>
      <c r="I10" s="35" t="s">
        <v>807</v>
      </c>
      <c r="J10" s="80">
        <v>46316</v>
      </c>
      <c r="K10" s="41" t="s">
        <v>321</v>
      </c>
      <c r="L10" s="35" t="s">
        <v>1204</v>
      </c>
    </row>
    <row r="11" spans="1:12" ht="135" customHeight="1" x14ac:dyDescent="0.25">
      <c r="A11" s="88" t="s">
        <v>548</v>
      </c>
      <c r="B11" s="35" t="s">
        <v>549</v>
      </c>
      <c r="C11" s="35" t="s">
        <v>502</v>
      </c>
      <c r="D11" s="78" t="s">
        <v>139</v>
      </c>
      <c r="E11" s="78" t="s">
        <v>320</v>
      </c>
      <c r="F11" s="36">
        <f t="shared" si="0"/>
        <v>6</v>
      </c>
      <c r="G11" s="35" t="s">
        <v>550</v>
      </c>
      <c r="H11" s="35" t="s">
        <v>551</v>
      </c>
      <c r="I11" s="35" t="s">
        <v>807</v>
      </c>
      <c r="J11" s="80">
        <v>46316</v>
      </c>
      <c r="K11" s="41" t="s">
        <v>321</v>
      </c>
      <c r="L11" s="35" t="s">
        <v>1205</v>
      </c>
    </row>
    <row r="12" spans="1:12" ht="135" customHeight="1" x14ac:dyDescent="0.25">
      <c r="A12" s="88" t="s">
        <v>552</v>
      </c>
      <c r="B12" s="79" t="s">
        <v>553</v>
      </c>
      <c r="C12" s="79" t="s">
        <v>554</v>
      </c>
      <c r="D12" s="78" t="s">
        <v>139</v>
      </c>
      <c r="E12" s="78" t="s">
        <v>139</v>
      </c>
      <c r="F12" s="36">
        <f t="shared" si="0"/>
        <v>4</v>
      </c>
      <c r="G12" s="79" t="s">
        <v>555</v>
      </c>
      <c r="H12" s="79" t="s">
        <v>556</v>
      </c>
      <c r="I12" s="79" t="s">
        <v>759</v>
      </c>
      <c r="J12" s="75">
        <v>46316</v>
      </c>
      <c r="K12" s="41" t="s">
        <v>321</v>
      </c>
      <c r="L12" s="79" t="s">
        <v>1206</v>
      </c>
    </row>
    <row r="13" spans="1:12" ht="135" customHeight="1" x14ac:dyDescent="0.25">
      <c r="A13" s="88" t="s">
        <v>557</v>
      </c>
      <c r="B13" s="35" t="s">
        <v>558</v>
      </c>
      <c r="C13" s="35" t="s">
        <v>545</v>
      </c>
      <c r="D13" s="78" t="s">
        <v>559</v>
      </c>
      <c r="E13" s="78" t="s">
        <v>320</v>
      </c>
      <c r="F13" s="36">
        <f t="shared" si="0"/>
        <v>3</v>
      </c>
      <c r="G13" s="35" t="s">
        <v>560</v>
      </c>
      <c r="H13" s="35" t="s">
        <v>561</v>
      </c>
      <c r="I13" s="35" t="s">
        <v>609</v>
      </c>
      <c r="J13" s="80">
        <v>46311</v>
      </c>
      <c r="K13" s="41" t="s">
        <v>321</v>
      </c>
      <c r="L13" s="35" t="s">
        <v>1207</v>
      </c>
    </row>
    <row r="14" spans="1:12" ht="135" customHeight="1" x14ac:dyDescent="0.25">
      <c r="A14" s="88" t="s">
        <v>562</v>
      </c>
      <c r="B14" s="79" t="s">
        <v>563</v>
      </c>
      <c r="C14" s="79" t="s">
        <v>554</v>
      </c>
      <c r="D14" s="78" t="s">
        <v>139</v>
      </c>
      <c r="E14" s="78" t="s">
        <v>139</v>
      </c>
      <c r="F14" s="36">
        <f t="shared" si="0"/>
        <v>4</v>
      </c>
      <c r="G14" s="79" t="s">
        <v>564</v>
      </c>
      <c r="H14" s="79" t="s">
        <v>565</v>
      </c>
      <c r="I14" s="79" t="s">
        <v>807</v>
      </c>
      <c r="J14" s="75">
        <v>46316</v>
      </c>
      <c r="K14" s="41" t="s">
        <v>321</v>
      </c>
      <c r="L14" s="79" t="s">
        <v>1208</v>
      </c>
    </row>
    <row r="15" spans="1:12" ht="135" customHeight="1" x14ac:dyDescent="0.25">
      <c r="A15" s="88" t="s">
        <v>566</v>
      </c>
      <c r="B15" s="35" t="s">
        <v>567</v>
      </c>
      <c r="C15" s="35" t="s">
        <v>293</v>
      </c>
      <c r="D15" s="78" t="s">
        <v>139</v>
      </c>
      <c r="E15" s="78" t="s">
        <v>320</v>
      </c>
      <c r="F15" s="36">
        <f t="shared" si="0"/>
        <v>6</v>
      </c>
      <c r="G15" s="35" t="s">
        <v>568</v>
      </c>
      <c r="H15" s="35" t="s">
        <v>569</v>
      </c>
      <c r="I15" s="35" t="s">
        <v>609</v>
      </c>
      <c r="J15" s="80">
        <v>46316</v>
      </c>
      <c r="K15" s="41" t="s">
        <v>321</v>
      </c>
      <c r="L15" s="35" t="s">
        <v>1209</v>
      </c>
    </row>
    <row r="16" spans="1:12" x14ac:dyDescent="0.25">
      <c r="A16" s="28"/>
      <c r="B16" s="24"/>
      <c r="C16" s="24"/>
      <c r="D16" s="21"/>
      <c r="E16" s="21"/>
      <c r="F16" s="21"/>
      <c r="G16" s="24"/>
      <c r="H16" s="24"/>
      <c r="I16" s="24"/>
      <c r="J16" s="23"/>
      <c r="K16" s="15"/>
      <c r="L16" s="24"/>
    </row>
    <row r="17" spans="1:12" x14ac:dyDescent="0.25">
      <c r="A17" s="28"/>
      <c r="B17" s="14"/>
      <c r="C17" s="14"/>
      <c r="D17" s="21"/>
      <c r="E17" s="21"/>
      <c r="F17" s="21"/>
      <c r="G17" s="14"/>
      <c r="H17" s="14"/>
      <c r="I17" s="14"/>
      <c r="J17" s="13"/>
      <c r="K17" s="15"/>
      <c r="L17" s="14"/>
    </row>
    <row r="18" spans="1:12" x14ac:dyDescent="0.25">
      <c r="A18" s="28"/>
      <c r="B18" s="24"/>
      <c r="C18" s="24"/>
      <c r="D18" s="21"/>
      <c r="E18" s="21"/>
      <c r="F18" s="21"/>
      <c r="G18" s="24"/>
      <c r="H18" s="24"/>
      <c r="I18" s="24"/>
      <c r="J18" s="23"/>
      <c r="K18" s="15"/>
      <c r="L18" s="24"/>
    </row>
    <row r="19" spans="1:12" x14ac:dyDescent="0.25">
      <c r="A19" s="28"/>
      <c r="B19" s="14"/>
      <c r="C19" s="14"/>
      <c r="D19" s="21"/>
      <c r="E19" s="21"/>
      <c r="F19" s="21"/>
      <c r="G19" s="14"/>
      <c r="H19" s="14"/>
      <c r="I19" s="14"/>
      <c r="J19" s="13"/>
      <c r="K19" s="15"/>
      <c r="L19" s="14"/>
    </row>
  </sheetData>
  <mergeCells count="2">
    <mergeCell ref="A2:L2"/>
    <mergeCell ref="A1:L1"/>
  </mergeCells>
  <conditionalFormatting sqref="F5:F15">
    <cfRule type="cellIs" dxfId="31" priority="13" operator="between">
      <formula>6</formula>
      <formula>9</formula>
    </cfRule>
    <cfRule type="cellIs" dxfId="30" priority="14" operator="between">
      <formula>4</formula>
      <formula>5</formula>
    </cfRule>
    <cfRule type="cellIs" dxfId="29" priority="15" operator="between">
      <formula>2</formula>
      <formula>3</formula>
    </cfRule>
    <cfRule type="cellIs" dxfId="28" priority="16" operator="between">
      <formula>1</formula>
      <formula>1</formula>
    </cfRule>
  </conditionalFormatting>
  <conditionalFormatting sqref="K5:K100">
    <cfRule type="cellIs" dxfId="27" priority="1" operator="equal">
      <formula>"Done"</formula>
    </cfRule>
    <cfRule type="cellIs" dxfId="26" priority="2" operator="equal">
      <formula>"Completed"</formula>
    </cfRule>
    <cfRule type="cellIs" dxfId="25" priority="3" operator="equal">
      <formula>"Closed"</formula>
    </cfRule>
    <cfRule type="cellIs" dxfId="24" priority="4" operator="equal">
      <formula>"Fixed"</formula>
    </cfRule>
    <cfRule type="cellIs" dxfId="23" priority="5" operator="equal">
      <formula>"Approved"</formula>
    </cfRule>
    <cfRule type="cellIs" dxfId="22" priority="6" operator="equal">
      <formula>"In Progress"</formula>
    </cfRule>
    <cfRule type="cellIs" dxfId="21" priority="7" operator="equal">
      <formula>"Open"</formula>
    </cfRule>
    <cfRule type="cellIs" dxfId="20" priority="8" operator="equal">
      <formula>"Pending"</formula>
    </cfRule>
    <cfRule type="cellIs" dxfId="19" priority="9" operator="equal">
      <formula>"Blocked"</formula>
    </cfRule>
    <cfRule type="cellIs" dxfId="18" priority="10" operator="equal">
      <formula>"Cancelled"</formula>
    </cfRule>
    <cfRule type="cellIs" dxfId="17" priority="11" operator="equal">
      <formula>"Rejected"</formula>
    </cfRule>
    <cfRule type="cellIs" dxfId="16" priority="12" operator="equal">
      <formula>"Submitted"</formula>
    </cfRule>
  </conditionalFormatting>
  <dataValidations count="5">
    <dataValidation type="list" allowBlank="1" sqref="C16:C100" xr:uid="{00000000-0002-0000-0700-000000000000}">
      <formula1>"Technical,Schedule,Resource,Scope,External,Quality,Other"</formula1>
    </dataValidation>
    <dataValidation type="list" allowBlank="1" sqref="D5:E100" xr:uid="{00000000-0002-0000-0700-000001000000}">
      <formula1>"High,Medium,Low"</formula1>
    </dataValidation>
    <dataValidation type="list" allowBlank="1" sqref="K5:K100" xr:uid="{00000000-0002-0000-0700-000002000000}">
      <formula1>"Open,Mitigated,Occurred,Closed"</formula1>
    </dataValidation>
    <dataValidation type="list" allowBlank="1" sqref="C5:C15" xr:uid="{00000000-0002-0000-0700-000003000000}">
      <formula1>"Technical,Scope,Resource,External,Quality,Security,Process"</formula1>
    </dataValidation>
    <dataValidation type="list" sqref="I5:I15" xr:uid="{00000000-0002-0000-0700-000005000000}">
      <formula1>"PhuPD,HoangNV,SonLT,HieuLT,TungVPH"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95959"/>
  </sheetPr>
  <dimension ref="A1:L24"/>
  <sheetViews>
    <sheetView showGridLines="0" workbookViewId="0">
      <pane ySplit="4" topLeftCell="A5" activePane="bottomLeft" state="frozen"/>
      <selection pane="bottomLeft" sqref="A1:L1"/>
    </sheetView>
  </sheetViews>
  <sheetFormatPr defaultRowHeight="15" x14ac:dyDescent="0.25"/>
  <cols>
    <col min="1" max="1" width="10" customWidth="1"/>
    <col min="2" max="2" width="13" customWidth="1"/>
    <col min="3" max="3" width="48" customWidth="1"/>
    <col min="4" max="4" width="24" customWidth="1"/>
    <col min="5" max="5" width="43" customWidth="1"/>
    <col min="6" max="6" width="57" customWidth="1"/>
    <col min="7" max="7" width="18" customWidth="1"/>
    <col min="8" max="8" width="50" customWidth="1"/>
    <col min="9" max="9" width="12" customWidth="1"/>
    <col min="10" max="10" width="17" customWidth="1"/>
    <col min="11" max="11" width="18" customWidth="1"/>
    <col min="12" max="12" width="80" customWidth="1"/>
  </cols>
  <sheetData>
    <row r="1" spans="1:12" ht="28.15" customHeight="1" x14ac:dyDescent="0.25">
      <c r="A1" s="11" t="s">
        <v>670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0.100000000000001" customHeight="1" x14ac:dyDescent="0.25">
      <c r="A2" s="6" t="s">
        <v>728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6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ht="35.1" customHeight="1" x14ac:dyDescent="0.25">
      <c r="A4" s="91" t="s">
        <v>610</v>
      </c>
      <c r="B4" s="91" t="s">
        <v>625</v>
      </c>
      <c r="C4" s="91" t="s">
        <v>671</v>
      </c>
      <c r="D4" s="91" t="s">
        <v>672</v>
      </c>
      <c r="E4" s="91" t="s">
        <v>673</v>
      </c>
      <c r="F4" s="91" t="s">
        <v>674</v>
      </c>
      <c r="G4" s="91" t="s">
        <v>675</v>
      </c>
      <c r="H4" s="91" t="s">
        <v>676</v>
      </c>
      <c r="I4" s="91" t="s">
        <v>629</v>
      </c>
      <c r="J4" s="91" t="s">
        <v>613</v>
      </c>
      <c r="K4" s="91" t="s">
        <v>612</v>
      </c>
      <c r="L4" s="91" t="s">
        <v>614</v>
      </c>
    </row>
    <row r="5" spans="1:12" ht="144.94999999999999" customHeight="1" x14ac:dyDescent="0.25">
      <c r="A5" s="92" t="s">
        <v>570</v>
      </c>
      <c r="B5" s="93">
        <v>46287</v>
      </c>
      <c r="C5" s="94" t="s">
        <v>571</v>
      </c>
      <c r="D5" s="95" t="s">
        <v>572</v>
      </c>
      <c r="E5" s="95" t="s">
        <v>729</v>
      </c>
      <c r="F5" s="95" t="s">
        <v>573</v>
      </c>
      <c r="G5" s="96">
        <v>1</v>
      </c>
      <c r="H5" s="41" t="s">
        <v>574</v>
      </c>
      <c r="I5" s="78" t="s">
        <v>320</v>
      </c>
      <c r="J5" s="41"/>
      <c r="K5" s="41" t="s">
        <v>575</v>
      </c>
      <c r="L5" s="95" t="s">
        <v>730</v>
      </c>
    </row>
    <row r="6" spans="1:12" ht="144.94999999999999" customHeight="1" x14ac:dyDescent="0.25">
      <c r="A6" s="92" t="s">
        <v>576</v>
      </c>
      <c r="B6" s="80">
        <v>46296</v>
      </c>
      <c r="C6" s="35" t="s">
        <v>577</v>
      </c>
      <c r="D6" s="35" t="s">
        <v>578</v>
      </c>
      <c r="E6" s="35" t="s">
        <v>731</v>
      </c>
      <c r="F6" s="35" t="s">
        <v>579</v>
      </c>
      <c r="G6" s="97">
        <v>3</v>
      </c>
      <c r="H6" s="36" t="s">
        <v>580</v>
      </c>
      <c r="I6" s="78" t="s">
        <v>320</v>
      </c>
      <c r="J6" s="41"/>
      <c r="K6" s="41" t="s">
        <v>575</v>
      </c>
      <c r="L6" s="35" t="s">
        <v>732</v>
      </c>
    </row>
    <row r="7" spans="1:12" ht="144.94999999999999" customHeight="1" x14ac:dyDescent="0.25">
      <c r="A7" s="92" t="s">
        <v>581</v>
      </c>
      <c r="B7" s="93">
        <v>46296</v>
      </c>
      <c r="C7" s="95" t="s">
        <v>582</v>
      </c>
      <c r="D7" s="95" t="s">
        <v>583</v>
      </c>
      <c r="E7" s="95" t="s">
        <v>733</v>
      </c>
      <c r="F7" s="95" t="s">
        <v>584</v>
      </c>
      <c r="G7" s="96">
        <v>4</v>
      </c>
      <c r="H7" s="41" t="s">
        <v>585</v>
      </c>
      <c r="I7" s="78" t="s">
        <v>320</v>
      </c>
      <c r="J7" s="41"/>
      <c r="K7" s="41" t="s">
        <v>575</v>
      </c>
      <c r="L7" s="95" t="s">
        <v>734</v>
      </c>
    </row>
    <row r="8" spans="1:12" ht="144.94999999999999" customHeight="1" x14ac:dyDescent="0.25">
      <c r="A8" s="92" t="s">
        <v>586</v>
      </c>
      <c r="B8" s="80">
        <v>46296</v>
      </c>
      <c r="C8" s="35" t="s">
        <v>587</v>
      </c>
      <c r="D8" s="35" t="s">
        <v>588</v>
      </c>
      <c r="E8" s="35" t="s">
        <v>735</v>
      </c>
      <c r="F8" s="35" t="s">
        <v>589</v>
      </c>
      <c r="G8" s="97">
        <v>2</v>
      </c>
      <c r="H8" s="36" t="s">
        <v>590</v>
      </c>
      <c r="I8" s="78" t="s">
        <v>320</v>
      </c>
      <c r="J8" s="41"/>
      <c r="K8" s="41" t="s">
        <v>575</v>
      </c>
      <c r="L8" s="35" t="s">
        <v>736</v>
      </c>
    </row>
    <row r="9" spans="1:12" ht="144.94999999999999" customHeight="1" x14ac:dyDescent="0.25">
      <c r="A9" s="92" t="s">
        <v>591</v>
      </c>
      <c r="B9" s="93">
        <v>46298</v>
      </c>
      <c r="C9" s="95" t="s">
        <v>592</v>
      </c>
      <c r="D9" s="95" t="s">
        <v>593</v>
      </c>
      <c r="E9" s="95" t="s">
        <v>737</v>
      </c>
      <c r="F9" s="95" t="s">
        <v>594</v>
      </c>
      <c r="G9" s="96">
        <v>2</v>
      </c>
      <c r="H9" s="41" t="s">
        <v>595</v>
      </c>
      <c r="I9" s="78" t="s">
        <v>320</v>
      </c>
      <c r="J9" s="41"/>
      <c r="K9" s="41" t="s">
        <v>575</v>
      </c>
      <c r="L9" s="95" t="s">
        <v>738</v>
      </c>
    </row>
    <row r="10" spans="1:12" ht="144.94999999999999" customHeight="1" x14ac:dyDescent="0.25">
      <c r="A10" s="92" t="s">
        <v>596</v>
      </c>
      <c r="B10" s="80">
        <v>46302</v>
      </c>
      <c r="C10" s="35" t="s">
        <v>597</v>
      </c>
      <c r="D10" s="35" t="s">
        <v>598</v>
      </c>
      <c r="E10" s="35" t="s">
        <v>739</v>
      </c>
      <c r="F10" s="35" t="s">
        <v>599</v>
      </c>
      <c r="G10" s="97">
        <v>3</v>
      </c>
      <c r="H10" s="36" t="s">
        <v>740</v>
      </c>
      <c r="I10" s="78" t="s">
        <v>320</v>
      </c>
      <c r="J10" s="41"/>
      <c r="K10" s="41" t="s">
        <v>575</v>
      </c>
      <c r="L10" s="35" t="s">
        <v>741</v>
      </c>
    </row>
    <row r="11" spans="1:12" ht="144.94999999999999" customHeight="1" x14ac:dyDescent="0.25">
      <c r="A11" s="92" t="s">
        <v>600</v>
      </c>
      <c r="B11" s="93">
        <v>46302</v>
      </c>
      <c r="C11" s="95" t="s">
        <v>601</v>
      </c>
      <c r="D11" s="95" t="s">
        <v>602</v>
      </c>
      <c r="E11" s="95" t="s">
        <v>742</v>
      </c>
      <c r="F11" s="95" t="s">
        <v>603</v>
      </c>
      <c r="G11" s="96">
        <v>1</v>
      </c>
      <c r="H11" s="41" t="s">
        <v>604</v>
      </c>
      <c r="I11" s="78" t="s">
        <v>320</v>
      </c>
      <c r="J11" s="41"/>
      <c r="K11" s="41" t="s">
        <v>605</v>
      </c>
      <c r="L11" s="95" t="s">
        <v>743</v>
      </c>
    </row>
    <row r="12" spans="1:12" ht="144.94999999999999" customHeight="1" x14ac:dyDescent="0.25">
      <c r="A12" s="92" t="s">
        <v>606</v>
      </c>
      <c r="B12" s="80">
        <v>46302</v>
      </c>
      <c r="C12" s="35" t="s">
        <v>744</v>
      </c>
      <c r="D12" s="35" t="s">
        <v>607</v>
      </c>
      <c r="E12" s="35" t="s">
        <v>745</v>
      </c>
      <c r="F12" s="35" t="s">
        <v>746</v>
      </c>
      <c r="G12" s="97">
        <v>3</v>
      </c>
      <c r="H12" s="36" t="s">
        <v>747</v>
      </c>
      <c r="I12" s="78" t="s">
        <v>320</v>
      </c>
      <c r="J12" s="41"/>
      <c r="K12" s="41" t="s">
        <v>575</v>
      </c>
      <c r="L12" s="35" t="s">
        <v>748</v>
      </c>
    </row>
    <row r="13" spans="1:12" ht="20.100000000000001" customHeight="1" x14ac:dyDescent="0.25">
      <c r="A13" s="29"/>
      <c r="B13" s="15"/>
      <c r="C13" s="30"/>
      <c r="D13" s="30"/>
      <c r="E13" s="30"/>
      <c r="F13" s="30"/>
      <c r="G13" s="15"/>
      <c r="H13" s="15"/>
      <c r="I13" s="21"/>
      <c r="J13" s="30"/>
      <c r="K13" s="15"/>
      <c r="L13" s="30"/>
    </row>
    <row r="14" spans="1:12" ht="20.100000000000001" customHeight="1" x14ac:dyDescent="0.25">
      <c r="A14" s="29"/>
      <c r="B14" s="13"/>
      <c r="C14" s="14"/>
      <c r="D14" s="14"/>
      <c r="E14" s="14"/>
      <c r="F14" s="14"/>
      <c r="G14" s="13"/>
      <c r="H14" s="13"/>
      <c r="I14" s="21"/>
      <c r="J14" s="14"/>
      <c r="K14" s="15"/>
      <c r="L14" s="14"/>
    </row>
    <row r="15" spans="1:12" ht="20.100000000000001" customHeight="1" x14ac:dyDescent="0.25">
      <c r="A15" s="29"/>
      <c r="B15" s="15"/>
      <c r="C15" s="30"/>
      <c r="D15" s="30"/>
      <c r="E15" s="30"/>
      <c r="F15" s="30"/>
      <c r="G15" s="15"/>
      <c r="H15" s="15"/>
      <c r="I15" s="21"/>
      <c r="J15" s="30"/>
      <c r="K15" s="15"/>
      <c r="L15" s="30"/>
    </row>
    <row r="16" spans="1:12" ht="20.100000000000001" customHeight="1" x14ac:dyDescent="0.25">
      <c r="A16" s="29"/>
      <c r="B16" s="13"/>
      <c r="C16" s="14"/>
      <c r="D16" s="14"/>
      <c r="E16" s="14"/>
      <c r="F16" s="14"/>
      <c r="G16" s="13"/>
      <c r="H16" s="13"/>
      <c r="I16" s="21"/>
      <c r="J16" s="14"/>
      <c r="K16" s="15"/>
      <c r="L16" s="14"/>
    </row>
    <row r="17" spans="1:12" ht="20.100000000000001" customHeight="1" x14ac:dyDescent="0.25">
      <c r="A17" s="29"/>
      <c r="B17" s="15"/>
      <c r="C17" s="30"/>
      <c r="D17" s="30"/>
      <c r="E17" s="30"/>
      <c r="F17" s="30"/>
      <c r="G17" s="15"/>
      <c r="H17" s="15"/>
      <c r="I17" s="21"/>
      <c r="J17" s="30"/>
      <c r="K17" s="15"/>
      <c r="L17" s="30"/>
    </row>
    <row r="18" spans="1:12" ht="20.100000000000001" customHeight="1" x14ac:dyDescent="0.25">
      <c r="A18" s="29"/>
      <c r="B18" s="13"/>
      <c r="C18" s="14"/>
      <c r="D18" s="14"/>
      <c r="E18" s="14"/>
      <c r="F18" s="14"/>
      <c r="G18" s="13"/>
      <c r="H18" s="13"/>
      <c r="I18" s="21"/>
      <c r="J18" s="14"/>
      <c r="K18" s="15"/>
      <c r="L18" s="14"/>
    </row>
    <row r="19" spans="1:12" ht="20.100000000000001" customHeight="1" x14ac:dyDescent="0.25">
      <c r="A19" s="29"/>
      <c r="B19" s="15"/>
      <c r="C19" s="30"/>
      <c r="D19" s="30"/>
      <c r="E19" s="30"/>
      <c r="F19" s="30"/>
      <c r="G19" s="15"/>
      <c r="H19" s="15"/>
      <c r="I19" s="21"/>
      <c r="J19" s="30"/>
      <c r="K19" s="15"/>
      <c r="L19" s="30"/>
    </row>
    <row r="20" spans="1:12" ht="20.100000000000001" customHeight="1" x14ac:dyDescent="0.25">
      <c r="A20" s="29"/>
      <c r="B20" s="13"/>
      <c r="C20" s="14"/>
      <c r="D20" s="14"/>
      <c r="E20" s="14"/>
      <c r="F20" s="14"/>
      <c r="G20" s="13"/>
      <c r="H20" s="13"/>
      <c r="I20" s="21"/>
      <c r="J20" s="14"/>
      <c r="K20" s="15"/>
      <c r="L20" s="14"/>
    </row>
    <row r="21" spans="1:12" ht="20.100000000000001" customHeight="1" x14ac:dyDescent="0.25">
      <c r="A21" s="29"/>
      <c r="B21" s="15"/>
      <c r="C21" s="30"/>
      <c r="D21" s="30"/>
      <c r="E21" s="30"/>
      <c r="F21" s="30"/>
      <c r="G21" s="15"/>
      <c r="H21" s="15"/>
      <c r="I21" s="21"/>
      <c r="J21" s="30"/>
      <c r="K21" s="15"/>
      <c r="L21" s="30"/>
    </row>
    <row r="22" spans="1:12" ht="20.100000000000001" customHeight="1" x14ac:dyDescent="0.25">
      <c r="A22" s="29"/>
      <c r="B22" s="13"/>
      <c r="C22" s="14"/>
      <c r="D22" s="14"/>
      <c r="E22" s="14"/>
      <c r="F22" s="14"/>
      <c r="G22" s="13"/>
      <c r="H22" s="13"/>
      <c r="I22" s="21"/>
      <c r="J22" s="14"/>
      <c r="K22" s="15"/>
      <c r="L22" s="14"/>
    </row>
    <row r="23" spans="1:12" ht="20.100000000000001" customHeight="1" x14ac:dyDescent="0.25">
      <c r="A23" s="29"/>
      <c r="B23" s="15"/>
      <c r="C23" s="30"/>
      <c r="D23" s="30"/>
      <c r="E23" s="30"/>
      <c r="F23" s="30"/>
      <c r="G23" s="15"/>
      <c r="H23" s="15"/>
      <c r="I23" s="21"/>
      <c r="J23" s="30"/>
      <c r="K23" s="15"/>
      <c r="L23" s="30"/>
    </row>
    <row r="24" spans="1:12" ht="20.100000000000001" customHeight="1" x14ac:dyDescent="0.25">
      <c r="A24" s="29"/>
      <c r="B24" s="13"/>
      <c r="C24" s="14"/>
      <c r="D24" s="14"/>
      <c r="E24" s="14"/>
      <c r="F24" s="14"/>
      <c r="G24" s="13"/>
      <c r="H24" s="13"/>
      <c r="I24" s="21"/>
      <c r="J24" s="14"/>
      <c r="K24" s="15"/>
      <c r="L24" s="14"/>
    </row>
  </sheetData>
  <mergeCells count="2">
    <mergeCell ref="A2:L2"/>
    <mergeCell ref="A1:L1"/>
  </mergeCells>
  <conditionalFormatting sqref="I5:I200">
    <cfRule type="cellIs" dxfId="15" priority="1" operator="equal">
      <formula>"Critical"</formula>
    </cfRule>
    <cfRule type="cellIs" dxfId="14" priority="2" operator="equal">
      <formula>"High"</formula>
    </cfRule>
    <cfRule type="cellIs" dxfId="13" priority="3" operator="equal">
      <formula>"Medium"</formula>
    </cfRule>
    <cfRule type="cellIs" dxfId="12" priority="4" operator="equal">
      <formula>"Low"</formula>
    </cfRule>
  </conditionalFormatting>
  <conditionalFormatting sqref="K5:K200">
    <cfRule type="cellIs" dxfId="11" priority="5" operator="equal">
      <formula>"Done"</formula>
    </cfRule>
    <cfRule type="cellIs" dxfId="10" priority="6" operator="equal">
      <formula>"Completed"</formula>
    </cfRule>
    <cfRule type="cellIs" dxfId="9" priority="7" operator="equal">
      <formula>"Closed"</formula>
    </cfRule>
    <cfRule type="cellIs" dxfId="8" priority="8" operator="equal">
      <formula>"Fixed"</formula>
    </cfRule>
    <cfRule type="cellIs" dxfId="7" priority="9" operator="equal">
      <formula>"Approved"</formula>
    </cfRule>
    <cfRule type="cellIs" dxfId="6" priority="10" operator="equal">
      <formula>"In Progress"</formula>
    </cfRule>
    <cfRule type="cellIs" dxfId="5" priority="11" operator="equal">
      <formula>"Open"</formula>
    </cfRule>
    <cfRule type="cellIs" dxfId="4" priority="12" operator="equal">
      <formula>"Pending"</formula>
    </cfRule>
    <cfRule type="cellIs" dxfId="3" priority="13" operator="equal">
      <formula>"Blocked"</formula>
    </cfRule>
    <cfRule type="cellIs" dxfId="2" priority="14" operator="equal">
      <formula>"Cancelled"</formula>
    </cfRule>
    <cfRule type="cellIs" dxfId="1" priority="15" operator="equal">
      <formula>"Rejected"</formula>
    </cfRule>
    <cfRule type="cellIs" dxfId="0" priority="16" operator="equal">
      <formula>"Submitted"</formula>
    </cfRule>
  </conditionalFormatting>
  <dataValidations count="3">
    <dataValidation type="list" allowBlank="1" sqref="I5:I200" xr:uid="{00000000-0002-0000-0800-000000000000}">
      <formula1>"Critical,High,Medium,Low"</formula1>
    </dataValidation>
    <dataValidation type="list" allowBlank="1" sqref="K13:K200" xr:uid="{00000000-0002-0000-0800-000001000000}">
      <formula1>"Pending,Approved,Rejected,Deferred,Implemented"</formula1>
    </dataValidation>
    <dataValidation type="list" allowBlank="1" sqref="K5:K12" xr:uid="{00000000-0002-0000-0800-000002000000}">
      <formula1>"Proposed,Pending,Approved,Rejected,In Review,Implemented"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Scope</vt:lpstr>
      <vt:lpstr>WBS</vt:lpstr>
      <vt:lpstr>Q&amp;A</vt:lpstr>
      <vt:lpstr>TimeLogs</vt:lpstr>
      <vt:lpstr>Defects</vt:lpstr>
      <vt:lpstr>Issues</vt:lpstr>
      <vt:lpstr>Risks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Charlton Barentine</cp:lastModifiedBy>
  <dcterms:modified xsi:type="dcterms:W3CDTF">2026-10-09T08:31:10Z</dcterms:modified>
</cp:coreProperties>
</file>