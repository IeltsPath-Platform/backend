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62db82140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b39b6e1e844598"/>
    <x:sheet xmlns:r="http://schemas.openxmlformats.org/officeDocument/2006/relationships" name="Scope" sheetId="2" r:id="Rda1e6b427eaf4a89"/>
    <x:sheet xmlns:r="http://schemas.openxmlformats.org/officeDocument/2006/relationships" name="WBS" sheetId="3" r:id="Rb351ad1ab3ca43d0"/>
    <x:sheet xmlns:r="http://schemas.openxmlformats.org/officeDocument/2006/relationships" name="Q&amp;A" sheetId="4" r:id="Rb512fbc9058e4e9a"/>
    <x:sheet xmlns:r="http://schemas.openxmlformats.org/officeDocument/2006/relationships" name="TimeLogs" sheetId="5" r:id="Rfdf217a098fd4ab4"/>
    <x:sheet xmlns:r="http://schemas.openxmlformats.org/officeDocument/2006/relationships" name="Defects" sheetId="6" r:id="R02c38ef56d554651"/>
    <x:sheet xmlns:r="http://schemas.openxmlformats.org/officeDocument/2006/relationships" name="Issues" sheetId="7" r:id="Rccc81415e2f2456f"/>
    <x:sheet xmlns:r="http://schemas.openxmlformats.org/officeDocument/2006/relationships" name="Risks" sheetId="8" r:id="R0e0263ab14794c29"/>
    <x:sheet xmlns:r="http://schemas.openxmlformats.org/officeDocument/2006/relationships" name="ChangeLog" sheetId="9" r:id="Rb672c66c9d2f4a09"/>
  </x:sheets>
</x:workbook>
</file>

<file path=xl/sharedStrings.xml><?xml version="1.0" encoding="utf-8"?>
<x:sst xmlns:x="http://schemas.openxmlformats.org/spreadsheetml/2006/main">
  <x:si>
    <x:t xml:space="preserve">[Project Name] — Project Tracking Dashboard</x:t>
  </x:si>
  <x:si>
    <x:t xml:space="preserve">Auto-summary from all tracking sheets  ·  Update data in individual sheets</x:t>
  </x:si>
  <x:si>
    <x:t xml:space="preserve">Total Deliverables</x:t>
  </x:si>
  <x:si>
    <x:t xml:space="preserve">Done / Closed</x:t>
  </x:si>
  <x:si>
    <x:t xml:space="preserve">In Progress</x:t>
  </x:si>
  <x:si>
    <x:t xml:space="preserve">Not Started</x:t>
  </x:si>
  <x:si>
    <x:t xml:space="preserve">Open Issues</x:t>
  </x:si>
  <x:si>
    <x:t xml:space="preserve">Open Defects</x:t>
  </x:si>
  <x:si>
    <x:t xml:space="preserve">Unanswered Q&amp;As</x:t>
  </x:si>
  <x:si>
    <x:t xml:space="preserve">High/Critical Risks</x:t>
  </x:si>
  <x:si>
    <x:t xml:space="preserve">Scope Milestone Status</x:t>
  </x:si>
  <x:si>
    <x:t xml:space="preserve">Stage</x:t>
  </x:si>
  <x:si>
    <x:t xml:space="preserve">Key Deliverable</x:t>
  </x:si>
  <x:si>
    <x:t xml:space="preserve">Deadline</x:t>
  </x:si>
  <x:si>
    <x:t xml:space="preserve">In Charge</x:t>
  </x:si>
  <x:si>
    <x:t xml:space="preserve">Status</x:t>
  </x:si>
  <x:si>
    <x:t xml:space="preserve">Stage 1</x:t>
  </x:si>
  <x:si>
    <x:t xml:space="preserve">Report 1 (Project Introduction)</x:t>
  </x:si>
  <x:si>
    <x:t xml:space="preserve">Week 1</x:t>
  </x:si>
  <x:si>
    <x:t xml:space="preserve">Stage 2</x:t>
  </x:si>
  <x:si>
    <x:t xml:space="preserve">SRS v0.9 + Project Management Plan</x:t>
  </x:si>
  <x:si>
    <x:t xml:space="preserve">Week 3</x:t>
  </x:si>
  <x:si>
    <x:t xml:space="preserve">Stage 3</x:t>
  </x:si>
  <x:si>
    <x:t xml:space="preserve">SDS v1.0 + Test Planning</x:t>
  </x:si>
  <x:si>
    <x:t xml:space="preserve">Week 5</x:t>
  </x:si>
  <x:si>
    <x:t xml:space="preserve">Stage 4</x:t>
  </x:si>
  <x:si>
    <x:t xml:space="preserve">Implementation Iterations 1–3</x:t>
  </x:si>
  <x:si>
    <x:t xml:space="preserve">Week 11</x:t>
  </x:si>
  <x:si>
    <x:t xml:space="preserve">Stage 5</x:t>
  </x:si>
  <x:si>
    <x:t xml:space="preserve">System Test Report + User Guides + UAT</x:t>
  </x:si>
  <x:si>
    <x:t xml:space="preserve">Week 13</x:t>
  </x:si>
  <x:si>
    <x:t xml:space="preserve">Stage 6</x:t>
  </x:si>
  <x:si>
    <x:t xml:space="preserve">Final Report + Presentation</x:t>
  </x:si>
  <x:si>
    <x:t xml:space="preserve">Week 14</x:t>
  </x:si>
  <x:si>
    <x:t xml:space="preserve">WBS by Iteration</x:t>
  </x:si>
  <x:si>
    <x:t xml:space="preserve">Iteration</x:t>
  </x:si>
  <x:si>
    <x:t xml:space="preserve">Planned Functions</x:t>
  </x:si>
  <x:si>
    <x:t xml:space="preserve">Est. Effort (pts)</x:t>
  </x:si>
  <x:si>
    <x:t xml:space="preserve">Done</x:t>
  </x:si>
  <x:si>
    <x:t xml:space="preserve">% Complete</x:t>
  </x:si>
  <x:si>
    <x:t xml:space="preserve">Iteration 1</x:t>
  </x:si>
  <x:si>
    <x:t xml:space="preserve">Iteration 2</x:t>
  </x:si>
  <x:si>
    <x:t xml:space="preserve">Iteration 3</x:t>
  </x:si>
  <x:si>
    <x:t xml:space="preserve">Last updated: [DD/MM/YYYY]  |  Project: [Project Name]  |  PM: [Name]</x:t>
  </x:si>
  <x:si>
    <x:t xml:space="preserve">Scope — Project Deliverables &amp; Milestones</x:t>
  </x:si>
  <x:si>
    <x:t xml:space="preserve">Track all deliverables by stage  ·  Update Status and Actual Effort each week  ·  % Complete auto-calculated</x:t>
  </x:si>
  <x:si>
    <x:t xml:space="preserve">#</x:t>
  </x:si>
  <x:si>
    <x:t xml:space="preserve">Work Package / Deliverable</x:t>
  </x:si>
  <x:si>
    <x:t xml:space="preserve">Est. Effort (pds)</x:t>
  </x:si>
  <x:si>
    <x:t xml:space="preserve">Actual Effort (pds)</x:t>
  </x:si>
  <x:si>
    <x:t xml:space="preserve">Dependency</x:t>
  </x:si>
  <x:si>
    <x:t xml:space="preserve">Approved By</x:t>
  </x:si>
  <x:si>
    <x:t xml:space="preserve">Notes</x:t>
  </x:si>
  <x:si>
    <x:t xml:space="preserve">  Stage 1: Project Initiating (Week 1)</x:t>
  </x:si>
  <x:si>
    <x:t xml:space="preserve">1.1</x:t>
  </x:si>
  <x:si>
    <x:t xml:space="preserve">Report 1 — Project Introduction</x:t>
  </x:si>
  <x:si>
    <x:t xml:space="preserve">PhuPD</x:t>
  </x:si>
  <x:si>
    <x:t xml:space="preserve">Lecturer</x:t>
  </x:si>
  <x:si>
    <x:t xml:space="preserve">  Stage 2: Project Planning &amp; Initial Requirements (Weeks 2–3)</x:t>
  </x:si>
  <x:si>
    <x:t xml:space="preserve">2.1</x:t>
  </x:si>
  <x:si>
    <x:t xml:space="preserve">Report 2 — Project Management Plan v1.0</x:t>
  </x:si>
  <x:si>
    <x:t xml:space="preserve">PhuPD, HieuLT, TungVPH</x:t>
  </x:si>
  <x:si>
    <x:t xml:space="preserve">Week 2</x:t>
  </x:si>
  <x:si>
    <x:t xml:space="preserve">1.1, 2.1</x:t>
  </x:si>
  <x:si>
    <x:t xml:space="preserve">Planning, roles, timeline, risk, communication, tracking</x:t>
  </x:si>
  <x:si>
    <x:t xml:space="preserve">2.2</x:t>
  </x:si>
  <x:si>
    <x:t xml:space="preserve">Report 3 — SRS v0.9 (Overall Requirements)</x:t>
  </x:si>
  <x:si>
    <x:t xml:space="preserve">All team</x:t>
  </x:si>
  <x:si>
    <x:t xml:space="preserve">Scope, actors, functional requirements finalized</x:t>
  </x:si>
  <x:si>
    <x:t xml:space="preserve">2.3</x:t>
  </x:si>
  <x:si>
    <x:t xml:space="preserve">Vertical Prototypes (Code Demo)</x:t>
  </x:si>
  <x:si>
    <x:t xml:space="preserve">BE + FE</x:t>
  </x:si>
  <x:si>
    <x:t xml:space="preserve">Demonstrate a small end-to-end flow to prove the stack works.</x:t>
  </x:si>
  <x:si>
    <x:t xml:space="preserve">  Stage 3: Software Design (Weeks 4–5)</x:t>
  </x:si>
  <x:si>
    <x:t xml:space="preserve">3.1</x:t>
  </x:si>
  <x:si>
    <x:t xml:space="preserve">Vertical Prototypes (POC / Proof of Concepts)</x:t>
  </x:si>
  <x:si>
    <x:t xml:space="preserve">Week 4</x:t>
  </x:si>
  <x:si>
    <x:t xml:space="preserve">Develop a Proof of Concept (POC) for technical components that involve risk or uncertainty.</x:t>
  </x:si>
  <x:si>
    <x:t xml:space="preserve">3.2</x:t>
  </x:si>
  <x:si>
    <x:t xml:space="preserve">Report 3 — SRS v1.0 (Detailed — Iteration 1)</x:t>
  </x:si>
  <x:si>
    <x:t xml:space="preserve">2.1, 3.2</x:t>
  </x:si>
  <x:si>
    <x:t xml:space="preserve">Detailed requirements for features to be implemented in Iteration 1</x:t>
  </x:si>
  <x:si>
    <x:t xml:space="preserve">3.3</x:t>
  </x:si>
  <x:si>
    <x:t xml:space="preserve">Report 4 — SDS v1.0 (High Level Design)</x:t>
  </x:si>
  <x:si>
    <x:t xml:space="preserve">2.1, 2.2</x:t>
  </x:si>
  <x:si>
    <x:t xml:space="preserve">Architecture, service/module, DB high-level, API/interface, deployment overview</x:t>
  </x:si>
  <x:si>
    <x:t xml:space="preserve">3.4</x:t>
  </x:si>
  <x:si>
    <x:t xml:space="preserve">Report 5 — Test Planning</x:t>
  </x:si>
  <x:si>
    <x:t xml:space="preserve">Test strategy, test types, environment, entry/exit criteria, responsibilities</x:t>
  </x:si>
  <x:si>
    <x:t xml:space="preserve">  Stage 4a: Implementation — Iteration 1 (Weeks 6–7)</x:t>
  </x:si>
  <x:si>
    <x:t xml:space="preserve">4.1.1</x:t>
  </x:si>
  <x:si>
    <x:t xml:space="preserve">Report 4 — SDS v1.1 (Detailed Design)</x:t>
  </x:si>
  <x:si>
    <x:t xml:space="preserve">Week 6</x:t>
  </x:si>
  <x:si>
    <x:t xml:space="preserve">4.1.2</x:t>
  </x:si>
  <x:si>
    <x:t xml:space="preserve">Code Package &amp; Unit Testing Report — Iteration 1</x:t>
  </x:si>
  <x:si>
    <x:t xml:space="preserve">4.1.3</x:t>
  </x:si>
  <x:si>
    <x:t xml:space="preserve">Report 5 — Integration Test Cases — Iteration 1</x:t>
  </x:si>
  <x:si>
    <x:t xml:space="preserve">4.1.4</x:t>
  </x:si>
  <x:si>
    <x:t xml:space="preserve">Report 5 — Integration Test Report — Iteration 1</x:t>
  </x:si>
  <x:si>
    <x:t xml:space="preserve">Week 7</x:t>
  </x:si>
  <x:si>
    <x:t xml:space="preserve">4.1.5</x:t>
  </x:si>
  <x:si>
    <x:t xml:space="preserve">Report 3 — SRS v1.1 (Detailed — Iteration 2)</x:t>
  </x:si>
  <x:si>
    <x:t xml:space="preserve">4.1.6</x:t>
  </x:si>
  <x:si>
    <x:t xml:space="preserve">Software Package Version 1</x:t>
  </x:si>
  <x:si>
    <x:t xml:space="preserve">  Stage 4b: Implementation — Iteration 2 (Weeks 8–9)</x:t>
  </x:si>
  <x:si>
    <x:t xml:space="preserve">4.2.1</x:t>
  </x:si>
  <x:si>
    <x:t xml:space="preserve">Report 4 — SDS v1.2</x:t>
  </x:si>
  <x:si>
    <x:t xml:space="preserve">Week 8</x:t>
  </x:si>
  <x:si>
    <x:t xml:space="preserve">4.2.2</x:t>
  </x:si>
  <x:si>
    <x:t xml:space="preserve">Code Package &amp; Unit Testing Report — Iteration 2</x:t>
  </x:si>
  <x:si>
    <x:t xml:space="preserve">4.2.3</x:t>
  </x:si>
  <x:si>
    <x:t xml:space="preserve">Report 5 — Integration Test Cases — Iteration 2</x:t>
  </x:si>
  <x:si>
    <x:t xml:space="preserve">4.2.4</x:t>
  </x:si>
  <x:si>
    <x:t xml:space="preserve">Report 5 — Integration Test Report — Iteration 2</x:t>
  </x:si>
  <x:si>
    <x:t xml:space="preserve">Week 9</x:t>
  </x:si>
  <x:si>
    <x:t xml:space="preserve">4.2.5</x:t>
  </x:si>
  <x:si>
    <x:t xml:space="preserve">Report 3 — SRS v1.2 (Detailed — Iteration 3)</x:t>
  </x:si>
  <x:si>
    <x:t xml:space="preserve">4.2.6</x:t>
  </x:si>
  <x:si>
    <x:t xml:space="preserve">Software Package Version 2</x:t>
  </x:si>
  <x:si>
    <x:t xml:space="preserve">  Stage 4c: Implementation — Iteration 3 (Weeks 10–11)</x:t>
  </x:si>
  <x:si>
    <x:t xml:space="preserve">4.3.1</x:t>
  </x:si>
  <x:si>
    <x:t xml:space="preserve">Report 4 — SDS v1.3</x:t>
  </x:si>
  <x:si>
    <x:t xml:space="preserve">Week 10</x:t>
  </x:si>
  <x:si>
    <x:t xml:space="preserve">4.3.2</x:t>
  </x:si>
  <x:si>
    <x:t xml:space="preserve">Code Package &amp; Unit Testing Report — Iteration 3</x:t>
  </x:si>
  <x:si>
    <x:t xml:space="preserve">4.3.3</x:t>
  </x:si>
  <x:si>
    <x:t xml:space="preserve">Report 5 — Integration Test Cases — Iteration 3</x:t>
  </x:si>
  <x:si>
    <x:t xml:space="preserve">4.3.4</x:t>
  </x:si>
  <x:si>
    <x:t xml:space="preserve">Report 5 — Integration Test Report — Iteration 3</x:t>
  </x:si>
  <x:si>
    <x:t xml:space="preserve">4.3.5</x:t>
  </x:si>
  <x:si>
    <x:t xml:space="preserve">Report 5 — System Test Cases</x:t>
  </x:si>
  <x:si>
    <x:t xml:space="preserve">4.3.6</x:t>
  </x:si>
  <x:si>
    <x:t xml:space="preserve">Software Package Version 3</x:t>
  </x:si>
  <x:si>
    <x:t xml:space="preserve">  Stage 5: Verification &amp; Validation (Weeks 12–13)</x:t>
  </x:si>
  <x:si>
    <x:t xml:space="preserve">5.1</x:t>
  </x:si>
  <x:si>
    <x:t xml:space="preserve">Report 5 — System Test Report</x:t>
  </x:si>
  <x:si>
    <x:t xml:space="preserve">Week 12</x:t>
  </x:si>
  <x:si>
    <x:t xml:space="preserve">5.2</x:t>
  </x:si>
  <x:si>
    <x:t xml:space="preserve">Report 6 — User Guides (Installation + User Manuals)</x:t>
  </x:si>
  <x:si>
    <x:t xml:space="preserve">5.3</x:t>
  </x:si>
  <x:si>
    <x:t xml:space="preserve">Acceptance Test and Support</x:t>
  </x:si>
  <x:si>
    <x:t xml:space="preserve">5.4</x:t>
  </x:si>
  <x:si>
    <x:t xml:space="preserve">Final Software Package (Docs + Source Codes)</x:t>
  </x:si>
  <x:si>
    <x:t xml:space="preserve">  Stage 6: Closing (Week 14)</x:t>
  </x:si>
  <x:si>
    <x:t xml:space="preserve">6.1</x:t>
  </x:si>
  <x:si>
    <x:t xml:space="preserve">Report 7 — Final Project Report</x:t>
  </x:si>
  <x:si>
    <x:t xml:space="preserve">6.2</x:t>
  </x:si>
  <x:si>
    <x:t xml:space="preserve">Presentation File</x:t>
  </x:si>
  <x:si>
    <x:t xml:space="preserve">Function / Screen</x:t>
  </x:si>
  <x:si>
    <x:t xml:space="preserve">Type</x:t>
  </x:si>
  <x:si>
    <x:t xml:space="preserve">Feature Group</x:t>
  </x:si>
  <x:si>
    <x:t xml:space="preserve">Sub-Feature</x:t>
  </x:si>
  <x:si>
    <x:t xml:space="preserve">Description</x:t>
  </x:si>
  <x:si>
    <x:t xml:space="preserve">Complexity</x:t>
  </x:si>
  <x:si>
    <x:t xml:space="preserve">Planned Iteration</x:t>
  </x:si>
  <x:si>
    <x:t xml:space="preserve">Actual Effort (pts)</x:t>
  </x:si>
  <x:si>
    <x:t xml:space="preserve">Date</x:t>
  </x:si>
  <x:si>
    <x:t xml:space="preserve">Question</x:t>
  </x:si>
  <x:si>
    <x:t xml:space="preserve">Raised By</x:t>
  </x:si>
  <x:si>
    <x:t xml:space="preserve">Directed To</x:t>
  </x:si>
  <x:si>
    <x:t xml:space="preserve">Priority</x:t>
  </x:si>
  <x:si>
    <x:t xml:space="preserve">Due Date</x:t>
  </x:si>
  <x:si>
    <x:t xml:space="preserve">Answer / Resolution</x:t>
  </x:si>
  <x:si>
    <x:t xml:space="preserve">Answered By</x:t>
  </x:si>
  <x:si>
    <x:t xml:space="preserve">Answered Date</x:t>
  </x:si>
  <x:si>
    <x:t xml:space="preserve">Reporter</x:t>
  </x:si>
  <x:si>
    <x:t xml:space="preserve">WBS Ref</x:t>
  </x:si>
  <x:si>
    <x:t xml:space="preserve">Task Description</x:t>
  </x:si>
  <x:si>
    <x:t xml:space="preserve">Activity</x:t>
  </x:si>
  <x:si>
    <x:t xml:space="preserve"># Hours</x:t>
  </x:si>
  <x:si>
    <x:t xml:space="preserve">Product / Work Product</x:t>
  </x:si>
  <x:si>
    <x:t xml:space="preserve">Updated</x:t>
  </x:si>
  <x:si>
    <x:t xml:space="preserve">Hours Summary</x:t>
  </x:si>
  <x:si>
    <x:t xml:space="preserve">Total Hours</x:t>
  </x:si>
  <x:si>
    <x:t xml:space="preserve">Training</x:t>
  </x:si>
  <x:si>
    <x:t xml:space="preserve">Analyzing</x:t>
  </x:si>
  <x:si>
    <x:t xml:space="preserve">Designing</x:t>
  </x:si>
  <x:si>
    <x:t xml:space="preserve">Coding</x:t>
  </x:si>
  <x:si>
    <x:t xml:space="preserve">Testing</x:t>
  </x:si>
  <x:si>
    <x:t xml:space="preserve">Reviewing</x:t>
  </x:si>
  <x:si>
    <x:t xml:space="preserve">Deploying</x:t>
  </x:si>
  <x:si>
    <x:t xml:space="preserve">Meeting</x:t>
  </x:si>
  <x:si>
    <x:t xml:space="preserve">Grand Total</x:t>
  </x:si>
  <x:si>
    <x:t xml:space="preserve">Date Found</x:t>
  </x:si>
  <x:si>
    <x:t xml:space="preserve">Defect Description</x:t>
  </x:si>
  <x:si>
    <x:t xml:space="preserve">Steps to Reproduce</x:t>
  </x:si>
  <x:si>
    <x:t xml:space="preserve">Expected Result</x:t>
  </x:si>
  <x:si>
    <x:t xml:space="preserve">Actual Result</x:t>
  </x:si>
  <x:si>
    <x:t xml:space="preserve">Severity</x:t>
  </x:si>
  <x:si>
    <x:t xml:space="preserve">Product</x:t>
  </x:si>
  <x:si>
    <x:t xml:space="preserve">Product Details</x:t>
  </x:si>
  <x:si>
    <x:t xml:space="preserve">Assigned By</x:t>
  </x:si>
  <x:si>
    <x:t xml:space="preserve">Assigned To</x:t>
  </x:si>
  <x:si>
    <x:t xml:space="preserve">Fixed Date</x:t>
  </x:si>
  <x:si>
    <x:t xml:space="preserve">Fixed In Version</x:t>
  </x:si>
  <x:si>
    <x:t xml:space="preserve">Issue Description</x:t>
  </x:si>
  <x:si>
    <x:t xml:space="preserve">Category</x:t>
  </x:si>
  <x:si>
    <x:t xml:space="preserve">Impact (Scope / Effort / Timeline)</x:t>
  </x:si>
  <x:si>
    <x:t xml:space="preserve">Owner</x:t>
  </x:si>
  <x:si>
    <x:t xml:space="preserve">Resolution</x:t>
  </x:si>
  <x:si>
    <x:t xml:space="preserve">Closed Date</x:t>
  </x:si>
  <x:si>
    <x:t xml:space="preserve">Risk Description</x:t>
  </x:si>
  <x:si>
    <x:t xml:space="preserve">Probability</x:t>
  </x:si>
  <x:si>
    <x:t xml:space="preserve">Impact</x:t>
  </x:si>
  <x:si>
    <x:t xml:space="preserve">Risk Score (P×I)</x:t>
  </x:si>
  <x:si>
    <x:t xml:space="preserve">Mitigation Plan</x:t>
  </x:si>
  <x:si>
    <x:t xml:space="preserve">Contingency Plan</x:t>
  </x:si>
  <x:si>
    <x:t xml:space="preserve">Change Description</x:t>
  </x:si>
  <x:si>
    <x:t xml:space="preserve">Requested By</x:t>
  </x:si>
  <x:si>
    <x:t xml:space="preserve">Affects (SRS/WBS/Code)</x:t>
  </x:si>
  <x:si>
    <x:t xml:space="preserve">Impact on Scope</x:t>
  </x:si>
  <x:si>
    <x:t xml:space="preserve">Impact on Effort (pds)</x:t>
  </x:si>
  <x:si>
    <x:t xml:space="preserve">Impact on Timeline</x:t>
  </x:si>
</x:sst>
</file>

<file path=xl/styles.xml><?xml version="1.0" encoding="utf-8"?>
<x:styleSheet xmlns:x="http://schemas.openxmlformats.org/spreadsheetml/2006/main">
  <x:numFmts count="2">
    <x:numFmt numFmtId="164" formatCode="0&quot;%&quot;"/>
    <x:numFmt numFmtId="200" formatCode="dd/mm/yyyy"/>
  </x:numFmts>
  <x:fonts count="26">
    <x:font>
      <x:sz val="11"/>
      <x:color theme="1"/>
      <x:name val="Calibri"/>
    </x:font>
    <x:font>
      <x:b/>
      <x:sz val="16"/>
      <x:color rgb="FF1F3864"/>
      <x:name val="Arial"/>
    </x:font>
    <x:font>
      <x:sz val="9"/>
      <x:color rgb="FF595959"/>
      <x:name val="Arial"/>
    </x:font>
    <x:font>
      <x:b/>
      <x:sz val="12"/>
      <x:color rgb="FF1F3864"/>
      <x:name val="Arial"/>
    </x:font>
    <x:font>
      <x:b/>
      <x:sz val="10"/>
      <x:color rgb="FFFFFFFF"/>
      <x:name val="Arial"/>
    </x:font>
    <x:font>
      <x:b/>
      <x:sz val="10"/>
      <x:color rgb="FF1F3864"/>
      <x:name val="Arial"/>
    </x:font>
    <x:font>
      <x:sz val="10"/>
      <x:color rgb="FF000000"/>
      <x:name val="Arial"/>
    </x:font>
    <x:font>
      <x:i/>
      <x:sz val="9"/>
      <x:color rgb="FF595959"/>
      <x:name val="Arial"/>
    </x:font>
    <x:font>
      <x:b/>
      <x:sz val="14"/>
      <x:color rgb="FF1F3864"/>
      <x:name val="Arial"/>
    </x:font>
    <x:font>
      <x:sz val="10"/>
      <x:color rgb="FF1F6B75"/>
      <x:name val="Arial"/>
    </x:font>
    <x:font>
      <x:b/>
      <x:sz val="11"/>
      <x:color rgb="FF1F3864"/>
      <x:name val="Arial"/>
    </x:font>
    <x:font>
      <x:b/>
      <x:sz val="10"/>
      <x:color rgb="FF7F6000"/>
      <x:name val="Arial"/>
    </x:font>
    <x:font>
      <x:i/>
      <x:sz val="10"/>
      <x:color rgb="FF000000"/>
      <x:name val="Arial"/>
    </x:font>
    <x:font>
      <x:sz val="10"/>
      <x:color rgb="FF7F6000"/>
      <x:name val="Arial"/>
    </x:font>
    <x:font>
      <x:b/>
      <x:sz val="10"/>
      <x:color rgb="FF1F6B75"/>
      <x:name val="Arial"/>
    </x:font>
    <x:font>
      <x:b/>
      <x:sz val="10"/>
      <x:color rgb="FFC00000"/>
      <x:name val="Arial"/>
    </x:font>
    <x:font>
      <x:b/>
      <x:sz val="10"/>
      <x:color rgb="FF5C3292"/>
      <x:name val="Arial"/>
    </x:font>
    <x:font>
      <x:b/>
      <x:sz val="10"/>
      <x:color rgb="FF843C0C"/>
      <x:name val="Arial"/>
    </x:font>
    <x:font>
      <x:b/>
      <x:sz val="10"/>
      <x:color rgb="FF000000"/>
      <x:name val="Arial"/>
    </x:font>
    <x:font>
      <x:b/>
      <x:sz val="10"/>
      <x:color rgb="FF595959"/>
      <x:name val="Arial"/>
    </x:font>
    <x:font>
      <x:b/>
      <x:sz val="16"/>
      <x:color rgb="FFFFFFFF"/>
      <x:name val="Arial"/>
    </x:font>
    <x:font>
      <x:b/>
      <x:sz val="11"/>
      <x:color rgb="FFFFFFFF"/>
      <x:name val="Calibri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1"/>
      <x:color rgb="FF203864"/>
      <x:name val="Arial"/>
    </x:font>
    <x:font>
      <x:b/>
      <x:sz val="12"/>
      <x:color rgb="FF203864"/>
      <x:name val="Arial"/>
    </x:font>
  </x:fonts>
  <x:fills count="28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2E75B6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1F3864"/>
      </x:patternFill>
    </x:fill>
    <x:fill>
      <x:patternFill patternType="solid">
        <x:fgColor rgb="FFC00000"/>
      </x:patternFill>
    </x:fill>
    <x:fill>
      <x:patternFill patternType="solid">
        <x:fgColor rgb="FF843C0C"/>
      </x:patternFill>
    </x:fill>
    <x:fill>
      <x:patternFill patternType="solid">
        <x:fgColor rgb="FFFFFFFF"/>
      </x:patternFill>
    </x:fill>
    <x:fill>
      <x:patternFill patternType="solid">
        <x:fgColor rgb="FFDEEAF1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D6EEF0"/>
      </x:patternFill>
    </x:fill>
    <x:fill>
      <x:patternFill patternType="solid">
        <x:fgColor rgb="FF1F6B75"/>
      </x:patternFill>
    </x:fill>
    <x:fill>
      <x:patternFill patternType="solid">
        <x:fgColor rgb="FFFCE4D6"/>
      </x:patternFill>
    </x:fill>
    <x:fill>
      <x:patternFill patternType="solid">
        <x:fgColor rgb="FF5C3292"/>
      </x:patternFill>
    </x:fill>
    <x:fill>
      <x:patternFill patternType="solid">
        <x:fgColor rgb="FFEBE2F5"/>
      </x:patternFill>
    </x:fill>
    <x:fill>
      <x:patternFill patternType="solid">
        <x:fgColor rgb="FF595959"/>
      </x:patternFill>
    </x:fill>
    <x:fill>
      <x:patternFill patternType="solid">
        <x:fgColor rgb="FF375623"/>
      </x:patternFill>
    </x:fill>
    <x:fill>
      <x:patternFill patternType="solid">
        <x:fgColor rgb="FF375623"/>
      </x:patternFill>
    </x:fill>
    <x:fill>
      <x:patternFill patternType="solid">
        <x:fgColor rgb="FFDDEBF1"/>
      </x:patternFill>
    </x:fill>
    <x:fill>
      <x:patternFill patternType="solid">
        <x:fgColor rgb="FFD8EFF1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EF4F7"/>
      </x:patternFill>
    </x:fill>
  </x:fills>
  <x:borders count="4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BCC9CF"/>
      </x:left>
      <x:right style="thin">
        <x:color rgb="FFBCC9CF"/>
      </x:right>
      <x:top style="thin">
        <x:color rgb="FFBCC9CF"/>
      </x:top>
      <x:bottom style="thin">
        <x:color rgb="FFBCC9CF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/>
    <x:xf numFmtId="0" fontId="4" fillId="3" borderId="1" xfId="0" applyFont="1" applyFill="1" applyBorder="1" applyAlignment="1">
      <x:alignment horizontal="center" vertical="center" wrapText="1"/>
    </x:xf>
    <x:xf numFmtId="0" fontId="5" fillId="9" borderId="2" xfId="0" applyFont="1" applyFill="1" applyBorder="1" applyAlignment="1">
      <x:alignment horizontal="left" vertical="center" wrapText="1"/>
    </x:xf>
    <x:xf numFmtId="0" fontId="6" fillId="9" borderId="2" xfId="0" applyFont="1" applyFill="1" applyBorder="1" applyAlignment="1">
      <x:alignment horizontal="center" vertical="center" wrapText="1"/>
    </x:xf>
    <x:xf numFmtId="164" fontId="6" fillId="9" borderId="2" xfId="0" applyNumberFormat="1" applyFont="1" applyFill="1" applyBorder="1" applyAlignment="1">
      <x:alignment horizontal="center" vertical="center" wrapText="1"/>
    </x:xf>
    <x:xf numFmtId="0" fontId="5" fillId="10" borderId="2" xfId="0" applyFont="1" applyFill="1" applyBorder="1" applyAlignment="1">
      <x:alignment horizontal="left" vertical="center" wrapText="1"/>
    </x:xf>
    <x:xf numFmtId="0" fontId="6" fillId="10" borderId="2" xfId="0" applyFont="1" applyFill="1" applyBorder="1" applyAlignment="1">
      <x:alignment horizontal="center" vertical="center" wrapText="1"/>
    </x:xf>
    <x:xf numFmtId="164" fontId="6" fillId="10" borderId="2" xfId="0" applyNumberFormat="1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6" fillId="10" borderId="2" xfId="0" applyFont="1" applyFill="1" applyBorder="1" applyAlignment="1">
      <x:alignment horizontal="left" vertical="center" wrapText="1"/>
    </x:xf>
    <x:xf numFmtId="0" fontId="6" fillId="9" borderId="2" xfId="0" applyFont="1" applyFill="1" applyBorder="1" applyAlignment="1">
      <x:alignment horizontal="left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164" fontId="6" fillId="12" borderId="2" xfId="0" applyNumberFormat="1" applyFont="1" applyFill="1" applyBorder="1" applyAlignment="1">
      <x:alignment horizontal="center" vertical="center" wrapText="1"/>
    </x:xf>
    <x:xf numFmtId="0" fontId="6" fillId="2" borderId="2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9" fillId="14" borderId="2" xfId="0" applyFont="1" applyFill="1" applyBorder="1" applyAlignment="1">
      <x:alignment horizontal="center" vertical="center" wrapText="1"/>
    </x:xf>
    <x:xf numFmtId="0" fontId="10" fillId="0" borderId="0" xfId="0" applyFont="1"/>
    <x:xf numFmtId="0" fontId="4" fillId="6" borderId="1" xfId="0" applyFont="1" applyFill="1" applyBorder="1" applyAlignment="1">
      <x:alignment horizontal="left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11" fillId="12" borderId="2" xfId="0" applyFont="1" applyFill="1" applyBorder="1" applyAlignment="1">
      <x:alignment horizontal="center" vertical="center" wrapText="1"/>
    </x:xf>
    <x:xf numFmtId="0" fontId="12" fillId="10" borderId="2" xfId="0" applyFont="1" applyFill="1" applyBorder="1" applyAlignment="1">
      <x:alignment horizontal="left" vertical="center" wrapText="1"/>
    </x:xf>
    <x:xf numFmtId="0" fontId="13" fillId="12" borderId="2" xfId="0" applyFont="1" applyFill="1" applyBorder="1" applyAlignment="1">
      <x:alignment horizontal="center" vertical="center" wrapText="1"/>
    </x:xf>
    <x:xf numFmtId="0" fontId="0" fillId="9" borderId="2" xfId="0" applyFill="1" applyBorder="1"/>
    <x:xf numFmtId="0" fontId="0" fillId="2" borderId="2" xfId="0" applyFill="1" applyBorder="1" applyAlignment="1">
      <x:alignment horizontal="center" vertical="center" wrapText="1"/>
    </x:xf>
    <x:xf numFmtId="0" fontId="0" fillId="10" borderId="2" xfId="0" applyFill="1" applyBorder="1"/>
    <x:xf numFmtId="0" fontId="4" fillId="15" borderId="1" xfId="0" applyFont="1" applyFill="1" applyBorder="1" applyAlignment="1">
      <x:alignment horizontal="center" vertical="center" wrapText="1"/>
    </x:xf>
    <x:xf numFmtId="0" fontId="14" fillId="14" borderId="2" xfId="0" applyFont="1" applyFill="1" applyBorder="1" applyAlignment="1">
      <x:alignment horizontal="center" vertical="center" wrapText="1"/>
    </x:xf>
    <x:xf numFmtId="0" fontId="6" fillId="14" borderId="2" xfId="0" applyFont="1" applyFill="1" applyBorder="1" applyAlignment="1">
      <x:alignment horizontal="center" vertical="center" wrapText="1"/>
    </x:xf>
    <x:xf numFmtId="0" fontId="6" fillId="14" borderId="2" xfId="0" applyFont="1" applyFill="1" applyBorder="1" applyAlignment="1">
      <x:alignment horizontal="left" vertical="center" wrapText="1"/>
    </x:xf>
    <x:xf numFmtId="0" fontId="6" fillId="12" borderId="2" xfId="0" applyFont="1" applyFill="1" applyBorder="1" applyAlignment="1">
      <x:alignment horizontal="center" vertical="center" wrapText="1"/>
    </x:xf>
    <x:xf numFmtId="0" fontId="6" fillId="14" borderId="2" xfId="0" applyFont="1" applyFill="1" applyBorder="1"/>
    <x:xf numFmtId="0" fontId="4" fillId="6" borderId="1" xfId="0" applyFont="1" applyFill="1" applyBorder="1"/>
    <x:xf numFmtId="0" fontId="4" fillId="7" borderId="1" xfId="0" applyFont="1" applyFill="1" applyBorder="1" applyAlignment="1">
      <x:alignment horizontal="center" vertical="center" wrapText="1"/>
    </x:xf>
    <x:xf numFmtId="0" fontId="15" fillId="16" borderId="2" xfId="0" applyFont="1" applyFill="1" applyBorder="1" applyAlignment="1">
      <x:alignment horizontal="center" vertical="center" wrapText="1"/>
    </x:xf>
    <x:xf numFmtId="0" fontId="6" fillId="16" borderId="2" xfId="0" applyFont="1" applyFill="1" applyBorder="1" applyAlignment="1">
      <x:alignment horizontal="center" vertical="center" wrapText="1"/>
    </x:xf>
    <x:xf numFmtId="0" fontId="12" fillId="16" borderId="2" xfId="0" applyFont="1" applyFill="1" applyBorder="1" applyAlignment="1">
      <x:alignment horizontal="left" vertical="center" wrapText="1"/>
    </x:xf>
    <x:xf numFmtId="0" fontId="6" fillId="16" borderId="2" xfId="0" applyFont="1" applyFill="1" applyBorder="1" applyAlignment="1">
      <x:alignment horizontal="left" vertical="center" wrapText="1"/>
    </x:xf>
    <x:xf numFmtId="0" fontId="4" fillId="17" borderId="1" xfId="0" applyFont="1" applyFill="1" applyBorder="1" applyAlignment="1">
      <x:alignment horizontal="center" vertical="center" wrapText="1"/>
    </x:xf>
    <x:xf numFmtId="0" fontId="16" fillId="18" borderId="2" xfId="0" applyFont="1" applyFill="1" applyBorder="1" applyAlignment="1">
      <x:alignment horizontal="center" vertical="center" wrapText="1"/>
    </x:xf>
    <x:xf numFmtId="0" fontId="6" fillId="18" borderId="2" xfId="0" applyFont="1" applyFill="1" applyBorder="1" applyAlignment="1">
      <x:alignment horizontal="center" vertical="center" wrapText="1"/>
    </x:xf>
    <x:xf numFmtId="0" fontId="12" fillId="18" borderId="2" xfId="0" applyFont="1" applyFill="1" applyBorder="1" applyAlignment="1">
      <x:alignment horizontal="left" vertical="center" wrapText="1"/>
    </x:xf>
    <x:xf numFmtId="0" fontId="6" fillId="18" borderId="2" xfId="0" applyFont="1" applyFill="1" applyBorder="1" applyAlignment="1">
      <x:alignment horizontal="left" vertical="center" wrapText="1"/>
    </x:xf>
    <x:xf numFmtId="0" fontId="4" fillId="8" borderId="1" xfId="0" applyFont="1" applyFill="1" applyBorder="1" applyAlignment="1">
      <x:alignment horizontal="center" vertical="center" wrapText="1"/>
    </x:xf>
    <x:xf numFmtId="0" fontId="17" fillId="16" borderId="2" xfId="0" applyFont="1" applyFill="1" applyBorder="1" applyAlignment="1">
      <x:alignment horizontal="center" vertical="center" wrapText="1"/>
    </x:xf>
    <x:xf numFmtId="0" fontId="18" fillId="12" borderId="2" xfId="0" applyFont="1" applyFill="1" applyBorder="1" applyAlignment="1">
      <x:alignment horizontal="center" vertical="center" wrapText="1"/>
    </x:xf>
    <x:xf numFmtId="0" fontId="18" fillId="13" borderId="2" xfId="0" applyFont="1" applyFill="1" applyBorder="1" applyAlignment="1">
      <x:alignment horizontal="center" vertical="center" wrapText="1"/>
    </x:xf>
    <x:xf numFmtId="0" fontId="4" fillId="19" borderId="1" xfId="0" applyFont="1" applyFill="1" applyBorder="1" applyAlignment="1">
      <x:alignment horizontal="center" vertical="center" wrapText="1"/>
    </x:xf>
    <x:xf numFmtId="0" fontId="19" fillId="2" borderId="2" xfId="0" applyFont="1" applyFill="1" applyBorder="1" applyAlignment="1">
      <x:alignment horizontal="center" vertical="center" wrapText="1"/>
    </x:xf>
    <x:xf numFmtId="0" fontId="12" fillId="2" borderId="2" xfId="0" applyFont="1" applyFill="1" applyBorder="1" applyAlignment="1">
      <x:alignment horizontal="left" vertical="center" wrapText="1"/>
    </x:xf>
    <x:xf numFmtId="0" fontId="6" fillId="2" borderId="2" xfId="0" applyFont="1" applyFill="1" applyBorder="1" applyAlignment="1">
      <x:alignment horizontal="left" vertical="center" wrapText="1"/>
    </x:xf>
    <x:xf numFmtId="0" fontId="20" fillId="7" borderId="0" xfId="0" applyFont="1" applyFill="1" applyAlignment="1">
      <x:alignment horizontal="center" vertical="center"/>
    </x:xf>
    <x:xf numFmtId="0" fontId="20" fillId="5" borderId="0" xfId="0" applyFont="1" applyFill="1" applyAlignment="1">
      <x:alignment horizontal="center" vertical="center"/>
    </x:xf>
    <x:xf numFmtId="0" fontId="20" fillId="8" borderId="0" xfId="0" applyFont="1" applyFill="1" applyAlignment="1">
      <x:alignment horizontal="center" vertical="center"/>
    </x:xf>
    <x:xf numFmtId="0" fontId="20" fillId="3" borderId="0" xfId="0" applyFont="1" applyFill="1" applyAlignment="1">
      <x:alignment horizontal="center" vertical="center"/>
    </x:xf>
    <x:xf numFmtId="0" fontId="20" fillId="4" borderId="0" xfId="0" applyFont="1" applyFill="1" applyAlignment="1">
      <x:alignment horizontal="center" vertical="center"/>
    </x:xf>
    <x:xf numFmtId="0" fontId="20" fillId="6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/>
    <x:xf numFmtId="0" fontId="6" fillId="10" borderId="2" xfId="0" applyFont="1" applyFill="1" applyBorder="1" applyAlignment="1">
      <x:alignment horizontal="left" vertical="top" wrapText="1"/>
    </x:xf>
    <x:xf numFmtId="0" fontId="6" fillId="9" borderId="2" xfId="0" applyFont="1" applyFill="1" applyBorder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4" fillId="6" borderId="1" xfId="0" applyFont="1" applyFill="1" applyBorder="1" applyAlignment="1">
      <x:alignment horizontal="left" vertical="top" wrapText="1"/>
    </x:xf>
    <x:xf numFmtId="0" fontId="0" fillId="0" borderId="0" xfId="0" applyAlignment="1"/>
    <x:xf numFmtId="0" fontId="1" fillId="0" borderId="0" xfId="0" applyFont="1" applyAlignment="1">
      <x:alignment horizontal="left" vertical="center"/>
    </x:xf>
    <x:xf numFmtId="0" fontId="0" fillId="0" borderId="0" xfId="0" applyAlignment="1"/>
    <x:xf numFmtId="0" fontId="2" fillId="0" borderId="0" xfId="0" applyFont="1" applyAlignment="1">
      <x:alignment horizontal="left" vertical="center"/>
    </x:xf>
    <x:xf numFmtId="0" fontId="7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11" fillId="12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12" fillId="10" borderId="2" xfId="0" applyNumberFormat="1" applyFont="1" applyFill="1" applyBorder="1" applyAlignment="1">
      <x:alignment horizontal="left" vertical="center" wrapText="1"/>
    </x:xf>
    <x:xf numFmtId="0" fontId="6" fillId="10" borderId="2" xfId="0" applyNumberFormat="1" applyFont="1" applyFill="1" applyBorder="1" applyAlignment="1">
      <x:alignment horizontal="left" vertical="center" wrapText="1"/>
    </x:xf>
    <x:xf numFmtId="0" fontId="13" fillId="12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wrapText="1"/>
    </x:xf>
    <x:xf numFmtId="0" fontId="11" fillId="12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12" fillId="10" borderId="2" xfId="0" applyNumberFormat="1" applyFont="1" applyFill="1" applyBorder="1" applyAlignment="1">
      <x:alignment horizontal="left" vertical="top" wrapText="1"/>
    </x:xf>
    <x:xf numFmtId="0" fontId="6" fillId="10" borderId="2" xfId="0" applyNumberFormat="1" applyFont="1" applyFill="1" applyBorder="1" applyAlignment="1">
      <x:alignment horizontal="left" vertical="top" wrapText="1"/>
    </x:xf>
    <x:xf numFmtId="0" fontId="13" fillId="12" borderId="2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horizontal="center" vertical="top" wrapText="1"/>
    </x:xf>
    <x:xf numFmtId="0" fontId="0" fillId="10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200" fontId="6" fillId="10" borderId="2" xfId="0" applyNumberFormat="1" applyFont="1" applyFill="1" applyBorder="1" applyAlignment="1">
      <x:alignment horizontal="center" vertical="top" wrapText="1"/>
    </x:xf>
    <x:xf numFmtId="200" fontId="0" fillId="9" borderId="2" xfId="0" applyNumberFormat="1" applyFont="1" applyFill="1" applyBorder="1" applyAlignment="1">
      <x:alignment vertical="top" wrapText="1"/>
    </x:xf>
    <x:xf numFmtId="200" fontId="0" fillId="10" borderId="2" xfId="0" applyNumberFormat="1" applyFont="1" applyFill="1" applyBorder="1" applyAlignment="1">
      <x:alignment vertical="top" wrapText="1"/>
    </x:xf>
    <x:xf numFmtId="0" fontId="14" fillId="14" borderId="2" xfId="0" applyNumberFormat="1" applyFont="1" applyFill="1" applyBorder="1" applyAlignment="1">
      <x:alignment horizontal="center" vertical="center" wrapText="1"/>
    </x:xf>
    <x:xf numFmtId="0" fontId="6" fillId="14" borderId="2" xfId="0" applyNumberFormat="1" applyFont="1" applyFill="1" applyBorder="1" applyAlignment="1">
      <x:alignment horizontal="center" vertical="center" wrapText="1"/>
    </x:xf>
    <x:xf numFmtId="0" fontId="6" fillId="14" borderId="2" xfId="0" applyNumberFormat="1" applyFont="1" applyFill="1" applyBorder="1" applyAlignment="1">
      <x:alignment horizontal="left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left"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14" fillId="14" borderId="2" xfId="0" applyNumberFormat="1" applyFont="1" applyFill="1" applyBorder="1" applyAlignment="1">
      <x:alignment horizontal="center" vertical="top" wrapText="1"/>
    </x:xf>
    <x:xf numFmtId="0" fontId="6" fillId="14" borderId="2" xfId="0" applyNumberFormat="1" applyFont="1" applyFill="1" applyBorder="1" applyAlignment="1">
      <x:alignment horizontal="center" vertical="top" wrapText="1"/>
    </x:xf>
    <x:xf numFmtId="0" fontId="6" fillId="14" borderId="2" xfId="0" applyNumberFormat="1" applyFont="1" applyFill="1" applyBorder="1" applyAlignment="1">
      <x:alignment horizontal="left" vertical="top" wrapText="1"/>
    </x:xf>
    <x:xf numFmtId="0" fontId="6" fillId="9" borderId="2" xfId="0" applyNumberFormat="1" applyFont="1" applyFill="1" applyBorder="1" applyAlignment="1">
      <x:alignment horizontal="center" vertical="top" wrapText="1"/>
    </x:xf>
    <x:xf numFmtId="0" fontId="6" fillId="9" borderId="2" xfId="0" applyNumberFormat="1" applyFont="1" applyFill="1" applyBorder="1" applyAlignment="1">
      <x:alignment horizontal="left" vertical="top" wrapText="1"/>
    </x:xf>
    <x:xf numFmtId="0" fontId="6" fillId="12" borderId="2" xfId="0" applyNumberFormat="1" applyFont="1" applyFill="1" applyBorder="1" applyAlignment="1">
      <x:alignment horizontal="center" vertical="top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200" fontId="6" fillId="14" borderId="2" xfId="0" applyNumberFormat="1" applyFont="1" applyFill="1" applyBorder="1" applyAlignment="1">
      <x:alignment horizontal="center" vertical="top" wrapText="1"/>
    </x:xf>
    <x:xf numFmtId="200" fontId="6" fillId="9" borderId="2" xfId="0" applyNumberFormat="1" applyFont="1" applyFill="1" applyBorder="1" applyAlignment="1">
      <x:alignment horizontal="center" vertical="top" wrapText="1"/>
    </x:xf>
    <x:xf numFmtId="0" fontId="15" fillId="16" borderId="2" xfId="0" applyNumberFormat="1" applyFont="1" applyFill="1" applyBorder="1" applyAlignment="1">
      <x:alignment horizontal="center" vertical="center" wrapText="1"/>
    </x:xf>
    <x:xf numFmtId="0" fontId="6" fillId="16" borderId="2" xfId="0" applyNumberFormat="1" applyFont="1" applyFill="1" applyBorder="1" applyAlignment="1">
      <x:alignment horizontal="center" vertical="center" wrapText="1"/>
    </x:xf>
    <x:xf numFmtId="0" fontId="12" fillId="16" borderId="2" xfId="0" applyNumberFormat="1" applyFont="1" applyFill="1" applyBorder="1" applyAlignment="1">
      <x:alignment horizontal="left" vertical="center" wrapText="1"/>
    </x:xf>
    <x:xf numFmtId="0" fontId="6" fillId="16" borderId="2" xfId="0" applyNumberFormat="1" applyFont="1" applyFill="1" applyBorder="1" applyAlignment="1">
      <x:alignment horizontal="left" vertical="center" wrapText="1"/>
    </x:xf>
    <x:xf numFmtId="0" fontId="15" fillId="16" borderId="2" xfId="0" applyNumberFormat="1" applyFont="1" applyFill="1" applyBorder="1" applyAlignment="1">
      <x:alignment horizontal="center" vertical="top" wrapText="1"/>
    </x:xf>
    <x:xf numFmtId="0" fontId="6" fillId="16" borderId="2" xfId="0" applyNumberFormat="1" applyFont="1" applyFill="1" applyBorder="1" applyAlignment="1">
      <x:alignment horizontal="center" vertical="top" wrapText="1"/>
    </x:xf>
    <x:xf numFmtId="0" fontId="12" fillId="16" borderId="2" xfId="0" applyNumberFormat="1" applyFont="1" applyFill="1" applyBorder="1" applyAlignment="1">
      <x:alignment horizontal="left" vertical="top" wrapText="1"/>
    </x:xf>
    <x:xf numFmtId="0" fontId="6" fillId="16" borderId="2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0" fontId="6" fillId="16" borderId="2" xfId="0" applyNumberFormat="1" applyFont="1" applyFill="1" applyBorder="1" applyAlignment="1">
      <x:alignment horizontal="center" vertical="top" wrapText="1"/>
    </x:xf>
    <x:xf numFmtId="0" fontId="16" fillId="18" borderId="2" xfId="0" applyNumberFormat="1" applyFont="1" applyFill="1" applyBorder="1" applyAlignment="1">
      <x:alignment horizontal="center" vertical="center" wrapText="1"/>
    </x:xf>
    <x:xf numFmtId="0" fontId="6" fillId="18" borderId="2" xfId="0" applyNumberFormat="1" applyFont="1" applyFill="1" applyBorder="1" applyAlignment="1">
      <x:alignment horizontal="center" vertical="center" wrapText="1"/>
    </x:xf>
    <x:xf numFmtId="0" fontId="12" fillId="18" borderId="2" xfId="0" applyNumberFormat="1" applyFont="1" applyFill="1" applyBorder="1" applyAlignment="1">
      <x:alignment horizontal="left" vertical="center" wrapText="1"/>
    </x:xf>
    <x:xf numFmtId="0" fontId="6" fillId="18" borderId="2" xfId="0" applyNumberFormat="1" applyFont="1" applyFill="1" applyBorder="1" applyAlignment="1">
      <x:alignment horizontal="left" vertical="center" wrapText="1"/>
    </x:xf>
    <x:xf numFmtId="0" fontId="16" fillId="18" borderId="2" xfId="0" applyNumberFormat="1" applyFont="1" applyFill="1" applyBorder="1" applyAlignment="1">
      <x:alignment horizontal="center" vertical="top" wrapText="1"/>
    </x:xf>
    <x:xf numFmtId="0" fontId="6" fillId="18" borderId="2" xfId="0" applyNumberFormat="1" applyFont="1" applyFill="1" applyBorder="1" applyAlignment="1">
      <x:alignment horizontal="center" vertical="top" wrapText="1"/>
    </x:xf>
    <x:xf numFmtId="0" fontId="12" fillId="18" borderId="2" xfId="0" applyNumberFormat="1" applyFont="1" applyFill="1" applyBorder="1" applyAlignment="1">
      <x:alignment horizontal="left" vertical="top" wrapText="1"/>
    </x:xf>
    <x:xf numFmtId="0" fontId="6" fillId="18" borderId="2" xfId="0" applyNumberFormat="1" applyFont="1" applyFill="1" applyBorder="1" applyAlignment="1">
      <x:alignment horizontal="left" vertical="top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200" fontId="6" fillId="18" borderId="2" xfId="0" applyNumberFormat="1" applyFont="1" applyFill="1" applyBorder="1" applyAlignment="1">
      <x:alignment horizontal="center" vertical="top" wrapText="1"/>
    </x:xf>
    <x:xf numFmtId="0" fontId="17" fillId="16" borderId="2" xfId="0" applyNumberFormat="1" applyFont="1" applyFill="1" applyBorder="1" applyAlignment="1">
      <x:alignment horizontal="center" vertical="center" wrapText="1"/>
    </x:xf>
    <x:xf numFmtId="0" fontId="18" fillId="12" borderId="2" xfId="0" applyNumberFormat="1" applyFont="1" applyFill="1" applyBorder="1" applyAlignment="1">
      <x:alignment horizontal="center" vertical="center" wrapText="1"/>
    </x:xf>
    <x:xf numFmtId="0" fontId="18" fillId="13" borderId="2" xfId="0" applyNumberFormat="1" applyFont="1" applyFill="1" applyBorder="1" applyAlignment="1">
      <x:alignment horizontal="center" vertical="center" wrapText="1"/>
    </x:xf>
    <x:xf numFmtId="0" fontId="17" fillId="16" borderId="2" xfId="0" applyNumberFormat="1" applyFont="1" applyFill="1" applyBorder="1" applyAlignment="1">
      <x:alignment horizontal="center" vertical="top" wrapText="1"/>
    </x:xf>
    <x:xf numFmtId="0" fontId="18" fillId="12" borderId="2" xfId="0" applyNumberFormat="1" applyFont="1" applyFill="1" applyBorder="1" applyAlignment="1">
      <x:alignment horizontal="center" vertical="top" wrapText="1"/>
    </x:xf>
    <x:xf numFmtId="0" fontId="18" fillId="13" borderId="2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19" fillId="2" borderId="2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left" vertical="center" wrapText="1"/>
    </x:xf>
    <x:xf numFmtId="0" fontId="6" fillId="2" borderId="2" xfId="0" applyNumberFormat="1" applyFont="1" applyFill="1" applyBorder="1" applyAlignment="1">
      <x:alignment horizontal="left" vertical="center" wrapText="1"/>
    </x:xf>
    <x:xf numFmtId="0" fontId="19" fillId="2" borderId="2" xfId="0" applyNumberFormat="1" applyFont="1" applyFill="1" applyBorder="1" applyAlignment="1">
      <x:alignment horizontal="center" vertical="top" wrapText="1"/>
    </x:xf>
    <x:xf numFmtId="0" fontId="12" fillId="2" borderId="2" xfId="0" applyNumberFormat="1" applyFont="1" applyFill="1" applyBorder="1" applyAlignment="1">
      <x:alignment horizontal="left" vertical="top" wrapText="1"/>
    </x:xf>
    <x:xf numFmtId="0" fontId="6" fillId="2" borderId="2" xfId="0" applyNumberFormat="1" applyFont="1" applyFill="1" applyBorder="1" applyAlignment="1">
      <x:alignment horizontal="left" vertical="top" wrapText="1"/>
    </x:xf>
    <x:xf numFmtId="0" fontId="4" fillId="19" borderId="1" xfId="0" applyNumberFormat="1" applyFont="1" applyFill="1" applyBorder="1" applyAlignment="1">
      <x:alignment horizontal="center" vertical="center" wrapText="1"/>
    </x:xf>
    <x:xf numFmtId="200" fontId="6" fillId="2" borderId="2" xfId="0" applyNumberFormat="1" applyFont="1" applyFill="1" applyBorder="1" applyAlignment="1">
      <x:alignment horizontal="center" vertical="top" wrapText="1"/>
    </x:xf>
    <x:xf numFmtId="0" fontId="5" fillId="10" borderId="2" xfId="0" applyNumberFormat="1" applyFont="1" applyFill="1" applyBorder="1" applyAlignment="1">
      <x:alignment horizontal="left" vertical="center" wrapText="1"/>
    </x:xf>
    <x:xf numFmtId="0" fontId="9" fillId="14" borderId="2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left" vertical="top" wrapText="1"/>
    </x:xf>
    <x:xf numFmtId="0" fontId="9" fillId="14" borderId="2" xfId="0" applyNumberFormat="1" applyFont="1" applyFill="1" applyBorder="1" applyAlignment="1">
      <x:alignment horizontal="center" vertical="top" wrapText="1"/>
    </x:xf>
    <x:xf numFmtId="0" fontId="5" fillId="9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2" fillId="4" borderId="1" xfId="0" applyNumberFormat="1" applyFont="1" applyFill="1" applyBorder="1" applyAlignment="1">
      <x:alignment horizontal="center" vertical="center" wrapText="1"/>
    </x:xf>
    <x:xf numFmtId="0" fontId="22" fillId="10" borderId="2" xfId="0" applyNumberFormat="1" applyFont="1" applyFill="1" applyBorder="1" applyAlignment="1">
      <x:alignment horizontal="left" vertical="top" wrapText="1"/>
    </x:xf>
    <x:xf numFmtId="0" fontId="22" fillId="10" borderId="2" xfId="0" applyNumberFormat="1" applyFont="1" applyFill="1" applyBorder="1" applyAlignment="1">
      <x:alignment horizontal="center" vertical="top" wrapText="1"/>
    </x:xf>
    <x:xf numFmtId="0" fontId="22" fillId="14" borderId="2" xfId="0" applyNumberFormat="1" applyFont="1" applyFill="1" applyBorder="1" applyAlignment="1">
      <x:alignment horizontal="center" vertical="top" wrapText="1"/>
    </x:xf>
    <x:xf numFmtId="0" fontId="22" fillId="2" borderId="2" xfId="0" applyNumberFormat="1" applyFont="1" applyFill="1" applyBorder="1" applyAlignment="1">
      <x:alignment horizontal="center" vertical="top" wrapText="1"/>
    </x:xf>
    <x:xf numFmtId="0" fontId="22" fillId="9" borderId="2" xfId="0" applyNumberFormat="1" applyFont="1" applyFill="1" applyBorder="1" applyAlignment="1">
      <x:alignment horizontal="left" vertical="top" wrapText="1"/>
    </x:xf>
    <x:xf numFmtId="0" fontId="22" fillId="9" borderId="2" xfId="0" applyNumberFormat="1" applyFont="1" applyFill="1" applyBorder="1" applyAlignment="1">
      <x:alignment horizontal="center" vertical="top" wrapText="1"/>
    </x:xf>
    <x:xf numFmtId="0" fontId="22" fillId="0" borderId="0" xfId="0" applyNumberFormat="1" applyFont="1" applyFill="1" applyBorder="1" applyAlignment="1">
      <x:alignment vertical="top" wrapText="1"/>
    </x:xf>
    <x:xf numFmtId="0" fontId="22" fillId="4" borderId="1" xfId="0" applyNumberFormat="1" applyFont="1" applyFill="1" applyBorder="1" applyAlignment="1">
      <x:alignment horizontal="center" vertical="top" wrapText="1"/>
    </x:xf>
    <x:xf numFmtId="0" fontId="22" fillId="6" borderId="1" xfId="0" applyNumberFormat="1" applyFont="1" applyFill="1" applyBorder="1" applyAlignment="1">
      <x:alignment horizontal="left" vertical="top" wrapText="1"/>
    </x:xf>
    <x:xf numFmtId="0" fontId="22" fillId="6" borderId="1" xfId="0" applyNumberFormat="1" applyFont="1" applyFill="1" applyBorder="1" applyAlignment="1">
      <x:alignment horizontal="center" vertical="top" wrapText="1"/>
    </x:xf>
    <x:xf numFmtId="0" fontId="22" fillId="4" borderId="1" xfId="0" applyNumberFormat="1" applyFont="1" applyFill="1" applyBorder="1" applyAlignment="1">
      <x:alignment horizontal="left" vertical="top" wrapText="1"/>
    </x:xf>
    <x:xf numFmtId="0" fontId="22" fillId="14" borderId="2" xfId="0" applyNumberFormat="1" applyFont="1" applyFill="1" applyBorder="1" applyAlignment="1">
      <x:alignment horizontal="left" vertical="top" wrapText="1"/>
    </x:xf>
    <x:xf numFmtId="0" fontId="22" fillId="2" borderId="2" xfId="0" applyNumberFormat="1" applyFont="1" applyFill="1" applyBorder="1" applyAlignment="1">
      <x:alignment horizontal="left" vertical="top" wrapText="1"/>
    </x:xf>
    <x:xf numFmtId="0" fontId="22" fillId="0" borderId="0" xfId="0" applyNumberFormat="1" applyFont="1" applyFill="1" applyBorder="1" applyAlignment="1">
      <x:alignment horizontal="left" vertical="top" wrapText="1"/>
    </x:xf>
    <x:xf numFmtId="0" fontId="22" fillId="4" borderId="3" xfId="0" applyNumberFormat="1" applyFont="1" applyFill="1" applyBorder="1" applyAlignment="1">
      <x:alignment horizontal="left" vertical="top" wrapText="1"/>
    </x:xf>
    <x:xf numFmtId="0" fontId="22" fillId="10" borderId="3" xfId="0" applyNumberFormat="1" applyFont="1" applyFill="1" applyBorder="1" applyAlignment="1">
      <x:alignment horizontal="left" vertical="top" wrapText="1"/>
    </x:xf>
    <x:xf numFmtId="0" fontId="22" fillId="14" borderId="3" xfId="0" applyNumberFormat="1" applyFont="1" applyFill="1" applyBorder="1" applyAlignment="1">
      <x:alignment horizontal="left" vertical="top" wrapText="1"/>
    </x:xf>
    <x:xf numFmtId="0" fontId="22" fillId="2" borderId="3" xfId="0" applyNumberFormat="1" applyFont="1" applyFill="1" applyBorder="1" applyAlignment="1">
      <x:alignment horizontal="left" vertical="top" wrapText="1"/>
    </x:xf>
    <x:xf numFmtId="0" fontId="22" fillId="9" borderId="3" xfId="0" applyNumberFormat="1" applyFont="1" applyFill="1" applyBorder="1" applyAlignment="1">
      <x:alignment horizontal="left" vertical="top" wrapText="1"/>
    </x:xf>
    <x:xf numFmtId="0" fontId="22" fillId="0" borderId="3" xfId="0" applyNumberFormat="1" applyFont="1" applyFill="1" applyBorder="1" applyAlignment="1">
      <x:alignment horizontal="left" vertical="top" wrapText="1"/>
    </x:xf>
    <x:xf numFmtId="0" fontId="22" fillId="6" borderId="3" xfId="0" applyNumberFormat="1" applyFont="1" applyFill="1" applyBorder="1" applyAlignment="1">
      <x:alignment horizontal="left" vertical="top" wrapText="1"/>
    </x:xf>
    <x:xf numFmtId="0" fontId="22" fillId="21" borderId="3" xfId="0" applyNumberFormat="1" applyFont="1" applyFill="1" applyBorder="1" applyAlignment="1">
      <x:alignment horizontal="left" vertical="top" wrapText="1"/>
    </x:xf>
    <x:xf numFmtId="0" fontId="23" fillId="21" borderId="3" xfId="0" applyNumberFormat="1" applyFont="1" applyFill="1" applyBorder="1" applyAlignment="1">
      <x:alignment horizontal="left" vertical="top" wrapText="1"/>
    </x:xf>
    <x:xf numFmtId="0" fontId="23" fillId="21" borderId="3" xfId="0" applyNumberFormat="1" applyFont="1" applyFill="1" applyBorder="1" applyAlignment="1">
      <x:alignment horizontal="center" vertical="top" wrapText="1"/>
    </x:xf>
    <x:xf numFmtId="0" fontId="23" fillId="21" borderId="3" xfId="0" applyNumberFormat="1" applyFont="1" applyFill="1" applyBorder="1" applyAlignment="1">
      <x:alignment horizontal="center" vertical="center" wrapText="1"/>
    </x:xf>
    <x:xf numFmtId="0" fontId="22" fillId="22" borderId="3" xfId="0" applyNumberFormat="1" applyFont="1" applyFill="1" applyBorder="1" applyAlignment="1">
      <x:alignment horizontal="left" vertical="top" wrapText="1"/>
    </x:xf>
    <x:xf numFmtId="0" fontId="24" fillId="22" borderId="3" xfId="0" applyNumberFormat="1" applyFont="1" applyFill="1" applyBorder="1" applyAlignment="1">
      <x:alignment horizontal="left" vertical="top" wrapText="1"/>
    </x:xf>
    <x:xf numFmtId="0" fontId="22" fillId="23" borderId="3" xfId="0" applyNumberFormat="1" applyFont="1" applyFill="1" applyBorder="1" applyAlignment="1">
      <x:alignment horizontal="left" vertical="top" wrapText="1"/>
    </x:xf>
    <x:xf numFmtId="0" fontId="22" fillId="24" borderId="3" xfId="0" applyNumberFormat="1" applyFont="1" applyFill="1" applyBorder="1" applyAlignment="1">
      <x:alignment horizontal="left" vertical="top" wrapText="1"/>
    </x:xf>
    <x:xf numFmtId="0" fontId="22" fillId="25" borderId="3" xfId="0" applyNumberFormat="1" applyFont="1" applyFill="1" applyBorder="1" applyAlignment="1">
      <x:alignment horizontal="left" vertical="top" wrapText="1"/>
    </x:xf>
    <x:xf numFmtId="0" fontId="22" fillId="23" borderId="3" xfId="0" applyNumberFormat="1" applyFont="1" applyFill="1" applyBorder="1" applyAlignment="1">
      <x:alignment horizontal="center" vertical="top" wrapText="1"/>
    </x:xf>
    <x:xf numFmtId="0" fontId="22" fillId="24" borderId="3" xfId="0" applyNumberFormat="1" applyFont="1" applyFill="1" applyBorder="1" applyAlignment="1">
      <x:alignment horizontal="center" vertical="top" wrapText="1"/>
    </x:xf>
    <x:xf numFmtId="0" fontId="22" fillId="22" borderId="3" xfId="0" applyNumberFormat="1" applyFont="1" applyFill="1" applyBorder="1" applyAlignment="1">
      <x:alignment horizontal="center" vertical="top" wrapText="1"/>
    </x:xf>
    <x:xf numFmtId="0" fontId="22" fillId="25" borderId="3" xfId="0" applyNumberFormat="1" applyFont="1" applyFill="1" applyBorder="1" applyAlignment="1">
      <x:alignment horizontal="center" vertical="top" wrapText="1"/>
    </x:xf>
    <x:xf numFmtId="0" fontId="22" fillId="26" borderId="3" xfId="0" applyNumberFormat="1" applyFont="1" applyFill="1" applyBorder="1" applyAlignment="1">
      <x:alignment horizontal="left" vertical="top" wrapText="1"/>
    </x:xf>
    <x:xf numFmtId="0" fontId="24" fillId="26" borderId="3" xfId="0" applyNumberFormat="1" applyFont="1" applyFill="1" applyBorder="1" applyAlignment="1">
      <x:alignment horizontal="left" vertical="top" wrapText="1"/>
    </x:xf>
    <x:xf numFmtId="0" fontId="22" fillId="26" borderId="3" xfId="0" applyNumberFormat="1" applyFont="1" applyFill="1" applyBorder="1" applyAlignment="1">
      <x:alignment horizontal="center" vertical="top" wrapText="1"/>
    </x:xf>
    <x:xf numFmtId="0" fontId="22" fillId="0" borderId="0" xfId="0" applyNumberFormat="1" applyFont="1" applyFill="1" applyBorder="1"/>
    <x:xf numFmtId="0" fontId="22" fillId="4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vertical="center" wrapText="1"/>
    </x:xf>
    <x:xf numFmtId="0" fontId="22" fillId="4" borderId="0" xfId="0" applyNumberFormat="1" applyFont="1" applyFill="1" applyBorder="1" applyAlignment="1">
      <x:alignment vertical="center" wrapText="1"/>
    </x:xf>
    <x:xf numFmtId="0" fontId="22" fillId="4" borderId="3" xfId="0" applyNumberFormat="1" applyFont="1" applyFill="1" applyBorder="1" applyAlignment="1">
      <x:alignment vertical="center" wrapText="1"/>
    </x:xf>
    <x:xf numFmtId="0" fontId="22" fillId="0" borderId="3" xfId="0" applyNumberFormat="1" applyFont="1" applyFill="1" applyBorder="1" applyAlignment="1">
      <x:alignment vertical="center" wrapText="1"/>
    </x:xf>
    <x:xf numFmtId="0" fontId="22" fillId="21" borderId="3" xfId="0" applyNumberFormat="1" applyFont="1" applyFill="1" applyBorder="1" applyAlignment="1">
      <x:alignment vertical="center" wrapText="1"/>
    </x:xf>
    <x:xf numFmtId="0" fontId="23" fillId="21" borderId="3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22" fillId="26" borderId="3" xfId="0" applyNumberFormat="1" applyFont="1" applyFill="1" applyBorder="1" applyAlignment="1">
      <x:alignment vertical="center" wrapText="1"/>
    </x:xf>
    <x:xf numFmtId="0" fontId="22" fillId="27" borderId="3" xfId="0" applyNumberFormat="1" applyFont="1" applyFill="1" applyBorder="1" applyAlignment="1">
      <x:alignment vertical="center" wrapText="1"/>
    </x:xf>
    <x:xf numFmtId="0" fontId="22" fillId="22" borderId="3" xfId="0" applyNumberFormat="1" applyFont="1" applyFill="1" applyBorder="1" applyAlignment="1">
      <x:alignment vertical="center" wrapText="1"/>
    </x:xf>
    <x:xf numFmtId="0" fontId="24" fillId="22" borderId="3" xfId="0" applyNumberFormat="1" applyFont="1" applyFill="1" applyBorder="1" applyAlignment="1">
      <x:alignment vertical="center" wrapText="1"/>
    </x:xf>
  </x:cellXfs>
  <x:cellStyles count="1">
    <x:cellStyle name="Bình thường" xfId="0"/>
  </x:cellStyles>
  <x:dxfs count="129"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D6EEF0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079fe1b864509" /><Relationship Type="http://schemas.openxmlformats.org/officeDocument/2006/relationships/theme" Target="/xl/theme/theme1.xml" Id="Rec7c0a88f6724db1" /><Relationship Type="http://schemas.openxmlformats.org/officeDocument/2006/relationships/sharedStrings" Target="/xl/sharedStrings.xml" Id="R4838e28ddfe74dde" /><Relationship Type="http://schemas.openxmlformats.org/officeDocument/2006/relationships/worksheet" Target="/xl/worksheets/sheet1.xml" Id="Rd8b39b6e1e844598" /><Relationship Type="http://schemas.openxmlformats.org/officeDocument/2006/relationships/worksheet" Target="/xl/worksheets/sheet2.xml" Id="Rda1e6b427eaf4a89" /><Relationship Type="http://schemas.openxmlformats.org/officeDocument/2006/relationships/worksheet" Target="/xl/worksheets/sheet3.xml" Id="Rb351ad1ab3ca43d0" /><Relationship Type="http://schemas.openxmlformats.org/officeDocument/2006/relationships/worksheet" Target="/xl/worksheets/sheet4.xml" Id="Rb512fbc9058e4e9a" /><Relationship Type="http://schemas.openxmlformats.org/officeDocument/2006/relationships/worksheet" Target="/xl/worksheets/sheet5.xml" Id="Rfdf217a098fd4ab4" /><Relationship Type="http://schemas.openxmlformats.org/officeDocument/2006/relationships/worksheet" Target="/xl/worksheets/sheet6.xml" Id="R02c38ef56d554651" /><Relationship Type="http://schemas.openxmlformats.org/officeDocument/2006/relationships/worksheet" Target="/xl/worksheets/sheet7.xml" Id="Rccc81415e2f2456f" /><Relationship Type="http://schemas.openxmlformats.org/officeDocument/2006/relationships/worksheet" Target="/xl/worksheets/sheet8.xml" Id="R0e0263ab14794c29" /><Relationship Type="http://schemas.openxmlformats.org/officeDocument/2006/relationships/worksheet" Target="/xl/worksheets/sheet9.xml" Id="Rb672c66c9d2f4a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RowHeight="14.25"/>
  <x:cols>
    <x:col min="1" max="1" width="2" customWidth="1"/>
    <x:col min="2" max="2" width="22" customWidth="1"/>
    <x:col min="3" max="3" width="40.28515625" customWidth="1"/>
    <x:col min="4" max="7" width="14" customWidth="1"/>
    <x:col min="8" max="8" width="22" customWidth="1"/>
    <x:col min="9" max="9" width="2" customWidth="1"/>
  </x:cols>
  <x:sheetData>
    <x:row r="1" ht="20.649999618530273">
      <x:c r="B1" s="66" t="s">
        <x:v>0</x:v>
      </x:c>
      <x:c r="C1" s="67"/>
      <x:c r="D1" s="67"/>
      <x:c r="E1" s="67"/>
      <x:c r="F1" s="67"/>
      <x:c r="G1" s="67"/>
      <x:c r="H1" s="67"/>
    </x:row>
    <x:row r="2">
      <x:c r="B2" s="68" t="s">
        <x:v>1</x:v>
      </x:c>
      <x:c r="C2" s="67"/>
      <x:c r="D2" s="67"/>
      <x:c r="E2" s="67"/>
      <x:c r="F2" s="67"/>
      <x:c r="G2" s="67"/>
      <x:c r="H2" s="67"/>
    </x:row>
    <x:row r="4"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  <x:c r="G4" s="1" t="s">
        <x:v>7</x:v>
      </x:c>
      <x:c r="H4" s="60"/>
    </x:row>
    <x:row r="5" ht="20.649999618530273">
      <x:c r="B5" s="55" t="n">
        <x:f>COUNTA(Scope!B5:B200)-COUNTBLANK(Scope!B5:B200)</x:f>
        <x:v>-132</x:v>
      </x:c>
      <x:c r="C5" s="56" t="n">
        <x:f>COUNTIF(Scope!F5:F200,"Done")+COUNTIF(Scope!F5:F200,"Completed")</x:f>
        <x:v>0</x:v>
      </x:c>
      <x:c r="D5" s="53" t="n">
        <x:f>COUNTIF(Scope!F5:F200,"In Progress")</x:f>
        <x:v>0</x:v>
      </x:c>
      <x:c r="E5" s="57" t="n">
        <x:f>COUNTIF(Scope!F5:F200,"Not Started")+COUNTBLANK(Scope!F5:F200)-1</x:f>
        <x:v>187</x:v>
      </x:c>
      <x:c r="F5" s="52" t="n">
        <x:f>COUNTIF(Issues!H5:H200,"Open")</x:f>
        <x:v>0</x:v>
      </x:c>
      <x:c r="G5" s="52" t="n">
        <x:f>COUNTIF(Defects!H5:H200,"Open")+COUNTIF(Defects!H5:H200,"Pending")</x:f>
        <x:v>0</x:v>
      </x:c>
      <x:c r="H5" s="60"/>
    </x:row>
    <x:row r="7" ht="23.25">
      <x:c r="B7" s="1" t="s">
        <x:v>6</x:v>
      </x:c>
      <x:c r="C7" s="1" t="s">
        <x:v>7</x:v>
      </x:c>
      <x:c r="D7" s="1" t="s">
        <x:v>8</x:v>
      </x:c>
      <x:c r="E7" s="1" t="s">
        <x:v>9</x:v>
      </x:c>
      <x:c r="F7" s="60"/>
      <x:c r="G7" s="60"/>
      <x:c r="H7" s="60"/>
    </x:row>
    <x:row r="8" ht="20.649999618530273">
      <x:c r="B8" s="52" t="n">
        <x:f>COUNTIF(Issues!H5:H200,"Open")</x:f>
        <x:v>0</x:v>
      </x:c>
      <x:c r="C8" s="52" t="n">
        <x:f>COUNTIF(Defects!H5:H200,"Open")+COUNTIF(Defects!H5:H200,"Pending")</x:f>
        <x:v>0</x:v>
      </x:c>
      <x:c r="D8" s="53" t="n">
        <x:f>COUNTIF('Q&amp;A'!G5:G200,"Open")</x:f>
        <x:v>0</x:v>
      </x:c>
      <x:c r="E8" s="54" t="n">
        <x:f>COUNTIF(Risks!D5:D200,"High")+COUNTIF(Risks!D5:D200,"Critical")</x:f>
        <x:v>1</x:v>
      </x:c>
      <x:c r="F8" s="60"/>
      <x:c r="G8" s="60"/>
      <x:c r="H8" s="60"/>
    </x:row>
    <x:row r="11" ht="15.399999618530273">
      <x:c r="B11" s="2" t="s">
        <x:v>10</x:v>
      </x:c>
      <x:c r="C11" s="60"/>
      <x:c r="D11" s="60"/>
      <x:c r="E11" s="60"/>
      <x:c r="F11" s="60"/>
      <x:c r="G11" s="60"/>
      <x:c r="H11" s="60"/>
    </x:row>
    <x:row r="12">
      <x:c r="B12" s="10" t="s">
        <x:v>11</x:v>
      </x:c>
      <x:c r="C12" s="10" t="s">
        <x:v>12</x:v>
      </x:c>
      <x:c r="D12" s="10" t="s">
        <x:v>13</x:v>
      </x:c>
      <x:c r="E12" s="10" t="s">
        <x:v>14</x:v>
      </x:c>
      <x:c r="F12" s="10" t="s">
        <x:v>15</x:v>
      </x:c>
      <x:c r="G12" s="60"/>
      <x:c r="H12" s="60"/>
    </x:row>
    <x:row r="13" ht="15">
      <x:c r="B13" s="7" t="s">
        <x:v>16</x:v>
      </x:c>
      <x:c r="C13" s="11" t="s">
        <x:v>17</x:v>
      </x:c>
      <x:c r="D13" s="8" t="s">
        <x:v>18</x:v>
      </x:c>
      <x:c r="E13" s="11"/>
      <x:c r="F13" s="8"/>
      <x:c r="G13" s="60"/>
      <x:c r="H13" s="60"/>
    </x:row>
    <x:row r="14">
      <x:c r="B14" s="4" t="s">
        <x:v>19</x:v>
      </x:c>
      <x:c r="C14" s="12" t="s">
        <x:v>20</x:v>
      </x:c>
      <x:c r="D14" s="5" t="s">
        <x:v>21</x:v>
      </x:c>
      <x:c r="E14" s="12"/>
      <x:c r="F14" s="5"/>
      <x:c r="G14" s="60"/>
      <x:c r="H14" s="60"/>
    </x:row>
    <x:row r="15">
      <x:c r="B15" s="7" t="s">
        <x:v>22</x:v>
      </x:c>
      <x:c r="C15" s="11" t="s">
        <x:v>23</x:v>
      </x:c>
      <x:c r="D15" s="8" t="s">
        <x:v>24</x:v>
      </x:c>
      <x:c r="E15" s="11"/>
      <x:c r="F15" s="8"/>
      <x:c r="G15" s="60"/>
      <x:c r="H15" s="60"/>
    </x:row>
    <x:row r="16">
      <x:c r="B16" s="4" t="s">
        <x:v>25</x:v>
      </x:c>
      <x:c r="C16" s="12" t="s">
        <x:v>26</x:v>
      </x:c>
      <x:c r="D16" s="5" t="s">
        <x:v>27</x:v>
      </x:c>
      <x:c r="E16" s="12"/>
      <x:c r="F16" s="5"/>
      <x:c r="G16" s="60"/>
      <x:c r="H16" s="60"/>
    </x:row>
    <x:row r="17">
      <x:c r="B17" s="7" t="s">
        <x:v>28</x:v>
      </x:c>
      <x:c r="C17" s="11" t="s">
        <x:v>29</x:v>
      </x:c>
      <x:c r="D17" s="8" t="s">
        <x:v>30</x:v>
      </x:c>
      <x:c r="E17" s="11"/>
      <x:c r="F17" s="8"/>
      <x:c r="G17" s="60"/>
      <x:c r="H17" s="60"/>
    </x:row>
    <x:row r="18">
      <x:c r="B18" s="4" t="s">
        <x:v>31</x:v>
      </x:c>
      <x:c r="C18" s="12" t="s">
        <x:v>32</x:v>
      </x:c>
      <x:c r="D18" s="5" t="s">
        <x:v>33</x:v>
      </x:c>
      <x:c r="E18" s="12"/>
      <x:c r="F18" s="5"/>
      <x:c r="G18" s="60"/>
      <x:c r="H18" s="60"/>
    </x:row>
    <x:row r="20" ht="15.399999618530273">
      <x:c r="B20" s="2" t="s">
        <x:v>34</x:v>
      </x:c>
      <x:c r="C20" s="60"/>
      <x:c r="D20" s="60"/>
      <x:c r="E20" s="60"/>
      <x:c r="F20" s="60"/>
      <x:c r="G20" s="60"/>
      <x:c r="H20" s="60"/>
    </x:row>
    <x:row r="21">
      <x:c r="B21" s="3" t="s">
        <x:v>35</x:v>
      </x:c>
      <x:c r="C21" s="3" t="s">
        <x:v>36</x:v>
      </x:c>
      <x:c r="D21" s="3" t="s">
        <x:v>37</x:v>
      </x:c>
      <x:c r="E21" s="3" t="s">
        <x:v>38</x:v>
      </x:c>
      <x:c r="F21" s="3" t="s">
        <x:v>4</x:v>
      </x:c>
      <x:c r="G21" s="3" t="s">
        <x:v>39</x:v>
      </x:c>
      <x:c r="H21" s="60"/>
    </x:row>
    <x:row r="22">
      <x:c r="B22" s="4" t="s">
        <x:v>40</x:v>
      </x:c>
      <x:c r="C22" s="5" t="n">
        <x:f>COUNTIF(WBS!$H$5:$H$68,B22)</x:f>
        <x:v>23</x:v>
      </x:c>
      <x:c r="D22" s="5" t="n">
        <x:f>SUMIF(WBS!$H$5:$H$68,B22,WBS!$G$5:$G$68)</x:f>
        <x:v>117</x:v>
      </x:c>
      <x:c r="E22" s="5" t="n">
        <x:f>COUNTIFS(WBS!$H$5:$H$68,B22,WBS!$K$5:$K$68,"Done")</x:f>
        <x:v>11</x:v>
      </x:c>
      <x:c r="F22" s="5" t="n">
        <x:f>COUNTIFS(WBS!$H$5:$H$68,B22,WBS!$K$5:$K$68,"In Progress")</x:f>
        <x:v>12</x:v>
      </x:c>
      <x:c r="G22" s="6" t="n">
        <x:f>IF(C22=0,"n.a.",E22/C22)</x:f>
        <x:v>0.4782608695652174</x:v>
      </x:c>
      <x:c r="H22" s="60"/>
    </x:row>
    <x:row r="23">
      <x:c r="B23" s="7" t="s">
        <x:v>41</x:v>
      </x:c>
      <x:c r="C23" s="8" t="n">
        <x:f>COUNTIF(WBS!$H$5:$H$68,B23)</x:f>
        <x:v>15</x:v>
      </x:c>
      <x:c r="D23" s="8" t="n">
        <x:f>SUMIF(WBS!$H$5:$H$68,B23,WBS!$G$5:$G$68)</x:f>
        <x:v>65</x:v>
      </x:c>
      <x:c r="E23" s="8" t="n">
        <x:f>COUNTIFS(WBS!$H$5:$H$68,B23,WBS!$K$5:$K$68,"Done")</x:f>
        <x:v>6</x:v>
      </x:c>
      <x:c r="F23" s="8" t="n">
        <x:f>COUNTIFS(WBS!$H$5:$H$68,B23,WBS!$K$5:$K$68,"In Progress")</x:f>
        <x:v>0</x:v>
      </x:c>
      <x:c r="G23" s="9" t="n">
        <x:f>IF(C23=0,"n.a.",E23/C23)</x:f>
        <x:v>0.4</x:v>
      </x:c>
      <x:c r="H23" s="60"/>
    </x:row>
    <x:row r="24">
      <x:c r="B24" s="4" t="s">
        <x:v>42</x:v>
      </x:c>
      <x:c r="C24" s="5" t="n">
        <x:f>COUNTIF(WBS!$H$5:$H$68,B24)</x:f>
        <x:v>26</x:v>
      </x:c>
      <x:c r="D24" s="5" t="n">
        <x:f>SUMIF(WBS!$H$5:$H$68,B24,WBS!$G$5:$G$68)</x:f>
        <x:v>141</x:v>
      </x:c>
      <x:c r="E24" s="5" t="n">
        <x:f>COUNTIFS(WBS!$H$5:$H$68,B24,WBS!$K$5:$K$68,"Done")</x:f>
        <x:v>0</x:v>
      </x:c>
      <x:c r="F24" s="5" t="n">
        <x:f>COUNTIFS(WBS!$H$5:$H$68,B24,WBS!$K$5:$K$68,"In Progress")</x:f>
        <x:v>0</x:v>
      </x:c>
      <x:c r="G24" s="6" t="n">
        <x:f>IF(C24=0,"n.a.",E24/C24)</x:f>
        <x:v>0</x:v>
      </x:c>
      <x:c r="H24" s="60"/>
    </x:row>
    <x:row r="27">
      <x:c r="B27" s="69" t="s">
        <x:v>43</x:v>
      </x:c>
      <x:c r="C27" s="67"/>
      <x:c r="D27" s="67"/>
      <x:c r="E27" s="67"/>
      <x:c r="F27" s="67"/>
      <x:c r="G27" s="67"/>
      <x:c r="H27" s="67"/>
    </x:row>
  </x:sheetData>
  <x:mergeCells>
    <x:mergeCell ref="B1:H1"/>
    <x:mergeCell ref="B2:H2"/>
    <x:mergeCell ref="B27:H27"/>
  </x:mergeCells>
  <x:conditionalFormatting sqref="F13:F25">
    <x:cfRule type="cellIs" dxfId="128" priority="1" operator="equal">
      <x:formula>"Done"</x:formula>
    </x:cfRule>
    <x:cfRule type="cellIs" dxfId="127" priority="2" operator="equal">
      <x:formula>"Completed"</x:formula>
    </x:cfRule>
    <x:cfRule type="cellIs" dxfId="126" priority="3" operator="equal">
      <x:formula>"Closed"</x:formula>
    </x:cfRule>
    <x:cfRule type="cellIs" dxfId="125" priority="4" operator="equal">
      <x:formula>"Fixed"</x:formula>
    </x:cfRule>
    <x:cfRule type="cellIs" dxfId="124" priority="5" operator="equal">
      <x:formula>"Approved"</x:formula>
    </x:cfRule>
    <x:cfRule type="cellIs" dxfId="123" priority="6" operator="equal">
      <x:formula>"In Progress"</x:formula>
    </x:cfRule>
    <x:cfRule type="cellIs" dxfId="122" priority="7" operator="equal">
      <x:formula>"Open"</x:formula>
    </x:cfRule>
    <x:cfRule type="cellIs" dxfId="121" priority="8" operator="equal">
      <x:formula>"Pending"</x:formula>
    </x:cfRule>
    <x:cfRule type="cellIs" dxfId="120" priority="9" operator="equal">
      <x:formula>"Blocked"</x:formula>
    </x:cfRule>
    <x:cfRule type="cellIs" dxfId="119" priority="10" operator="equal">
      <x:formula>"Cancelled"</x:formula>
    </x:cfRule>
    <x:cfRule type="cellIs" dxfId="118" priority="11" operator="equal">
      <x:formula>"Rejected"</x:formula>
    </x:cfRule>
    <x:cfRule type="cellIs" dxfId="117" priority="12" operator="equal">
      <x:formula>"Submitted"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customWidth="1"/>
    <x:col min="2" max="2" width="40" customWidth="1"/>
    <x:col min="3" max="3" width="27.42578125" customWidth="1"/>
    <x:col min="4" max="4" width="16" customWidth="1"/>
    <x:col min="5" max="5" width="10" customWidth="1"/>
    <x:col min="6" max="6" width="12" customWidth="1"/>
    <x:col min="7" max="7" width="14" customWidth="1"/>
    <x:col min="8" max="8" width="16" customWidth="1"/>
    <x:col min="9" max="9" width="11.7109375" customWidth="1"/>
    <x:col min="10" max="10" width="16" customWidth="1"/>
    <x:col min="11" max="11" width="83.140625" style="63" customWidth="1"/>
  </x:cols>
  <x:sheetData>
    <x:row r="1" ht="28.149999618530273" customHeight="1">
      <x:c r="A1" s="71" t="s">
        <x:v>44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16.149999618530273" customHeight="1">
      <x:c r="A2" s="68" t="s">
        <x:v>45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 ht="6" customHeight="1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 ht="26.100000381469727" customHeight="1">
      <x:c r="A4" s="10" t="s">
        <x:v>46</x:v>
      </x:c>
      <x:c r="B4" s="10" t="s">
        <x:v>47</x:v>
      </x:c>
      <x:c r="C4" s="10" t="s">
        <x:v>14</x:v>
      </x:c>
      <x:c r="D4" s="10" t="s">
        <x:v>48</x:v>
      </x:c>
      <x:c r="E4" s="10" t="s">
        <x:v>13</x:v>
      </x:c>
      <x:c r="F4" s="10" t="s">
        <x:v>39</x:v>
      </x:c>
      <x:c r="G4" s="10" t="s">
        <x:v>15</x:v>
      </x:c>
      <x:c r="H4" s="10" t="s">
        <x:v>49</x:v>
      </x:c>
      <x:c r="I4" s="10" t="s">
        <x:v>50</x:v>
      </x:c>
      <x:c r="J4" s="10" t="s">
        <x:v>51</x:v>
      </x:c>
      <x:c r="K4" s="64" t="s">
        <x:v>52</x:v>
      </x:c>
    </x:row>
    <x:row r="5" ht="20.100000381469727" customHeight="1">
      <x:c r="A5" s="70" t="s">
        <x:v>53</x:v>
      </x:c>
      <x:c r="B5" s="67"/>
      <x:c r="C5" s="67"/>
      <x:c r="D5" s="67"/>
      <x:c r="E5" s="67"/>
      <x:c r="F5" s="67"/>
      <x:c r="G5" s="67"/>
      <x:c r="H5" s="67"/>
      <x:c r="I5" s="67"/>
      <x:c r="J5" s="67"/>
      <x:c r="K5" s="67"/>
    </x:row>
    <x:row r="6" ht="34.5" customHeight="1">
      <x:c r="A6" s="13" t="s">
        <x:v>54</x:v>
      </x:c>
      <x:c r="B6" s="11" t="s">
        <x:v>55</x:v>
      </x:c>
      <x:c r="C6" s="11" t="s">
        <x:v>56</x:v>
      </x:c>
      <x:c r="D6" s="8">
        <x:v>2</x:v>
      </x:c>
      <x:c r="E6" s="8" t="s">
        <x:v>18</x:v>
      </x:c>
      <x:c r="F6" s="14" t="n">
        <x:f>IFERROR(H6/D6*100,"")</x:f>
        <x:v>100</x:v>
      </x:c>
      <x:c r="G6" s="15" t="s">
        <x:v>38</x:v>
      </x:c>
      <x:c r="H6" s="15">
        <x:v>2</x:v>
      </x:c>
      <x:c r="I6" s="11"/>
      <x:c r="J6" s="11" t="s">
        <x:v>57</x:v>
      </x:c>
      <x:c r="K6" s="61"/>
    </x:row>
    <x:row r="7" ht="20.100000381469727" customHeight="1">
      <x:c r="A7" s="70" t="s">
        <x:v>58</x:v>
      </x:c>
      <x:c r="B7" s="67"/>
      <x:c r="C7" s="67"/>
      <x:c r="D7" s="67"/>
      <x:c r="E7" s="67"/>
      <x:c r="F7" s="67"/>
      <x:c r="G7" s="67"/>
      <x:c r="H7" s="67"/>
      <x:c r="I7" s="67"/>
      <x:c r="J7" s="67"/>
      <x:c r="K7" s="67"/>
    </x:row>
    <x:row r="8" ht="22.149999618530273" customHeight="1">
      <x:c r="A8" s="13" t="s">
        <x:v>59</x:v>
      </x:c>
      <x:c r="B8" s="11" t="s">
        <x:v>60</x:v>
      </x:c>
      <x:c r="C8" s="11" t="s">
        <x:v>61</x:v>
      </x:c>
      <x:c r="D8" s="8">
        <x:v>3</x:v>
      </x:c>
      <x:c r="E8" s="8" t="s">
        <x:v>62</x:v>
      </x:c>
      <x:c r="F8" s="14" t="n">
        <x:f>IFERROR(H8/D8*100,"")</x:f>
        <x:v>100</x:v>
      </x:c>
      <x:c r="G8" s="15" t="s">
        <x:v>38</x:v>
      </x:c>
      <x:c r="H8" s="15">
        <x:v>3</x:v>
      </x:c>
      <x:c r="I8" s="11" t="s">
        <x:v>63</x:v>
      </x:c>
      <x:c r="J8" s="11" t="s">
        <x:v>57</x:v>
      </x:c>
      <x:c r="K8" s="61" t="s">
        <x:v>64</x:v>
      </x:c>
    </x:row>
    <x:row r="9" ht="22.149999618530273" customHeight="1">
      <x:c r="A9" s="13" t="s">
        <x:v>65</x:v>
      </x:c>
      <x:c r="B9" s="11" t="s">
        <x:v>66</x:v>
      </x:c>
      <x:c r="C9" s="11" t="s">
        <x:v>67</x:v>
      </x:c>
      <x:c r="D9" s="8">
        <x:v>4</x:v>
      </x:c>
      <x:c r="E9" s="8" t="s">
        <x:v>21</x:v>
      </x:c>
      <x:c r="F9" s="14" t="n">
        <x:f>IFERROR(H9/D9*100,"")</x:f>
        <x:v>100</x:v>
      </x:c>
      <x:c r="G9" s="15" t="s">
        <x:v>38</x:v>
      </x:c>
      <x:c r="H9" s="15">
        <x:v>4</x:v>
      </x:c>
      <x:c r="I9" s="11" t="s">
        <x:v>54</x:v>
      </x:c>
      <x:c r="J9" s="11" t="s">
        <x:v>57</x:v>
      </x:c>
      <x:c r="K9" s="61" t="s">
        <x:v>68</x:v>
      </x:c>
    </x:row>
    <x:row r="10" ht="22.149999618530273" customHeight="1">
      <x:c r="A10" s="13" t="s">
        <x:v>69</x:v>
      </x:c>
      <x:c r="B10" s="12" t="s">
        <x:v>70</x:v>
      </x:c>
      <x:c r="C10" s="12" t="s">
        <x:v>71</x:v>
      </x:c>
      <x:c r="D10" s="5">
        <x:v>5</x:v>
      </x:c>
      <x:c r="E10" s="5" t="s">
        <x:v>21</x:v>
      </x:c>
      <x:c r="F10" s="14" t="n">
        <x:f>IFERROR(H10/D10*100,"")</x:f>
        <x:v>100</x:v>
      </x:c>
      <x:c r="G10" s="15" t="s">
        <x:v>38</x:v>
      </x:c>
      <x:c r="H10" s="15">
        <x:v>5</x:v>
      </x:c>
      <x:c r="I10" s="11" t="s">
        <x:v>59</x:v>
      </x:c>
      <x:c r="J10" s="11" t="s">
        <x:v>57</x:v>
      </x:c>
      <x:c r="K10" s="61" t="s">
        <x:v>72</x:v>
      </x:c>
    </x:row>
    <x:row r="11" ht="20.100000381469727" customHeight="1">
      <x:c r="A11" s="70" t="s">
        <x:v>73</x:v>
      </x:c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</x:row>
    <x:row r="12" ht="22.149999618530273" customHeight="1">
      <x:c r="A12" s="13" t="s">
        <x:v>74</x:v>
      </x:c>
      <x:c r="B12" s="11" t="s">
        <x:v>75</x:v>
      </x:c>
      <x:c r="C12" s="11" t="s">
        <x:v>71</x:v>
      </x:c>
      <x:c r="D12" s="8">
        <x:v>4</x:v>
      </x:c>
      <x:c r="E12" s="8" t="s">
        <x:v>76</x:v>
      </x:c>
      <x:c r="F12" s="14" t="n">
        <x:f>IFERROR(H12/D12*100,"")</x:f>
        <x:v>100</x:v>
      </x:c>
      <x:c r="G12" s="15" t="s">
        <x:v>38</x:v>
      </x:c>
      <x:c r="H12" s="15">
        <x:v>4</x:v>
      </x:c>
      <x:c r="I12" s="11" t="s">
        <x:v>65</x:v>
      </x:c>
      <x:c r="J12" s="11" t="s">
        <x:v>57</x:v>
      </x:c>
      <x:c r="K12" s="61" t="s">
        <x:v>77</x:v>
      </x:c>
    </x:row>
    <x:row r="13" ht="22.149999618530273" customHeight="1">
      <x:c r="A13" s="13" t="s">
        <x:v>78</x:v>
      </x:c>
      <x:c r="B13" s="12" t="s">
        <x:v>79</x:v>
      </x:c>
      <x:c r="C13" s="11" t="s">
        <x:v>67</x:v>
      </x:c>
      <x:c r="D13" s="5">
        <x:v>4</x:v>
      </x:c>
      <x:c r="E13" s="5" t="s">
        <x:v>76</x:v>
      </x:c>
      <x:c r="F13" s="14" t="n">
        <x:f>IFERROR(H13/D13*100,"")</x:f>
        <x:v>100</x:v>
      </x:c>
      <x:c r="G13" s="15" t="s">
        <x:v>38</x:v>
      </x:c>
      <x:c r="H13" s="15">
        <x:v>4</x:v>
      </x:c>
      <x:c r="I13" s="12" t="s">
        <x:v>80</x:v>
      </x:c>
      <x:c r="J13" s="11" t="s">
        <x:v>57</x:v>
      </x:c>
      <x:c r="K13" s="62" t="s">
        <x:v>81</x:v>
      </x:c>
    </x:row>
    <x:row r="14" ht="22.149999618530273" customHeight="1">
      <x:c r="A14" s="13" t="s">
        <x:v>82</x:v>
      </x:c>
      <x:c r="B14" s="12" t="s">
        <x:v>83</x:v>
      </x:c>
      <x:c r="C14" s="11" t="s">
        <x:v>61</x:v>
      </x:c>
      <x:c r="D14" s="5">
        <x:v>5</x:v>
      </x:c>
      <x:c r="E14" s="5" t="s">
        <x:v>24</x:v>
      </x:c>
      <x:c r="F14" s="14" t="n">
        <x:f>IFERROR(H14/D14*100,"")</x:f>
        <x:v>100</x:v>
      </x:c>
      <x:c r="G14" s="15" t="s">
        <x:v>38</x:v>
      </x:c>
      <x:c r="H14" s="15">
        <x:v>5</x:v>
      </x:c>
      <x:c r="I14" s="12" t="s">
        <x:v>84</x:v>
      </x:c>
      <x:c r="J14" s="11" t="s">
        <x:v>57</x:v>
      </x:c>
      <x:c r="K14" s="62" t="s">
        <x:v>85</x:v>
      </x:c>
    </x:row>
    <x:row r="15" ht="22.149999618530273" customHeight="1">
      <x:c r="A15" s="13" t="s">
        <x:v>86</x:v>
      </x:c>
      <x:c r="B15" s="11" t="s">
        <x:v>87</x:v>
      </x:c>
      <x:c r="C15" s="11" t="s">
        <x:v>56</x:v>
      </x:c>
      <x:c r="D15" s="8">
        <x:v>3</x:v>
      </x:c>
      <x:c r="E15" s="8" t="s">
        <x:v>24</x:v>
      </x:c>
      <x:c r="F15" s="14" t="n">
        <x:f>IFERROR(H15/D15*100,"")</x:f>
        <x:v>100</x:v>
      </x:c>
      <x:c r="G15" s="15" t="s">
        <x:v>38</x:v>
      </x:c>
      <x:c r="H15" s="15">
        <x:v>3</x:v>
      </x:c>
      <x:c r="I15" s="11" t="s">
        <x:v>80</x:v>
      </x:c>
      <x:c r="J15" s="11" t="s">
        <x:v>57</x:v>
      </x:c>
      <x:c r="K15" s="61" t="s">
        <x:v>88</x:v>
      </x:c>
    </x:row>
    <x:row r="16" ht="20.100000381469727" customHeight="1">
      <x:c r="A16" s="70" t="s">
        <x:v>89</x:v>
      </x:c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</x:row>
    <x:row r="17" ht="22.149999618530273" customHeight="1">
      <x:c r="A17" s="13" t="s">
        <x:v>90</x:v>
      </x:c>
      <x:c r="B17" s="11" t="s">
        <x:v>91</x:v>
      </x:c>
      <x:c r="C17" s="11"/>
      <x:c r="D17" s="8"/>
      <x:c r="E17" s="8" t="s">
        <x:v>92</x:v>
      </x:c>
      <x:c r="F17" s="14" t="str">
        <x:f t="shared" ref="F17:F22" si="0">IFERROR(H17/D17*100,"")</x:f>
      </x:c>
      <x:c r="G17" s="15" t="s">
        <x:v>5</x:v>
      </x:c>
      <x:c r="H17" s="15"/>
      <x:c r="I17" s="11"/>
      <x:c r="J17" s="11"/>
      <x:c r="K17" s="61"/>
    </x:row>
    <x:row r="18" ht="22.149999618530273" customHeight="1">
      <x:c r="A18" s="13" t="s">
        <x:v>93</x:v>
      </x:c>
      <x:c r="B18" s="12" t="s">
        <x:v>94</x:v>
      </x:c>
      <x:c r="C18" s="12"/>
      <x:c r="D18" s="5"/>
      <x:c r="E18" s="5" t="s">
        <x:v>92</x:v>
      </x:c>
      <x:c r="F18" s="14" t="str">
        <x:f t="shared" si="0"/>
      </x:c>
      <x:c r="G18" s="15" t="s">
        <x:v>5</x:v>
      </x:c>
      <x:c r="H18" s="15"/>
      <x:c r="I18" s="12"/>
      <x:c r="J18" s="12"/>
      <x:c r="K18" s="62"/>
    </x:row>
    <x:row r="19" ht="22.149999618530273" customHeight="1">
      <x:c r="A19" s="13" t="s">
        <x:v>95</x:v>
      </x:c>
      <x:c r="B19" s="11" t="s">
        <x:v>96</x:v>
      </x:c>
      <x:c r="C19" s="11"/>
      <x:c r="D19" s="8"/>
      <x:c r="E19" s="8" t="s">
        <x:v>92</x:v>
      </x:c>
      <x:c r="F19" s="14" t="str">
        <x:f t="shared" si="0"/>
      </x:c>
      <x:c r="G19" s="15" t="s">
        <x:v>5</x:v>
      </x:c>
      <x:c r="H19" s="15"/>
      <x:c r="I19" s="11"/>
      <x:c r="J19" s="11"/>
      <x:c r="K19" s="61"/>
    </x:row>
    <x:row r="20" ht="22.149999618530273" customHeight="1">
      <x:c r="A20" s="13" t="s">
        <x:v>97</x:v>
      </x:c>
      <x:c r="B20" s="12" t="s">
        <x:v>98</x:v>
      </x:c>
      <x:c r="C20" s="12"/>
      <x:c r="D20" s="5"/>
      <x:c r="E20" s="5" t="s">
        <x:v>99</x:v>
      </x:c>
      <x:c r="F20" s="14" t="str">
        <x:f t="shared" si="0"/>
      </x:c>
      <x:c r="G20" s="15" t="s">
        <x:v>5</x:v>
      </x:c>
      <x:c r="H20" s="15"/>
      <x:c r="I20" s="12"/>
      <x:c r="J20" s="12"/>
      <x:c r="K20" s="62"/>
    </x:row>
    <x:row r="21" ht="22.149999618530273" customHeight="1">
      <x:c r="A21" s="13" t="s">
        <x:v>100</x:v>
      </x:c>
      <x:c r="B21" s="11" t="s">
        <x:v>101</x:v>
      </x:c>
      <x:c r="C21" s="11"/>
      <x:c r="D21" s="8"/>
      <x:c r="E21" s="8" t="s">
        <x:v>99</x:v>
      </x:c>
      <x:c r="F21" s="14" t="str">
        <x:f t="shared" si="0"/>
      </x:c>
      <x:c r="G21" s="15" t="s">
        <x:v>5</x:v>
      </x:c>
      <x:c r="H21" s="15"/>
      <x:c r="I21" s="11"/>
      <x:c r="J21" s="11"/>
      <x:c r="K21" s="61"/>
    </x:row>
    <x:row r="22" ht="22.149999618530273" customHeight="1">
      <x:c r="A22" s="13" t="s">
        <x:v>102</x:v>
      </x:c>
      <x:c r="B22" s="12" t="s">
        <x:v>103</x:v>
      </x:c>
      <x:c r="C22" s="12"/>
      <x:c r="D22" s="5"/>
      <x:c r="E22" s="5" t="s">
        <x:v>99</x:v>
      </x:c>
      <x:c r="F22" s="14" t="str">
        <x:f t="shared" si="0"/>
      </x:c>
      <x:c r="G22" s="15" t="s">
        <x:v>5</x:v>
      </x:c>
      <x:c r="H22" s="15"/>
      <x:c r="I22" s="12"/>
      <x:c r="J22" s="12"/>
      <x:c r="K22" s="62"/>
    </x:row>
    <x:row r="23" ht="20.100000381469727" customHeight="1">
      <x:c r="A23" s="70" t="s">
        <x:v>104</x:v>
      </x:c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 ht="22.149999618530273" customHeight="1">
      <x:c r="A24" s="13" t="s">
        <x:v>105</x:v>
      </x:c>
      <x:c r="B24" s="11" t="s">
        <x:v>106</x:v>
      </x:c>
      <x:c r="C24" s="11"/>
      <x:c r="D24" s="8"/>
      <x:c r="E24" s="8" t="s">
        <x:v>107</x:v>
      </x:c>
      <x:c r="F24" s="14" t="str">
        <x:f t="shared" ref="F24:F29" si="1">IFERROR(H24/D24*100,"")</x:f>
      </x:c>
      <x:c r="G24" s="15" t="s">
        <x:v>5</x:v>
      </x:c>
      <x:c r="H24" s="15"/>
      <x:c r="I24" s="11"/>
      <x:c r="J24" s="11"/>
      <x:c r="K24" s="61"/>
    </x:row>
    <x:row r="25" ht="22.149999618530273" customHeight="1">
      <x:c r="A25" s="13" t="s">
        <x:v>108</x:v>
      </x:c>
      <x:c r="B25" s="12" t="s">
        <x:v>109</x:v>
      </x:c>
      <x:c r="C25" s="12"/>
      <x:c r="D25" s="5"/>
      <x:c r="E25" s="5" t="s">
        <x:v>107</x:v>
      </x:c>
      <x:c r="F25" s="14" t="str">
        <x:f t="shared" si="1"/>
      </x:c>
      <x:c r="G25" s="15" t="s">
        <x:v>5</x:v>
      </x:c>
      <x:c r="H25" s="15"/>
      <x:c r="I25" s="12"/>
      <x:c r="J25" s="12"/>
      <x:c r="K25" s="62"/>
    </x:row>
    <x:row r="26" ht="22.149999618530273" customHeight="1">
      <x:c r="A26" s="13" t="s">
        <x:v>110</x:v>
      </x:c>
      <x:c r="B26" s="11" t="s">
        <x:v>111</x:v>
      </x:c>
      <x:c r="C26" s="11"/>
      <x:c r="D26" s="8"/>
      <x:c r="E26" s="8" t="s">
        <x:v>107</x:v>
      </x:c>
      <x:c r="F26" s="14" t="str">
        <x:f t="shared" si="1"/>
      </x:c>
      <x:c r="G26" s="15" t="s">
        <x:v>5</x:v>
      </x:c>
      <x:c r="H26" s="15"/>
      <x:c r="I26" s="11"/>
      <x:c r="J26" s="11"/>
      <x:c r="K26" s="61"/>
    </x:row>
    <x:row r="27" ht="22.149999618530273" customHeight="1">
      <x:c r="A27" s="13" t="s">
        <x:v>112</x:v>
      </x:c>
      <x:c r="B27" s="12" t="s">
        <x:v>113</x:v>
      </x:c>
      <x:c r="C27" s="12"/>
      <x:c r="D27" s="5"/>
      <x:c r="E27" s="5" t="s">
        <x:v>114</x:v>
      </x:c>
      <x:c r="F27" s="14" t="str">
        <x:f t="shared" si="1"/>
      </x:c>
      <x:c r="G27" s="15" t="s">
        <x:v>5</x:v>
      </x:c>
      <x:c r="H27" s="15"/>
      <x:c r="I27" s="12"/>
      <x:c r="J27" s="12"/>
      <x:c r="K27" s="62"/>
    </x:row>
    <x:row r="28" ht="22.149999618530273" customHeight="1">
      <x:c r="A28" s="13" t="s">
        <x:v>115</x:v>
      </x:c>
      <x:c r="B28" s="11" t="s">
        <x:v>116</x:v>
      </x:c>
      <x:c r="C28" s="11"/>
      <x:c r="D28" s="8"/>
      <x:c r="E28" s="8" t="s">
        <x:v>114</x:v>
      </x:c>
      <x:c r="F28" s="14" t="str">
        <x:f t="shared" si="1"/>
      </x:c>
      <x:c r="G28" s="15" t="s">
        <x:v>5</x:v>
      </x:c>
      <x:c r="H28" s="15"/>
      <x:c r="I28" s="11"/>
      <x:c r="J28" s="11"/>
      <x:c r="K28" s="61"/>
    </x:row>
    <x:row r="29" ht="22.149999618530273" customHeight="1">
      <x:c r="A29" s="13" t="s">
        <x:v>117</x:v>
      </x:c>
      <x:c r="B29" s="12" t="s">
        <x:v>118</x:v>
      </x:c>
      <x:c r="C29" s="12"/>
      <x:c r="D29" s="5"/>
      <x:c r="E29" s="5" t="s">
        <x:v>114</x:v>
      </x:c>
      <x:c r="F29" s="14" t="str">
        <x:f t="shared" si="1"/>
      </x:c>
      <x:c r="G29" s="15" t="s">
        <x:v>5</x:v>
      </x:c>
      <x:c r="H29" s="15"/>
      <x:c r="I29" s="12"/>
      <x:c r="J29" s="12"/>
      <x:c r="K29" s="62"/>
    </x:row>
    <x:row r="30" ht="20.100000381469727" customHeight="1">
      <x:c r="A30" s="70" t="s">
        <x:v>119</x:v>
      </x:c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</x:row>
    <x:row r="31" ht="22.149999618530273" customHeight="1">
      <x:c r="A31" s="13" t="s">
        <x:v>120</x:v>
      </x:c>
      <x:c r="B31" s="11" t="s">
        <x:v>121</x:v>
      </x:c>
      <x:c r="C31" s="11"/>
      <x:c r="D31" s="8"/>
      <x:c r="E31" s="8" t="s">
        <x:v>122</x:v>
      </x:c>
      <x:c r="F31" s="14" t="str">
        <x:f t="shared" ref="F31:F36" si="2">IFERROR(H31/D31*100,"")</x:f>
      </x:c>
      <x:c r="G31" s="15" t="s">
        <x:v>5</x:v>
      </x:c>
      <x:c r="H31" s="15"/>
      <x:c r="I31" s="11"/>
      <x:c r="J31" s="11"/>
      <x:c r="K31" s="61"/>
    </x:row>
    <x:row r="32" ht="22.149999618530273" customHeight="1">
      <x:c r="A32" s="13" t="s">
        <x:v>123</x:v>
      </x:c>
      <x:c r="B32" s="12" t="s">
        <x:v>124</x:v>
      </x:c>
      <x:c r="C32" s="12"/>
      <x:c r="D32" s="5"/>
      <x:c r="E32" s="5" t="s">
        <x:v>122</x:v>
      </x:c>
      <x:c r="F32" s="14" t="str">
        <x:f t="shared" si="2"/>
      </x:c>
      <x:c r="G32" s="15" t="s">
        <x:v>5</x:v>
      </x:c>
      <x:c r="H32" s="15"/>
      <x:c r="I32" s="12"/>
      <x:c r="J32" s="12"/>
      <x:c r="K32" s="62"/>
    </x:row>
    <x:row r="33" ht="22.149999618530273" customHeight="1">
      <x:c r="A33" s="13" t="s">
        <x:v>125</x:v>
      </x:c>
      <x:c r="B33" s="11" t="s">
        <x:v>126</x:v>
      </x:c>
      <x:c r="C33" s="11"/>
      <x:c r="D33" s="8"/>
      <x:c r="E33" s="8" t="s">
        <x:v>122</x:v>
      </x:c>
      <x:c r="F33" s="14" t="str">
        <x:f t="shared" si="2"/>
      </x:c>
      <x:c r="G33" s="15" t="s">
        <x:v>5</x:v>
      </x:c>
      <x:c r="H33" s="15"/>
      <x:c r="I33" s="11"/>
      <x:c r="J33" s="11"/>
      <x:c r="K33" s="61"/>
    </x:row>
    <x:row r="34" ht="22.149999618530273" customHeight="1">
      <x:c r="A34" s="13" t="s">
        <x:v>127</x:v>
      </x:c>
      <x:c r="B34" s="12" t="s">
        <x:v>128</x:v>
      </x:c>
      <x:c r="C34" s="12"/>
      <x:c r="D34" s="5"/>
      <x:c r="E34" s="5" t="s">
        <x:v>27</x:v>
      </x:c>
      <x:c r="F34" s="14" t="str">
        <x:f t="shared" si="2"/>
      </x:c>
      <x:c r="G34" s="15" t="s">
        <x:v>5</x:v>
      </x:c>
      <x:c r="H34" s="15"/>
      <x:c r="I34" s="12"/>
      <x:c r="J34" s="12"/>
      <x:c r="K34" s="62"/>
    </x:row>
    <x:row r="35" ht="22.149999618530273" customHeight="1">
      <x:c r="A35" s="13" t="s">
        <x:v>129</x:v>
      </x:c>
      <x:c r="B35" s="11" t="s">
        <x:v>130</x:v>
      </x:c>
      <x:c r="C35" s="11"/>
      <x:c r="D35" s="8"/>
      <x:c r="E35" s="8" t="s">
        <x:v>27</x:v>
      </x:c>
      <x:c r="F35" s="14" t="str">
        <x:f t="shared" si="2"/>
      </x:c>
      <x:c r="G35" s="15" t="s">
        <x:v>5</x:v>
      </x:c>
      <x:c r="H35" s="15"/>
      <x:c r="I35" s="11"/>
      <x:c r="J35" s="11"/>
      <x:c r="K35" s="61"/>
    </x:row>
    <x:row r="36" ht="22.149999618530273" customHeight="1">
      <x:c r="A36" s="13" t="s">
        <x:v>131</x:v>
      </x:c>
      <x:c r="B36" s="12" t="s">
        <x:v>132</x:v>
      </x:c>
      <x:c r="C36" s="12"/>
      <x:c r="D36" s="5"/>
      <x:c r="E36" s="5" t="s">
        <x:v>27</x:v>
      </x:c>
      <x:c r="F36" s="14" t="str">
        <x:f t="shared" si="2"/>
      </x:c>
      <x:c r="G36" s="15" t="s">
        <x:v>5</x:v>
      </x:c>
      <x:c r="H36" s="15"/>
      <x:c r="I36" s="12"/>
      <x:c r="J36" s="12"/>
      <x:c r="K36" s="62"/>
    </x:row>
    <x:row r="37" ht="20.100000381469727" customHeight="1">
      <x:c r="A37" s="70" t="s">
        <x:v>133</x:v>
      </x:c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</x:row>
    <x:row r="38" ht="22.149999618530273" customHeight="1">
      <x:c r="A38" s="13" t="s">
        <x:v>134</x:v>
      </x:c>
      <x:c r="B38" s="11" t="s">
        <x:v>135</x:v>
      </x:c>
      <x:c r="C38" s="11"/>
      <x:c r="D38" s="8"/>
      <x:c r="E38" s="8" t="s">
        <x:v>136</x:v>
      </x:c>
      <x:c r="F38" s="14" t="str">
        <x:f>IFERROR(H38/D38*100,"")</x:f>
      </x:c>
      <x:c r="G38" s="15" t="s">
        <x:v>5</x:v>
      </x:c>
      <x:c r="H38" s="15"/>
      <x:c r="I38" s="11"/>
      <x:c r="J38" s="11"/>
      <x:c r="K38" s="61"/>
    </x:row>
    <x:row r="39" ht="22.149999618530273" customHeight="1">
      <x:c r="A39" s="13" t="s">
        <x:v>137</x:v>
      </x:c>
      <x:c r="B39" s="12" t="s">
        <x:v>138</x:v>
      </x:c>
      <x:c r="C39" s="12"/>
      <x:c r="D39" s="5"/>
      <x:c r="E39" s="5" t="s">
        <x:v>136</x:v>
      </x:c>
      <x:c r="F39" s="14" t="str">
        <x:f>IFERROR(H39/D39*100,"")</x:f>
      </x:c>
      <x:c r="G39" s="15" t="s">
        <x:v>5</x:v>
      </x:c>
      <x:c r="H39" s="15"/>
      <x:c r="I39" s="12"/>
      <x:c r="J39" s="12"/>
      <x:c r="K39" s="62"/>
    </x:row>
    <x:row r="40" ht="22.149999618530273" customHeight="1">
      <x:c r="A40" s="13" t="s">
        <x:v>139</x:v>
      </x:c>
      <x:c r="B40" s="11" t="s">
        <x:v>140</x:v>
      </x:c>
      <x:c r="C40" s="11"/>
      <x:c r="D40" s="8"/>
      <x:c r="E40" s="8" t="s">
        <x:v>30</x:v>
      </x:c>
      <x:c r="F40" s="14" t="str">
        <x:f>IFERROR(H40/D40*100,"")</x:f>
      </x:c>
      <x:c r="G40" s="15" t="s">
        <x:v>5</x:v>
      </x:c>
      <x:c r="H40" s="15"/>
      <x:c r="I40" s="11"/>
      <x:c r="J40" s="11"/>
      <x:c r="K40" s="61"/>
    </x:row>
    <x:row r="41" ht="22.149999618530273" customHeight="1">
      <x:c r="A41" s="13" t="s">
        <x:v>141</x:v>
      </x:c>
      <x:c r="B41" s="12" t="s">
        <x:v>142</x:v>
      </x:c>
      <x:c r="C41" s="12"/>
      <x:c r="D41" s="5"/>
      <x:c r="E41" s="5" t="s">
        <x:v>30</x:v>
      </x:c>
      <x:c r="F41" s="14" t="str">
        <x:f>IFERROR(H41/D41*100,"")</x:f>
      </x:c>
      <x:c r="G41" s="15" t="s">
        <x:v>5</x:v>
      </x:c>
      <x:c r="H41" s="15"/>
      <x:c r="I41" s="12"/>
      <x:c r="J41" s="12"/>
      <x:c r="K41" s="62"/>
    </x:row>
    <x:row r="42" ht="20.100000381469727" customHeight="1">
      <x:c r="A42" s="70" t="s">
        <x:v>143</x:v>
      </x:c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 ht="22.149999618530273" customHeight="1">
      <x:c r="A43" s="13" t="s">
        <x:v>144</x:v>
      </x:c>
      <x:c r="B43" s="11" t="s">
        <x:v>145</x:v>
      </x:c>
      <x:c r="C43" s="11"/>
      <x:c r="D43" s="8"/>
      <x:c r="E43" s="8" t="s">
        <x:v>33</x:v>
      </x:c>
      <x:c r="F43" s="14" t="str">
        <x:f>IFERROR(H43/D43*100,"")</x:f>
      </x:c>
      <x:c r="G43" s="15" t="s">
        <x:v>5</x:v>
      </x:c>
      <x:c r="H43" s="15"/>
      <x:c r="I43" s="11"/>
      <x:c r="J43" s="11"/>
      <x:c r="K43" s="61"/>
    </x:row>
    <x:row r="44" ht="22.149999618530273" customHeight="1">
      <x:c r="A44" s="13" t="s">
        <x:v>146</x:v>
      </x:c>
      <x:c r="B44" s="12" t="s">
        <x:v>147</x:v>
      </x:c>
      <x:c r="C44" s="12"/>
      <x:c r="D44" s="5"/>
      <x:c r="E44" s="5" t="s">
        <x:v>33</x:v>
      </x:c>
      <x:c r="F44" s="14" t="str">
        <x:f>IFERROR(H44/D44*100,"")</x:f>
      </x:c>
      <x:c r="G44" s="15" t="s">
        <x:v>5</x:v>
      </x:c>
      <x:c r="H44" s="15"/>
      <x:c r="I44" s="12"/>
      <x:c r="J44" s="12"/>
      <x:c r="K44" s="62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</x:row>
  </x:sheetData>
  <x:mergeCells>
    <x:mergeCell ref="A42:K42"/>
    <x:mergeCell ref="A5:K5"/>
    <x:mergeCell ref="A1:K1"/>
    <x:mergeCell ref="A23:K23"/>
    <x:mergeCell ref="A37:K37"/>
    <x:mergeCell ref="A30:K30"/>
    <x:mergeCell ref="A7:K7"/>
    <x:mergeCell ref="A2:K2"/>
    <x:mergeCell ref="A11:K11"/>
    <x:mergeCell ref="A16:K16"/>
  </x:mergeCells>
  <x:conditionalFormatting sqref="G5:G45">
    <x:cfRule type="cellIs" dxfId="116" priority="1" operator="equal">
      <x:formula>"Done"</x:formula>
    </x:cfRule>
    <x:cfRule type="cellIs" dxfId="115" priority="2" operator="equal">
      <x:formula>"Completed"</x:formula>
    </x:cfRule>
    <x:cfRule type="cellIs" dxfId="114" priority="3" operator="equal">
      <x:formula>"Closed"</x:formula>
    </x:cfRule>
    <x:cfRule type="cellIs" dxfId="113" priority="4" operator="equal">
      <x:formula>"Fixed"</x:formula>
    </x:cfRule>
    <x:cfRule type="cellIs" dxfId="112" priority="5" operator="equal">
      <x:formula>"Approved"</x:formula>
    </x:cfRule>
    <x:cfRule type="cellIs" dxfId="111" priority="6" operator="equal">
      <x:formula>"In Progress"</x:formula>
    </x:cfRule>
    <x:cfRule type="cellIs" dxfId="110" priority="7" operator="equal">
      <x:formula>"Open"</x:formula>
    </x:cfRule>
    <x:cfRule type="cellIs" dxfId="109" priority="8" operator="equal">
      <x:formula>"Pending"</x:formula>
    </x:cfRule>
    <x:cfRule type="cellIs" dxfId="108" priority="9" operator="equal">
      <x:formula>"Blocked"</x:formula>
    </x:cfRule>
    <x:cfRule type="cellIs" dxfId="107" priority="10" operator="equal">
      <x:formula>"Cancelled"</x:formula>
    </x:cfRule>
    <x:cfRule type="cellIs" dxfId="106" priority="11" operator="equal">
      <x:formula>"Rejected"</x:formula>
    </x:cfRule>
    <x:cfRule type="cellIs" dxfId="105" priority="12" operator="equal">
      <x:formula>"Submitted"</x:formula>
    </x:cfRule>
  </x:conditionalFormatting>
  <x:dataValidations count="1">
    <x:dataValidation type="list" allowBlank="1" sqref="G6 G17:G22 G24:G29 G31:G36 G38:G41 G43:G44 G8:G10 G15 G12:G14">
      <x:formula1>"Not Started,In Progress,Done,Blocked,Deferred"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75623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44" hidden="0" customWidth="1"/>
    <x:col min="2" max="2" width="12" hidden="0" customWidth="1"/>
    <x:col min="3" max="4" width="16" customWidth="1"/>
    <x:col min="5" max="5" width="75" hidden="0" customWidth="1"/>
    <x:col min="6" max="6" width="16" hidden="0" customWidth="1"/>
    <x:col min="7" max="7" width="18" hidden="0" customWidth="1"/>
    <x:col min="8" max="8" width="20" hidden="0" customWidth="1"/>
    <x:col min="9" max="11" width="14" customWidth="1"/>
    <x:col min="12" max="12" width="100" hidden="0" customWidth="1"/>
    <x:col min="3" max="3" width="25" hidden="0" customWidth="1"/>
    <x:col min="4" max="4" width="25" hidden="0" customWidth="1"/>
    <x:col min="9" max="9" width="24" hidden="0" customWidth="1"/>
    <x:col min="10" max="10" width="18" hidden="0" customWidth="1"/>
    <x:col min="11" max="11" width="18" hidden="0" customWidth="1"/>
  </x:cols>
  <x:sheetData>
    <x:row r="1" ht="28.149999618530273" customHeight="1">
      <x:c r="A1" s="58" t="str">
        <x:v>WBS — IELTSPath Phase 1 and FDS Delivery Breakdown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</x:row>
    <x:row r="2" ht="35" customHeight="1">
      <x:c r="A2" s="161" t="str">
        <x:v>FDS v0.4: 50 screens + 7 jobs, with 7 supporting functions. Iteration allocation, roles and 3/5/8-point estimates are proposals. Done = implemented assigned scope, not UAT; mock/future work is labelled. Actual points unconfirmed.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3" ht="6" customHeight="1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 ht="36" customHeight="1">
      <x:c r="A4" s="190" t="s">
        <x:v>148</x:v>
      </x:c>
      <x:c r="B4" s="190" t="s">
        <x:v>149</x:v>
      </x:c>
      <x:c r="C4" s="190" t="s">
        <x:v>150</x:v>
      </x:c>
      <x:c r="D4" s="190" t="s">
        <x:v>151</x:v>
      </x:c>
      <x:c r="E4" s="190" t="s">
        <x:v>152</x:v>
      </x:c>
      <x:c r="F4" s="190" t="s">
        <x:v>153</x:v>
      </x:c>
      <x:c r="G4" s="190" t="s">
        <x:v>37</x:v>
      </x:c>
      <x:c r="H4" s="190" t="s">
        <x:v>154</x:v>
      </x:c>
      <x:c r="I4" s="190" t="s">
        <x:v>14</x:v>
      </x:c>
      <x:c r="J4" s="190" t="s">
        <x:v>155</x:v>
      </x:c>
      <x:c r="K4" s="190" t="s">
        <x:v>15</x:v>
      </x:c>
      <x:c r="L4" s="190" t="s">
        <x:v>52</x:v>
      </x:c>
    </x:row>
    <x:row r="5" ht="87" customHeight="1">
      <x:c r="A5" s="192" t="str">
        <x:v>WBS-001 — Home</x:v>
      </x:c>
      <x:c r="B5" s="191" t="str">
        <x:v>Screen</x:v>
      </x:c>
      <x:c r="C5" s="191" t="str">
        <x:v>Public / Access</x:v>
      </x:c>
      <x:c r="D5" s="191" t="str">
        <x:v>FT-10, FT-11, FT-12</x:v>
      </x:c>
      <x:c r="E5" s="191" t="str">
        <x:v>Introduces IELTS Space, shows the FREE / Premium plans and point cards, and lets a signed-in learner redeem an activation key for Premium days or points. Route: /home · Public page (default route for guests)</x:v>
      </x:c>
      <x:c r="F5" s="196" t="str">
        <x:v>Simple</x:v>
      </x:c>
      <x:c r="G5" s="197" t="n">
        <x:v>3</x:v>
      </x:c>
      <x:c r="H5" s="198" t="str">
        <x:v>Iteration 1</x:v>
      </x:c>
      <x:c r="I5" s="198" t="str">
        <x:v>FE owner</x:v>
      </x:c>
      <x:c r="J5" s="197"/>
      <x:c r="K5" s="199" t="str">
        <x:v>In Progress</x:v>
      </x:c>
      <x:c r="L5" s="191" t="str">
        <x:v>FDS §2.1; FT-10, FT-11, FT-12; UC-30, UC-26; FE: partly built; Specified (key activation not wired in the frontend: GAP-03). Role: Guest and any signed-in user. Estimate is provisional (3/5/8 pts from input/API complexity), not actual effort. Owner is a proposed role. Done means implemented screen scope, not formal UAT approval. Phase allocation is proposed.</x:v>
      </x:c>
    </x:row>
    <x:row r="6" ht="87" customHeight="1">
      <x:c r="A6" s="201" t="str">
        <x:v>WBS-002 — Login</x:v>
      </x:c>
      <x:c r="B6" s="200" t="str">
        <x:v>Screen</x:v>
      </x:c>
      <x:c r="C6" s="200" t="str">
        <x:v>Authentication</x:v>
      </x:c>
      <x:c r="D6" s="200" t="str">
        <x:v>FT-02, FT-03, FT-05, FT-07</x:v>
      </x:c>
      <x:c r="E6" s="200" t="str">
        <x:v>Lets a registered user sign in with email and password, so the app can return to the page the user wanted or open the learning path. Route: /login · Public page (GuestOnly)</x:v>
      </x:c>
      <x:c r="F6" s="196" t="str">
        <x:v>Medium</x:v>
      </x:c>
      <x:c r="G6" s="197" t="n">
        <x:v>5</x:v>
      </x:c>
      <x:c r="H6" s="202" t="str">
        <x:v>Iteration 1</x:v>
      </x:c>
      <x:c r="I6" s="202" t="str">
        <x:v>FE owner</x:v>
      </x:c>
      <x:c r="J6" s="197"/>
      <x:c r="K6" s="199" t="str">
        <x:v>In Progress</x:v>
      </x:c>
      <x:c r="L6" s="200" t="str">
        <x:v>FDS §2.2; FT-02, FT-03, FT-05, FT-07; UC-02, UC-03; FE: built, real API; Specified (OAuth button: Draft; role-based home: GAP-02). Role: Guest. Estimate is provisional (3/5/8 pts from input/API complexity), not actual effort. Owner is a proposed role. Done means implemented screen scope, not formal UAT approval. Phase allocation is proposed.</x:v>
      </x:c>
    </x:row>
    <x:row r="7" ht="76" customHeight="1">
      <x:c r="A7" s="192" t="str">
        <x:v>WBS-003 — Register</x:v>
      </x:c>
      <x:c r="B7" s="191" t="str">
        <x:v>Screen</x:v>
      </x:c>
      <x:c r="C7" s="191" t="str">
        <x:v>Authentication</x:v>
      </x:c>
      <x:c r="D7" s="191" t="str">
        <x:v>FT-01, FT-02</x:v>
      </x:c>
      <x:c r="E7" s="191" t="str">
        <x:v>Lets a guest create a learner account and signs the guest in straight away, so learning can start. Route: /register · Public page (GuestOnly)</x:v>
      </x:c>
      <x:c r="F7" s="196" t="str">
        <x:v>Simple</x:v>
      </x:c>
      <x:c r="G7" s="197" t="n">
        <x:v>3</x:v>
      </x:c>
      <x:c r="H7" s="198" t="str">
        <x:v>Iteration 1</x:v>
      </x:c>
      <x:c r="I7" s="198" t="str">
        <x:v>FE owner</x:v>
      </x:c>
      <x:c r="J7" s="197"/>
      <x:c r="K7" s="199" t="str">
        <x:v>Done</x:v>
      </x:c>
      <x:c r="L7" s="191" t="str">
        <x:v>FDS §2.3; FT-01, FT-02; UC-01; FE: built, real API; Specified. Role: Guest. Estimate is provisional (3/5/8 pts from input/API complexity), not actual effort. Owner is a proposed role. Done means implemented screen scope, not formal UAT approval. Phase allocation is proposed.</x:v>
      </x:c>
    </x:row>
    <x:row r="8" ht="76" customHeight="1">
      <x:c r="A8" s="201" t="str">
        <x:v>WBS-004 — Forgot Password</x:v>
      </x:c>
      <x:c r="B8" s="200" t="str">
        <x:v>Screen</x:v>
      </x:c>
      <x:c r="C8" s="200" t="str">
        <x:v>Authentication</x:v>
      </x:c>
      <x:c r="D8" s="200" t="str">
        <x:v>FT-04</x:v>
      </x:c>
      <x:c r="E8" s="200" t="str">
        <x:v>Lets a user who forgot the password ask for a reset code, so a new password can be set. Route: /forgot-password · Public page (GuestOnly)</x:v>
      </x:c>
      <x:c r="F8" s="196" t="str">
        <x:v>Simple</x:v>
      </x:c>
      <x:c r="G8" s="197" t="n">
        <x:v>3</x:v>
      </x:c>
      <x:c r="H8" s="202" t="str">
        <x:v>Iteration 1</x:v>
      </x:c>
      <x:c r="I8" s="202" t="str">
        <x:v>FE owner</x:v>
      </x:c>
      <x:c r="J8" s="197"/>
      <x:c r="K8" s="199" t="str">
        <x:v>In Progress</x:v>
      </x:c>
      <x:c r="L8" s="200" t="str">
        <x:v>FDS §2.4; FT-04; UC-04, UC-05; FE: built, real API; Specified (email delivery: Draft, GAP-06). Role: Guest. Estimate is provisional (3/5/8 pts from input/API complexity), not actual effort. Owner is a proposed role. Done means implemented screen scope, not formal UAT approval. Phase allocation is proposed.</x:v>
      </x:c>
    </x:row>
    <x:row r="9" ht="76" customHeight="1">
      <x:c r="A9" s="192" t="str">
        <x:v>WBS-005 — Reset Password</x:v>
      </x:c>
      <x:c r="B9" s="191" t="str">
        <x:v>Screen</x:v>
      </x:c>
      <x:c r="C9" s="191" t="str">
        <x:v>Authentication</x:v>
      </x:c>
      <x:c r="D9" s="191" t="str">
        <x:v>FT-04</x:v>
      </x:c>
      <x:c r="E9" s="191" t="str">
        <x:v>Lets the user set a new password with the reset code, so the user can sign in again. Route: /reset-password?token=… · Public page (GuestOnly)</x:v>
      </x:c>
      <x:c r="F9" s="196" t="str">
        <x:v>Simple</x:v>
      </x:c>
      <x:c r="G9" s="197" t="n">
        <x:v>3</x:v>
      </x:c>
      <x:c r="H9" s="198" t="str">
        <x:v>Iteration 1</x:v>
      </x:c>
      <x:c r="I9" s="198" t="str">
        <x:v>FE owner</x:v>
      </x:c>
      <x:c r="J9" s="197"/>
      <x:c r="K9" s="199" t="str">
        <x:v>In Progress</x:v>
      </x:c>
      <x:c r="L9" s="191" t="str">
        <x:v>FDS §2.5; FT-04; UC-04; FE: built, real API; Specified (link delivery: Draft, GAP-06). Role: Guest. Estimate is provisional (3/5/8 pts from input/API complexity), not actual effort. Owner is a proposed role. Done means implemented screen scope, not formal UAT approval. Phase allocation is proposed.</x:v>
      </x:c>
    </x:row>
    <x:row r="10" ht="76" customHeight="1">
      <x:c r="A10" s="201" t="str">
        <x:v>WBS-006 — OAuth Callback</x:v>
      </x:c>
      <x:c r="B10" s="200" t="str">
        <x:v>Screen</x:v>
      </x:c>
      <x:c r="C10" s="200" t="str">
        <x:v>Authentication</x:v>
      </x:c>
      <x:c r="D10" s="200" t="str">
        <x:v>FT-05</x:v>
      </x:c>
      <x:c r="E10" s="200" t="str">
        <x:v>Finishes a sign-in with the OAuth identity provider and opens the learning path. Route: /auth/oauth/callback · Public page (GuestOnly)</x:v>
      </x:c>
      <x:c r="F10" s="196" t="str">
        <x:v>Simple</x:v>
      </x:c>
      <x:c r="G10" s="197" t="n">
        <x:v>3</x:v>
      </x:c>
      <x:c r="H10" s="202" t="str">
        <x:v>Iteration 3</x:v>
      </x:c>
      <x:c r="I10" s="202" t="str">
        <x:v>FE owner</x:v>
      </x:c>
      <x:c r="J10" s="197"/>
      <x:c r="K10" s="199" t="str">
        <x:v>Not Started</x:v>
      </x:c>
      <x:c r="L10" s="200" t="str">
        <x:v>FDS §2.6; FT-05; UC-03; FE: placeholder route; Draft. Role: Guest. Estimate is provisional (3/5/8 pts from input/API complexity), not actual effort. Owner is a proposed role. Future iteration proposal, outside current Phase 1 acceptance.</x:v>
      </x:c>
    </x:row>
    <x:row r="11" ht="87" customHeight="1">
      <x:c r="A11" s="192" t="str">
        <x:v>WBS-007 — Overview</x:v>
      </x:c>
      <x:c r="B11" s="191" t="str">
        <x:v>Screen</x:v>
      </x:c>
      <x:c r="C11" s="191" t="str">
        <x:v>Prototype</x:v>
      </x:c>
      <x:c r="D11" s="191" t="str">
        <x:v>FT-26, FT-44, FT-45 (intended)</x:v>
      </x:c>
      <x:c r="E11" s="191" t="str">
        <x:v>Gives the learner a dashboard of study time, four-skill progress, words to review, mentor feedback, courses and the study streak. Route: /overview · RequireAuth (default route when signed in)</x:v>
      </x:c>
      <x:c r="F11" s="196" t="str">
        <x:v>Simple</x:v>
      </x:c>
      <x:c r="G11" s="197" t="n">
        <x:v>3</x:v>
      </x:c>
      <x:c r="H11" s="198" t="str">
        <x:v>Iteration 2</x:v>
      </x:c>
      <x:c r="I11" s="198" t="str">
        <x:v>FE owner</x:v>
      </x:c>
      <x:c r="J11" s="197"/>
      <x:c r="K11" s="199" t="str">
        <x:v>Done</x:v>
      </x:c>
      <x:c r="L11" s="191" t="str">
        <x:v>FDS §2.7; FT-26, FT-44, FT-45 (intended); UC-19, UC-18; FE: built on mock data; Draft (UI on mock data, OQ-17). Role: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12" ht="87" customHeight="1">
      <x:c r="A12" s="201" t="str">
        <x:v>WBS-008 — Learning Path</x:v>
      </x:c>
      <x:c r="B12" s="200" t="str">
        <x:v>Screen</x:v>
      </x:c>
      <x:c r="C12" s="200" t="str">
        <x:v>Core Learning</x:v>
      </x:c>
      <x:c r="D12" s="200" t="str">
        <x:v>FT-13, FT-20, FT-28</x:v>
      </x:c>
      <x:c r="E12" s="200" t="str">
        <x:v>Shows the learner's topics as an ordered trail with each topic's status, so the learner knows which topic to study next. Route: /learn · RequireAuth</x:v>
      </x:c>
      <x:c r="F12" s="196" t="str">
        <x:v>Simple</x:v>
      </x:c>
      <x:c r="G12" s="197" t="n">
        <x:v>3</x:v>
      </x:c>
      <x:c r="H12" s="202" t="str">
        <x:v>Iteration 1</x:v>
      </x:c>
      <x:c r="I12" s="202" t="str">
        <x:v>FE owner</x:v>
      </x:c>
      <x:c r="J12" s="197"/>
      <x:c r="K12" s="199" t="str">
        <x:v>In Progress</x:v>
      </x:c>
      <x:c r="L12" s="200" t="str">
        <x:v>FDS §2.8; FT-13, FT-20, FT-28; UC-08; FE: built, real API; Specified (skill grouping: GAP-01; Premium lock: Draft). Role: Signed-in learner. Estimate is provisional (3/5/8 pts from input/API complexity), not actual effort. Owner is a proposed role. Done means implemented screen scope, not formal UAT approval. Phase allocation is proposed.</x:v>
      </x:c>
    </x:row>
    <x:row r="13" ht="76" customHeight="1">
      <x:c r="A13" s="192" t="str">
        <x:v>WBS-009 — Topic Detail</x:v>
      </x:c>
      <x:c r="B13" s="191" t="str">
        <x:v>Screen</x:v>
      </x:c>
      <x:c r="C13" s="191" t="str">
        <x:v>Core Learning</x:v>
      </x:c>
      <x:c r="D13" s="191" t="str">
        <x:v>FT-20, FT-21, FT-27, FT-29</x:v>
      </x:c>
      <x:c r="E13" s="191" t="str">
        <x:v>Lists the ordered lessons of a topic and the final test card, so the learner can open the next lesson, go to practice or start the final test. Route: /learn/topics/:topicId · RequireAuth</x:v>
      </x:c>
      <x:c r="F13" s="196" t="str">
        <x:v>Medium</x:v>
      </x:c>
      <x:c r="G13" s="197" t="n">
        <x:v>5</x:v>
      </x:c>
      <x:c r="H13" s="198" t="str">
        <x:v>Iteration 1</x:v>
      </x:c>
      <x:c r="I13" s="198" t="str">
        <x:v>FE owner</x:v>
      </x:c>
      <x:c r="J13" s="197"/>
      <x:c r="K13" s="199" t="str">
        <x:v>Done</x:v>
      </x:c>
      <x:c r="L13" s="191" t="str">
        <x:v>FDS §2.9; FT-20, FT-21, FT-27, FT-29; UC-08, UC-20; FE: built, real API; Specified. Role: Signed-in learner. Estimate is provisional (3/5/8 pts from input/API complexity), not actual effort. Owner is a proposed role. Done means implemented screen scope, not formal UAT approval. Phase allocation is proposed.</x:v>
      </x:c>
    </x:row>
    <x:row r="14" ht="87" customHeight="1">
      <x:c r="A14" s="201" t="str">
        <x:v>WBS-010 — Lesson Player</x:v>
      </x:c>
      <x:c r="B14" s="200" t="str">
        <x:v>Screen</x:v>
      </x:c>
      <x:c r="C14" s="200" t="str">
        <x:v>Core Learning</x:v>
      </x:c>
      <x:c r="D14" s="200" t="str">
        <x:v>FT-21, FT-22, FT-23, FT-24, FT-25</x:v>
      </x:c>
      <x:c r="E14" s="200" t="str">
        <x:v>Presents a lesson's blocks in order — text, passage, audio, exercises and essays — grades each exercise block, so the learner can pass the lesson and move on. Route: /learn/lessons/:lessonId · RequireAuth</x:v>
      </x:c>
      <x:c r="F14" s="196" t="str">
        <x:v>Medium</x:v>
      </x:c>
      <x:c r="G14" s="197" t="n">
        <x:v>5</x:v>
      </x:c>
      <x:c r="H14" s="202" t="str">
        <x:v>Iteration 1</x:v>
      </x:c>
      <x:c r="I14" s="202" t="str">
        <x:v>FE owner</x:v>
      </x:c>
      <x:c r="J14" s="197"/>
      <x:c r="K14" s="199" t="str">
        <x:v>Done</x:v>
      </x:c>
      <x:c r="L14" s="200" t="str">
        <x:v>FDS §2.10; FT-21, FT-22, FT-23, FT-24, FT-25; UC-09, UC-12, UC-13; FE: built, real API; Specified. Role: Signed-in learner. Estimate is provisional (3/5/8 pts from input/API complexity), not actual effort. Owner is a proposed role. Done means implemented screen scope, not formal UAT approval. Phase allocation is proposed.</x:v>
      </x:c>
    </x:row>
    <x:row r="15" ht="87" customHeight="1">
      <x:c r="A15" s="192" t="str">
        <x:v>WBS-011 — Writing Feedback</x:v>
      </x:c>
      <x:c r="B15" s="191" t="str">
        <x:v>Screen</x:v>
      </x:c>
      <x:c r="C15" s="191" t="str">
        <x:v>Core Learning</x:v>
      </x:c>
      <x:c r="D15" s="191" t="str">
        <x:v>FT-12, FT-25</x:v>
      </x:c>
      <x:c r="E15" s="191" t="str">
        <x:v>Shows the AI grading of a Writing essay — estimated band, pass or not, criteria, corrections and the sample answer — so the learner can improve the next essay. Route: Inline panel in /learn/lessons/:lessonId (EssayBlock)</x:v>
      </x:c>
      <x:c r="F15" s="196" t="str">
        <x:v>Simple</x:v>
      </x:c>
      <x:c r="G15" s="197" t="n">
        <x:v>3</x:v>
      </x:c>
      <x:c r="H15" s="198" t="str">
        <x:v>Iteration 1</x:v>
      </x:c>
      <x:c r="I15" s="198" t="str">
        <x:v>FE owner</x:v>
      </x:c>
      <x:c r="J15" s="197"/>
      <x:c r="K15" s="199" t="str">
        <x:v>In Progress</x:v>
      </x:c>
      <x:c r="L15" s="191" t="str">
        <x:v>FDS §2.11; FT-12, FT-25; UC-12, UC-13, UC-27; FE: partly built; Specified (separate page and re-reading a submission: GAP-08). Role: Signed-in learner. Estimate is provisional (3/5/8 pts from input/API complexity), not actual effort. Owner is a proposed role. Done means implemented screen scope, not formal UAT approval. Phase allocation is proposed.</x:v>
      </x:c>
    </x:row>
    <x:row r="16" ht="87" customHeight="1">
      <x:c r="A16" s="201" t="str">
        <x:v>WBS-012 — Practice Set</x:v>
      </x:c>
      <x:c r="B16" s="200" t="str">
        <x:v>Screen</x:v>
      </x:c>
      <x:c r="C16" s="200" t="str">
        <x:v>Core Learning</x:v>
      </x:c>
      <x:c r="D16" s="200" t="str">
        <x:v>FT-23, FT-24, FT-26, FT-27</x:v>
      </x:c>
      <x:c r="E16" s="200" t="str">
        <x:v>Lists the practice sets of a completed lesson and lets the learner answer one set, see every solution and start the review it creates. Route: /learn/lessons/:lessonId/practice · RequireAuth</x:v>
      </x:c>
      <x:c r="F16" s="196" t="str">
        <x:v>Simple</x:v>
      </x:c>
      <x:c r="G16" s="197" t="n">
        <x:v>3</x:v>
      </x:c>
      <x:c r="H16" s="202" t="str">
        <x:v>Iteration 1</x:v>
      </x:c>
      <x:c r="I16" s="202" t="str">
        <x:v>FE owner</x:v>
      </x:c>
      <x:c r="J16" s="197"/>
      <x:c r="K16" s="199" t="str">
        <x:v>In Progress</x:v>
      </x:c>
      <x:c r="L16" s="200" t="str">
        <x:v>FDS §2.12; FT-23, FT-24, FT-26, FT-27; UC-10; FE: built, real API; Specified (Premium sets disabled: GAP-05). Role: Signed-in learner. Estimate is provisional (3/5/8 pts from input/API complexity), not actual effort. Owner is a proposed role. Done means implemented screen scope, not formal UAT approval. Phase allocation is proposed.</x:v>
      </x:c>
    </x:row>
    <x:row r="17" ht="76" customHeight="1">
      <x:c r="A17" s="192" t="str">
        <x:v>WBS-013 — Review List</x:v>
      </x:c>
      <x:c r="B17" s="191" t="str">
        <x:v>Screen</x:v>
      </x:c>
      <x:c r="C17" s="191" t="str">
        <x:v>Core Learning</x:v>
      </x:c>
      <x:c r="D17" s="191" t="str">
        <x:v>FT-28</x:v>
      </x:c>
      <x:c r="E17" s="191" t="str">
        <x:v>Lists the learner's reviews, oldest first, so the learner can finish the ones that block a skill. Route: /learn/reviews (proposed)</x:v>
      </x:c>
      <x:c r="F17" s="196" t="str">
        <x:v>Simple</x:v>
      </x:c>
      <x:c r="G17" s="197" t="n">
        <x:v>3</x:v>
      </x:c>
      <x:c r="H17" s="198" t="str">
        <x:v>Iteration 2</x:v>
      </x:c>
      <x:c r="I17" s="198" t="str">
        <x:v>FE owner</x:v>
      </x:c>
      <x:c r="J17" s="197"/>
      <x:c r="K17" s="199" t="str">
        <x:v>Not Started</x:v>
      </x:c>
      <x:c r="L17" s="191" t="str">
        <x:v>FDS §2.13; FT-28; UC-11; FE: not built; Specified (backend); screen not built (GAP-07). Role: CUSTOMER. Estimate is provisional (3/5/8 pts from input/API complexity), not actual effort. Owner is a proposed role. Future iteration proposal, outside current Phase 1 acceptance.</x:v>
      </x:c>
    </x:row>
    <x:row r="18" ht="87" customHeight="1">
      <x:c r="A18" s="201" t="str">
        <x:v>WBS-014 — Review Session</x:v>
      </x:c>
      <x:c r="B18" s="200" t="str">
        <x:v>Screen</x:v>
      </x:c>
      <x:c r="C18" s="200" t="str">
        <x:v>Core Learning</x:v>
      </x:c>
      <x:c r="D18" s="200" t="str">
        <x:v>FT-23, FT-24, FT-26, FT-28</x:v>
      </x:c>
      <x:c r="E18" s="200" t="str">
        <x:v>Guides the learner through one review — theory with a quick check, then a set of questions — so a weak knowledge point is repaired and the skill is unblocked. Route: /learn/reviews/:reviewId · RequireAuth</x:v>
      </x:c>
      <x:c r="F18" s="196" t="str">
        <x:v>Medium</x:v>
      </x:c>
      <x:c r="G18" s="197" t="n">
        <x:v>5</x:v>
      </x:c>
      <x:c r="H18" s="202" t="str">
        <x:v>Iteration 1</x:v>
      </x:c>
      <x:c r="I18" s="202" t="str">
        <x:v>FE owner</x:v>
      </x:c>
      <x:c r="J18" s="197"/>
      <x:c r="K18" s="199" t="str">
        <x:v>In Progress</x:v>
      </x:c>
      <x:c r="L18" s="200" t="str">
        <x:v>FDS §2.14; FT-23, FT-24, FT-26, FT-28; UC-11; FE: built, real API; Specified (empty quick-check: GAP-12). Role: Signed-in learner. Estimate is provisional (3/5/8 pts from input/API complexity), not actual effort. Owner is a proposed role. Done means implemented screen scope, not formal UAT approval. Phase allocation is proposed.</x:v>
      </x:c>
    </x:row>
    <x:row r="19" ht="76" customHeight="1">
      <x:c r="A19" s="192" t="str">
        <x:v>WBS-015 — Mastery</x:v>
      </x:c>
      <x:c r="B19" s="191" t="str">
        <x:v>Screen</x:v>
      </x:c>
      <x:c r="C19" s="191" t="str">
        <x:v>Core Learning</x:v>
      </x:c>
      <x:c r="D19" s="191" t="str">
        <x:v>FT-26</x:v>
      </x:c>
      <x:c r="E19" s="191" t="str">
        <x:v>Shows the learner's mastery from 0 to 1 for every knowledge point, grouped by skill and topic, so the learner can see strong and weak points. Route: /learn/mastery (proposed)</x:v>
      </x:c>
      <x:c r="F19" s="196" t="str">
        <x:v>Simple</x:v>
      </x:c>
      <x:c r="G19" s="197" t="n">
        <x:v>3</x:v>
      </x:c>
      <x:c r="H19" s="198" t="str">
        <x:v>Iteration 2</x:v>
      </x:c>
      <x:c r="I19" s="198" t="str">
        <x:v>FE owner</x:v>
      </x:c>
      <x:c r="J19" s="197"/>
      <x:c r="K19" s="199" t="str">
        <x:v>Not Started</x:v>
      </x:c>
      <x:c r="L19" s="191" t="str">
        <x:v>FDS §2.15; FT-26; UC-18; FE: not built; Specified (backend); screen not built (GAP-07). Role: CUSTOMER. Estimate is provisional (3/5/8 pts from input/API complexity), not actual effort. Owner is a proposed role. Future iteration proposal, outside current Phase 1 acceptance.</x:v>
      </x:c>
    </x:row>
    <x:row r="20" ht="87" customHeight="1">
      <x:c r="A20" s="201" t="str">
        <x:v>WBS-016 — Test Attempt</x:v>
      </x:c>
      <x:c r="B20" s="200" t="str">
        <x:v>Screen</x:v>
      </x:c>
      <x:c r="C20" s="200" t="str">
        <x:v>Core Learning</x:v>
      </x:c>
      <x:c r="D20" s="200" t="str">
        <x:v>FT-24, FT-30, FT-31</x:v>
      </x:c>
      <x:c r="E20" s="200" t="str">
        <x:v>Lets the learner sit the topic final test section by section, with answers saved as they go, and submit it for grading. Route: /learn/tests/:attemptId?topic=… · RequireAuth</x:v>
      </x:c>
      <x:c r="F20" s="196" t="str">
        <x:v>Simple</x:v>
      </x:c>
      <x:c r="G20" s="197" t="n">
        <x:v>3</x:v>
      </x:c>
      <x:c r="H20" s="202" t="str">
        <x:v>Iteration 1</x:v>
      </x:c>
      <x:c r="I20" s="202" t="str">
        <x:v>FE owner</x:v>
      </x:c>
      <x:c r="J20" s="197"/>
      <x:c r="K20" s="199" t="str">
        <x:v>In Progress</x:v>
      </x:c>
      <x:c r="L20" s="200" t="str">
        <x:v>FDS §2.16; FT-24, FT-30, FT-31; UC-20; FE: built, real API; Specified (text answers saved at submit; no timer: GAP-09). Role: Signed-in learner. Estimate is provisional (3/5/8 pts from input/API complexity), not actual effort. Owner is a proposed role. Done means implemented screen scope, not formal UAT approval. Phase allocation is proposed.</x:v>
      </x:c>
    </x:row>
    <x:row r="21" ht="87" customHeight="1">
      <x:c r="A21" s="192" t="str">
        <x:v>WBS-017 — Test Result</x:v>
      </x:c>
      <x:c r="B21" s="191" t="str">
        <x:v>Screen</x:v>
      </x:c>
      <x:c r="C21" s="191" t="str">
        <x:v>Core Learning</x:v>
      </x:c>
      <x:c r="D21" s="191" t="str">
        <x:v>FT-14, FT-24, FT-29, FT-31, FT-33</x:v>
      </x:c>
      <x:c r="E21" s="191" t="str">
        <x:v>Shows the score of the submitted topic test, per-question correctness and — at 70% or more — the correct answers, and tells the learner whether the topic is passed. Route: /learn/tests/:attemptId/result?topic=… · RequireAuth</x:v>
      </x:c>
      <x:c r="F21" s="196" t="str">
        <x:v>Medium</x:v>
      </x:c>
      <x:c r="G21" s="197" t="n">
        <x:v>5</x:v>
      </x:c>
      <x:c r="H21" s="198" t="str">
        <x:v>Iteration 1</x:v>
      </x:c>
      <x:c r="I21" s="198" t="str">
        <x:v>FE owner</x:v>
      </x:c>
      <x:c r="J21" s="197"/>
      <x:c r="K21" s="199" t="str">
        <x:v>In Progress</x:v>
      </x:c>
      <x:c r="L21" s="191" t="str">
        <x:v>FDS §2.17; FT-14, FT-24, FT-29, FT-31, FT-33; UC-22, UC-16, UC-25; FE: built, real API; Specified (examiner and AI grading requests: Draft). Role: Signed-in learner. Estimate is provisional (3/5/8 pts from input/API complexity), not actual effort. Owner is a proposed role. Done means implemented screen scope, not formal UAT approval. Phase allocation is proposed.</x:v>
      </x:c>
    </x:row>
    <x:row r="22" ht="76" customHeight="1">
      <x:c r="A22" s="201" t="str">
        <x:v>WBS-018 — Mock &amp; Placement Tests</x:v>
      </x:c>
      <x:c r="B22" s="200" t="str">
        <x:v>Screen</x:v>
      </x:c>
      <x:c r="C22" s="200" t="str">
        <x:v>Core Learning</x:v>
      </x:c>
      <x:c r="D22" s="200" t="str">
        <x:v>FT-34, FT-35</x:v>
      </x:c>
      <x:c r="E22" s="200" t="str">
        <x:v>Lists the published mock tests and the one-time placement test, so the learner can estimate a starting level or practise under exam conditions. Route: /tests (proposed)</x:v>
      </x:c>
      <x:c r="F22" s="196" t="str">
        <x:v>Simple</x:v>
      </x:c>
      <x:c r="G22" s="197" t="n">
        <x:v>3</x:v>
      </x:c>
      <x:c r="H22" s="202" t="str">
        <x:v>Iteration 3</x:v>
      </x:c>
      <x:c r="I22" s="202" t="str">
        <x:v>FE owner</x:v>
      </x:c>
      <x:c r="J22" s="197"/>
      <x:c r="K22" s="199" t="str">
        <x:v>Not Started</x:v>
      </x:c>
      <x:c r="L22" s="200" t="str">
        <x:v>FDS §2.18; FT-34, FT-35; UC-21, UC-23; FE: not built; Draft. Role: CUSTOMER. Estimate is provisional (3/5/8 pts from input/API complexity), not actual effort. Owner is a proposed role. Future iteration proposal, outside current Phase 1 acceptance.</x:v>
      </x:c>
    </x:row>
    <x:row r="23" ht="102" customHeight="1">
      <x:c r="A23" s="192" t="str">
        <x:v>WBS-019 — Practice Test Catalog</x:v>
      </x:c>
      <x:c r="B23" s="191" t="str">
        <x:v>Screen</x:v>
      </x:c>
      <x:c r="C23" s="191" t="str">
        <x:v>Prototype</x:v>
      </x:c>
      <x:c r="D23" s="191" t="str">
        <x:v>— (no SRS feature; closest FT-34 Mock test)</x:v>
      </x:c>
      <x:c r="E23" s="191" t="str">
        <x:v>Lets the learner browse practice tests by skill and open one in practice or exam mode. Route: /practice-tests · RequireAuth</x:v>
      </x:c>
      <x:c r="F23" s="196" t="str">
        <x:v>Simple</x:v>
      </x:c>
      <x:c r="G23" s="197" t="n">
        <x:v>3</x:v>
      </x:c>
      <x:c r="H23" s="198" t="str">
        <x:v>Iteration 2</x:v>
      </x:c>
      <x:c r="I23" s="198" t="str">
        <x:v>FE owner</x:v>
      </x:c>
      <x:c r="J23" s="197"/>
      <x:c r="K23" s="199" t="str">
        <x:v>Done</x:v>
      </x:c>
      <x:c r="L23" s="191" t="str">
        <x:v>FDS §2.19; — (no SRS feature; closest FT-34 Mock test); No UC assigned; FE: built on mock data; Prototype (mock data, OQ-17). Role: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24" ht="102" customHeight="1">
      <x:c r="A24" s="201" t="str">
        <x:v>WBS-020 — Practice Workspaces (Reading, Listening, Writing, Speaking)</x:v>
      </x:c>
      <x:c r="B24" s="200" t="str">
        <x:v>Screen</x:v>
      </x:c>
      <x:c r="C24" s="200" t="str">
        <x:v>Prototype</x:v>
      </x:c>
      <x:c r="D24" s="200" t="str">
        <x:v>— (closest FT-25, FT-39, FT-42, FT-43)</x:v>
      </x:c>
      <x:c r="E24" s="200" t="str">
        <x:v>Gives a full-screen workspace for one practice test per skill, with tools for highlighting, notes, a small dictionary and flashcards. Route: /practice/test/:testId · /practice/listening/:testId · /practice/writing/:taskId · /practice/speaking/:cueId · RequireAuth</x:v>
      </x:c>
      <x:c r="F24" s="196" t="str">
        <x:v>Simple</x:v>
      </x:c>
      <x:c r="G24" s="197" t="n">
        <x:v>3</x:v>
      </x:c>
      <x:c r="H24" s="202" t="str">
        <x:v>Iteration 2</x:v>
      </x:c>
      <x:c r="I24" s="202" t="str">
        <x:v>FE owner</x:v>
      </x:c>
      <x:c r="J24" s="197"/>
      <x:c r="K24" s="199" t="str">
        <x:v>Done</x:v>
      </x:c>
      <x:c r="L24" s="200" t="str">
        <x:v>FDS §2.20; — (closest FT-25, FT-39, FT-42, FT-43); No UC assigned; FE: built on mock data; Prototype (mock data and browser storage, OQ-17). Role: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25" ht="102" customHeight="1">
      <x:c r="A25" s="192" t="str">
        <x:v>WBS-021 — Classroom</x:v>
      </x:c>
      <x:c r="B25" s="191" t="str">
        <x:v>Screen</x:v>
      </x:c>
      <x:c r="C25" s="191" t="str">
        <x:v>Prototype</x:v>
      </x:c>
      <x:c r="D25" s="191" t="str">
        <x:v>— (mentor classes are not in the SRS)</x:v>
      </x:c>
      <x:c r="E25" s="191" t="str">
        <x:v>Shows the learner's class, teacher and a calendar of class sessions with a link to join or open each session. Route: /classroom · RequireAuth</x:v>
      </x:c>
      <x:c r="F25" s="196" t="str">
        <x:v>Simple</x:v>
      </x:c>
      <x:c r="G25" s="197" t="n">
        <x:v>3</x:v>
      </x:c>
      <x:c r="H25" s="198" t="str">
        <x:v>Iteration 2</x:v>
      </x:c>
      <x:c r="I25" s="198" t="str">
        <x:v>FE owner</x:v>
      </x:c>
      <x:c r="J25" s="197"/>
      <x:c r="K25" s="199" t="str">
        <x:v>Done</x:v>
      </x:c>
      <x:c r="L25" s="191" t="str">
        <x:v>FDS §2.21; — (mentor classes are not in the SRS); No UC assigned; FE: built on mock data; Prototype (mock data, OQ-17). Role: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26" ht="87" customHeight="1">
      <x:c r="A26" s="201" t="str">
        <x:v>WBS-022 — Classroom Lesson Workspace</x:v>
      </x:c>
      <x:c r="B26" s="200" t="str">
        <x:v>Screen</x:v>
      </x:c>
      <x:c r="C26" s="200" t="str">
        <x:v>Prototype</x:v>
      </x:c>
      <x:c r="D26" s="200" t="str">
        <x:v>— (closest FT-36, FT-43)</x:v>
      </x:c>
      <x:c r="E26" s="200" t="str">
        <x:v>Shows one class session with its materials, a short quiz and the topic vocabulary to review. Route: /lessons/:lessonId · RequireAuth</x:v>
      </x:c>
      <x:c r="F26" s="196" t="str">
        <x:v>Simple</x:v>
      </x:c>
      <x:c r="G26" s="197" t="n">
        <x:v>3</x:v>
      </x:c>
      <x:c r="H26" s="202" t="str">
        <x:v>Iteration 2</x:v>
      </x:c>
      <x:c r="I26" s="202" t="str">
        <x:v>FE owner</x:v>
      </x:c>
      <x:c r="J26" s="197"/>
      <x:c r="K26" s="199" t="str">
        <x:v>Done</x:v>
      </x:c>
      <x:c r="L26" s="200" t="str">
        <x:v>FDS §2.22; — (closest FT-36, FT-43); No UC assigned; FE: built on mock data; Prototype (mock data, OQ-17). Role: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27" ht="76" customHeight="1">
      <x:c r="A27" s="192" t="str">
        <x:v>WBS-023 — Profile &amp; Account</x:v>
      </x:c>
      <x:c r="B27" s="191" t="str">
        <x:v>Screen</x:v>
      </x:c>
      <x:c r="C27" s="191" t="str">
        <x:v>Self-study / Account</x:v>
      </x:c>
      <x:c r="D27" s="191" t="str">
        <x:v>FT-05, FT-06</x:v>
      </x:c>
      <x:c r="E27" s="191" t="str">
        <x:v>Lets a user keep account details and the learner profile up to date and manage linked sign-in providers. Route: /account/profile</x:v>
      </x:c>
      <x:c r="F27" s="196" t="str">
        <x:v>Medium</x:v>
      </x:c>
      <x:c r="G27" s="197" t="n">
        <x:v>5</x:v>
      </x:c>
      <x:c r="H27" s="198" t="str">
        <x:v>Iteration 2</x:v>
      </x:c>
      <x:c r="I27" s="198" t="str">
        <x:v>FE owner</x:v>
      </x:c>
      <x:c r="J27" s="197"/>
      <x:c r="K27" s="199" t="str">
        <x:v>Not Started</x:v>
      </x:c>
      <x:c r="L27" s="191" t="str">
        <x:v>FDS §2.23; FT-05, FT-06; UC-06; FE: not built; Specified (OAuth linking: Draft). Role: Any signed-in role. Estimate is provisional (3/5/8 pts from input/API complexity), not actual effort. Owner is a proposed role. Future iteration proposal, outside current Phase 1 acceptance.</x:v>
      </x:c>
    </x:row>
    <x:row r="28" ht="76" customHeight="1">
      <x:c r="A28" s="201" t="str">
        <x:v>WBS-024 — Learning Goals</x:v>
      </x:c>
      <x:c r="B28" s="200" t="str">
        <x:v>Screen</x:v>
      </x:c>
      <x:c r="C28" s="200" t="str">
        <x:v>Self-study / Account</x:v>
      </x:c>
      <x:c r="D28" s="200" t="str">
        <x:v>FT-09, FT-35</x:v>
      </x:c>
      <x:c r="E28" s="200" t="str">
        <x:v>Lets the learner set one active goal — target band, exam date and daily study minutes — and pause, resume or close it, so progress can be tracked against a target. Route: /account/goals</x:v>
      </x:c>
      <x:c r="F28" s="196" t="str">
        <x:v>Medium</x:v>
      </x:c>
      <x:c r="G28" s="197" t="n">
        <x:v>5</x:v>
      </x:c>
      <x:c r="H28" s="202" t="str">
        <x:v>Iteration 2</x:v>
      </x:c>
      <x:c r="I28" s="202" t="str">
        <x:v>FE owner</x:v>
      </x:c>
      <x:c r="J28" s="197"/>
      <x:c r="K28" s="199" t="str">
        <x:v>Not Started</x:v>
      </x:c>
      <x:c r="L28" s="200" t="str">
        <x:v>FDS §2.24; FT-09, FT-35; UC-06, UC-23; FE: not built; Specified (edit of the active goal: Draft). Role: CUSTOMER. Estimate is provisional (3/5/8 pts from input/API complexity), not actual effort. Owner is a proposed role. Future iteration proposal, outside current Phase 1 acceptance.</x:v>
      </x:c>
    </x:row>
    <x:row r="29" ht="76" customHeight="1">
      <x:c r="A29" s="192" t="str">
        <x:v>WBS-025 — Subscription &amp; Points</x:v>
      </x:c>
      <x:c r="B29" s="191" t="str">
        <x:v>Screen</x:v>
      </x:c>
      <x:c r="C29" s="191" t="str">
        <x:v>Self-study / Account</x:v>
      </x:c>
      <x:c r="D29" s="191" t="str">
        <x:v>FT-10, FT-11, FT-12, FT-14</x:v>
      </x:c>
      <x:c r="E29" s="191" t="str">
        <x:v>Shows the learner's subscription, examiner credits, point balance and history, and lets the learner redeem an activation key for Premium days or points. Route: /account/subscription</x:v>
      </x:c>
      <x:c r="F29" s="196" t="str">
        <x:v>Medium</x:v>
      </x:c>
      <x:c r="G29" s="197" t="n">
        <x:v>5</x:v>
      </x:c>
      <x:c r="H29" s="198" t="str">
        <x:v>Iteration 1</x:v>
      </x:c>
      <x:c r="I29" s="198" t="str">
        <x:v>FE owner</x:v>
      </x:c>
      <x:c r="J29" s="197"/>
      <x:c r="K29" s="199" t="str">
        <x:v>In Progress</x:v>
      </x:c>
      <x:c r="L29" s="191" t="str">
        <x:v>FDS §2.25; FT-10, FT-11, FT-12, FT-14; UC-30, UC-27, UC-26; FE: partly built; Specified. Role: CUSTOMER. Estimate is provisional (3/5/8 pts from input/API complexity), not actual effort. Owner is a proposed role. Done means implemented screen scope, not formal UAT approval. Phase allocation is proposed.</x:v>
      </x:c>
    </x:row>
    <x:row r="30" ht="76" customHeight="1">
      <x:c r="A30" s="201" t="str">
        <x:v>WBS-026 — Activity &amp; Streak</x:v>
      </x:c>
      <x:c r="B30" s="200" t="str">
        <x:v>Screen</x:v>
      </x:c>
      <x:c r="C30" s="200" t="str">
        <x:v>Self-study / Account</x:v>
      </x:c>
      <x:c r="D30" s="200" t="str">
        <x:v>FT-44, FT-45</x:v>
      </x:c>
      <x:c r="E30" s="200" t="str">
        <x:v>Shows the learner's study activities and current and longest streak, so the learner can keep a daily study habit. Route: /account/activity</x:v>
      </x:c>
      <x:c r="F30" s="196" t="str">
        <x:v>Medium</x:v>
      </x:c>
      <x:c r="G30" s="197" t="n">
        <x:v>5</x:v>
      </x:c>
      <x:c r="H30" s="202" t="str">
        <x:v>Iteration 2</x:v>
      </x:c>
      <x:c r="I30" s="202" t="str">
        <x:v>FE owner</x:v>
      </x:c>
      <x:c r="J30" s="197"/>
      <x:c r="K30" s="199" t="str">
        <x:v>Not Started</x:v>
      </x:c>
      <x:c r="L30" s="200" t="str">
        <x:v>FDS §2.26; FT-44, FT-45; UC-19; FE: not built; Specified (server-side streak: Draft). Role: Any signed-in role. Estimate is provisional (3/5/8 pts from input/API complexity), not actual effort. Owner is a proposed role. Future iteration proposal, outside current Phase 1 acceptance.</x:v>
      </x:c>
    </x:row>
    <x:row r="31" ht="76" customHeight="1">
      <x:c r="A31" s="192" t="str">
        <x:v>WBS-027 — Notification Centre</x:v>
      </x:c>
      <x:c r="B31" s="191" t="str">
        <x:v>Screen</x:v>
      </x:c>
      <x:c r="C31" s="191" t="str">
        <x:v>Self-study / Account</x:v>
      </x:c>
      <x:c r="D31" s="191" t="str">
        <x:v>FT-51, FT-52, FT-53, FT-54</x:v>
      </x:c>
      <x:c r="E31" s="191" t="str">
        <x:v>Lists the learner's in-app notifications and lets the learner choose channels, reminder time and registered devices. Route: /notifications</x:v>
      </x:c>
      <x:c r="F31" s="196" t="str">
        <x:v>Medium</x:v>
      </x:c>
      <x:c r="G31" s="197" t="n">
        <x:v>5</x:v>
      </x:c>
      <x:c r="H31" s="198" t="str">
        <x:v>Iteration 3</x:v>
      </x:c>
      <x:c r="I31" s="198" t="str">
        <x:v>FE owner</x:v>
      </x:c>
      <x:c r="J31" s="197"/>
      <x:c r="K31" s="199" t="str">
        <x:v>Not Started</x:v>
      </x:c>
      <x:c r="L31" s="191" t="str">
        <x:v>FDS §2.27; FT-51, FT-52, FT-53, FT-54; UC-32, UC-31; FE: not built; Draft. Role: CUSTOMER. Estimate is provisional (3/5/8 pts from input/API complexity), not actual effort. Owner is a proposed role. Future iteration proposal, outside current Phase 1 acceptance.</x:v>
      </x:c>
    </x:row>
    <x:row r="32" ht="102" customHeight="1">
      <x:c r="A32" s="201" t="str">
        <x:v>WBS-028 — Vocabulary</x:v>
      </x:c>
      <x:c r="B32" s="200" t="str">
        <x:v>Screen</x:v>
      </x:c>
      <x:c r="C32" s="200" t="str">
        <x:v>Self-study / Account</x:v>
      </x:c>
      <x:c r="D32" s="200" t="str">
        <x:v>FT-36, FT-43</x:v>
      </x:c>
      <x:c r="E32" s="200" t="str">
        <x:v>Lets the learner look up topic vocabulary, hear the pronunciation and save words to review later. Route: /vocabulary · Public page</x:v>
      </x:c>
      <x:c r="F32" s="196" t="str">
        <x:v>Medium</x:v>
      </x:c>
      <x:c r="G32" s="197" t="n">
        <x:v>5</x:v>
      </x:c>
      <x:c r="H32" s="202" t="str">
        <x:v>Iteration 2</x:v>
      </x:c>
      <x:c r="I32" s="202" t="str">
        <x:v>FE owner</x:v>
      </x:c>
      <x:c r="J32" s="197"/>
      <x:c r="K32" s="199" t="str">
        <x:v>Done</x:v>
      </x:c>
      <x:c r="L32" s="200" t="str">
        <x:v>FDS §2.28; FT-36, FT-43; UC-37, UC-33; FE: built on mock data; Specified (backend); frontend on mock data (GAP-10). Role: Guest and any signed-in user. Estimate is provisional (3/5/8 pts from input/API complexity), not actual effort. Owner is a proposed role. Done refers only to the mock prototype; backend integration and acceptance are not complete. Iteration assignment is proposed, not an approved schedule.</x:v>
      </x:c>
    </x:row>
    <x:row r="33" ht="76" customHeight="1">
      <x:c r="A33" s="192" t="str">
        <x:v>WBS-029 — Video Library</x:v>
      </x:c>
      <x:c r="B33" s="191" t="str">
        <x:v>Screen</x:v>
      </x:c>
      <x:c r="C33" s="191" t="str">
        <x:v>Self-study / Account</x:v>
      </x:c>
      <x:c r="D33" s="191" t="str">
        <x:v>FT-37, FT-38</x:v>
      </x:c>
      <x:c r="E33" s="191" t="str">
        <x:v>Lists the published learning videos with the learner's progress, so the learner can pick one to watch. Route: /library/videos</x:v>
      </x:c>
      <x:c r="F33" s="196" t="str">
        <x:v>Simple</x:v>
      </x:c>
      <x:c r="G33" s="197" t="n">
        <x:v>3</x:v>
      </x:c>
      <x:c r="H33" s="198" t="str">
        <x:v>Iteration 2</x:v>
      </x:c>
      <x:c r="I33" s="198" t="str">
        <x:v>FE owner</x:v>
      </x:c>
      <x:c r="J33" s="197"/>
      <x:c r="K33" s="199" t="str">
        <x:v>Not Started</x:v>
      </x:c>
      <x:c r="L33" s="191" t="str">
        <x:v>FDS §2.29; FT-37, FT-38; UC-37; FE: not built; Specified. Role: CUSTOMER, EXAMINER, CONTENT_AUTHOR, ADMIN. Estimate is provisional (3/5/8 pts from input/API complexity), not actual effort. Owner is a proposed role. Future iteration proposal, outside current Phase 1 acceptance.</x:v>
      </x:c>
    </x:row>
    <x:row r="34" ht="87" customHeight="1">
      <x:c r="A34" s="201" t="str">
        <x:v>WBS-030 — Video Player</x:v>
      </x:c>
      <x:c r="B34" s="200" t="str">
        <x:v>Screen</x:v>
      </x:c>
      <x:c r="C34" s="200" t="str">
        <x:v>Self-study / Account</x:v>
      </x:c>
      <x:c r="D34" s="200" t="str">
        <x:v>FT-37, FT-38, FT-39, FT-40, FT-41</x:v>
      </x:c>
      <x:c r="E34" s="200" t="str">
        <x:v>Plays a learning video with its segment transcript, remembers progress, saves segments and lets the learner practise shadowing and dictation on a segment. Route: /library/videos/:videoId</x:v>
      </x:c>
      <x:c r="F34" s="196" t="str">
        <x:v>Complex</x:v>
      </x:c>
      <x:c r="G34" s="197" t="n">
        <x:v>8</x:v>
      </x:c>
      <x:c r="H34" s="202" t="str">
        <x:v>Iteration 2</x:v>
      </x:c>
      <x:c r="I34" s="202" t="str">
        <x:v>FE owner</x:v>
      </x:c>
      <x:c r="J34" s="197"/>
      <x:c r="K34" s="199" t="str">
        <x:v>Not Started</x:v>
      </x:c>
      <x:c r="L34" s="200" t="str">
        <x:v>FDS §2.30; FT-37, FT-38, FT-39, FT-40, FT-41; UC-38, UC-17, UC-39, UC-14, UC-15; FE: not built; Specified (shadowing / dictation scoring: Draft). Role: CUSTOMER. Estimate is provisional (3/5/8 pts from input/API complexity), not actual effort. Owner is a proposed role. Future iteration proposal, outside current Phase 1 acceptance.</x:v>
      </x:c>
    </x:row>
    <x:row r="35" ht="76" customHeight="1">
      <x:c r="A35" s="192" t="str">
        <x:v>WBS-031 — My Notes</x:v>
      </x:c>
      <x:c r="B35" s="191" t="str">
        <x:v>Screen</x:v>
      </x:c>
      <x:c r="C35" s="191" t="str">
        <x:v>Self-study / Account</x:v>
      </x:c>
      <x:c r="D35" s="191" t="str">
        <x:v>FT-42</x:v>
      </x:c>
      <x:c r="E35" s="191" t="str">
        <x:v>Lets the learner write private notes, optionally linked to a knowledge point or a Reading section. Route: /library/notes</x:v>
      </x:c>
      <x:c r="F35" s="196" t="str">
        <x:v>Medium</x:v>
      </x:c>
      <x:c r="G35" s="197" t="n">
        <x:v>5</x:v>
      </x:c>
      <x:c r="H35" s="198" t="str">
        <x:v>Iteration 2</x:v>
      </x:c>
      <x:c r="I35" s="198" t="str">
        <x:v>FE owner</x:v>
      </x:c>
      <x:c r="J35" s="197"/>
      <x:c r="K35" s="199" t="str">
        <x:v>Not Started</x:v>
      </x:c>
      <x:c r="L35" s="191" t="str">
        <x:v>FDS §2.31; FT-42; UC-33; FE: not built; Specified. Role: Any signed-in role. Estimate is provisional (3/5/8 pts from input/API complexity), not actual effort. Owner is a proposed role. Future iteration proposal, outside current Phase 1 acceptance.</x:v>
      </x:c>
    </x:row>
    <x:row r="36" ht="76" customHeight="1">
      <x:c r="A36" s="201" t="str">
        <x:v>WBS-032 — Flashcards &amp; Decks</x:v>
      </x:c>
      <x:c r="B36" s="200" t="str">
        <x:v>Screen</x:v>
      </x:c>
      <x:c r="C36" s="200" t="str">
        <x:v>Self-study / Account</x:v>
      </x:c>
      <x:c r="D36" s="200" t="str">
        <x:v>FT-43</x:v>
      </x:c>
      <x:c r="E36" s="200" t="str">
        <x:v>Lets the learner create flashcards, group them into decks and study a deck card by card. Route: /library/flashcards</x:v>
      </x:c>
      <x:c r="F36" s="196" t="str">
        <x:v>Complex</x:v>
      </x:c>
      <x:c r="G36" s="197" t="n">
        <x:v>8</x:v>
      </x:c>
      <x:c r="H36" s="202" t="str">
        <x:v>Iteration 2</x:v>
      </x:c>
      <x:c r="I36" s="202" t="str">
        <x:v>FE owner</x:v>
      </x:c>
      <x:c r="J36" s="197"/>
      <x:c r="K36" s="199" t="str">
        <x:v>Not Started</x:v>
      </x:c>
      <x:c r="L36" s="200" t="str">
        <x:v>FDS §2.32; FT-43; UC-33; FE: not built; Specified. Role: Any signed-in role. Estimate is provisional (3/5/8 pts from input/API complexity), not actual effort. Owner is a proposed role. Future iteration proposal, outside current Phase 1 acceptance.</x:v>
      </x:c>
    </x:row>
    <x:row r="37" ht="76" customHeight="1">
      <x:c r="A37" s="192" t="str">
        <x:v>WBS-033 — Game Lobby</x:v>
      </x:c>
      <x:c r="B37" s="191" t="str">
        <x:v>Screen</x:v>
      </x:c>
      <x:c r="C37" s="191" t="str">
        <x:v>Self-study / Account</x:v>
      </x:c>
      <x:c r="D37" s="191" t="str">
        <x:v>FT-46, FT-47, FT-48</x:v>
      </x:c>
      <x:c r="E37" s="191" t="str">
        <x:v>Lets the learner start a single-player game, create or join a multiplayer room, and see past sessions. Route: /games</x:v>
      </x:c>
      <x:c r="F37" s="196" t="str">
        <x:v>Medium</x:v>
      </x:c>
      <x:c r="G37" s="197" t="n">
        <x:v>5</x:v>
      </x:c>
      <x:c r="H37" s="198" t="str">
        <x:v>Iteration 3</x:v>
      </x:c>
      <x:c r="I37" s="198" t="str">
        <x:v>FE owner</x:v>
      </x:c>
      <x:c r="J37" s="197"/>
      <x:c r="K37" s="199" t="str">
        <x:v>Not Started</x:v>
      </x:c>
      <x:c r="L37" s="191" t="str">
        <x:v>FDS §2.33; FT-46, FT-47, FT-48; UC-34; FE: not built; Specified (matchmaking: Draft). Role: Any signed-in role. Estimate is provisional (3/5/8 pts from input/API complexity), not actual effort. Owner is a proposed role. Future iteration proposal, outside current Phase 1 acceptance.</x:v>
      </x:c>
    </x:row>
    <x:row r="38" ht="76" customHeight="1">
      <x:c r="A38" s="201" t="str">
        <x:v>WBS-034 — Single-player Game</x:v>
      </x:c>
      <x:c r="B38" s="200" t="str">
        <x:v>Screen</x:v>
      </x:c>
      <x:c r="C38" s="200" t="str">
        <x:v>Self-study / Account</x:v>
      </x:c>
      <x:c r="D38" s="200" t="str">
        <x:v>FT-46</x:v>
      </x:c>
      <x:c r="E38" s="200" t="str">
        <x:v>Plays a single-player vocabulary or grammar game item by item on a frozen content snapshot and shows the final score. Route: /games/sessions/:sessionId</x:v>
      </x:c>
      <x:c r="F38" s="196" t="str">
        <x:v>Simple</x:v>
      </x:c>
      <x:c r="G38" s="197" t="n">
        <x:v>3</x:v>
      </x:c>
      <x:c r="H38" s="202" t="str">
        <x:v>Iteration 3</x:v>
      </x:c>
      <x:c r="I38" s="202" t="str">
        <x:v>FE owner</x:v>
      </x:c>
      <x:c r="J38" s="197"/>
      <x:c r="K38" s="199" t="str">
        <x:v>Not Started</x:v>
      </x:c>
      <x:c r="L38" s="200" t="str">
        <x:v>FDS §2.34; FT-46; UC-34; FE: not built; Specified. Role: Any signed-in role. Estimate is provisional (3/5/8 pts from input/API complexity), not actual effort. Owner is a proposed role. Future iteration proposal, outside current Phase 1 acceptance.</x:v>
      </x:c>
    </x:row>
    <x:row r="39" ht="76" customHeight="1">
      <x:c r="A39" s="192" t="str">
        <x:v>WBS-035 — Game Room</x:v>
      </x:c>
      <x:c r="B39" s="191" t="str">
        <x:v>Screen</x:v>
      </x:c>
      <x:c r="C39" s="191" t="str">
        <x:v>Self-study / Account</x:v>
      </x:c>
      <x:c r="D39" s="191" t="str">
        <x:v>FT-47</x:v>
      </x:c>
      <x:c r="E39" s="191" t="str">
        <x:v>Gathers players in a multiplayer room, lets the host start the match and plays it in real time over WebSocket, ending with a ranking. Route: /games/rooms/:roomId</x:v>
      </x:c>
      <x:c r="F39" s="196" t="str">
        <x:v>Medium</x:v>
      </x:c>
      <x:c r="G39" s="197" t="n">
        <x:v>5</x:v>
      </x:c>
      <x:c r="H39" s="198" t="str">
        <x:v>Iteration 3</x:v>
      </x:c>
      <x:c r="I39" s="198" t="str">
        <x:v>FE owner</x:v>
      </x:c>
      <x:c r="J39" s="197"/>
      <x:c r="K39" s="199" t="str">
        <x:v>Not Started</x:v>
      </x:c>
      <x:c r="L39" s="191" t="str">
        <x:v>FDS §2.35; FT-47; UC-34; FE: not built; Specified. Role: Any signed-in role. Estimate is provisional (3/5/8 pts from input/API complexity), not actual effort. Owner is a proposed role. Future iteration proposal, outside current Phase 1 acceptance.</x:v>
      </x:c>
    </x:row>
    <x:row r="40" ht="76" customHeight="1">
      <x:c r="A40" s="201" t="str">
        <x:v>WBS-036 — Community Feed</x:v>
      </x:c>
      <x:c r="B40" s="200" t="str">
        <x:v>Screen</x:v>
      </x:c>
      <x:c r="C40" s="200" t="str">
        <x:v>Self-study / Account</x:v>
      </x:c>
      <x:c r="D40" s="200" t="str">
        <x:v>FT-49, FT-50</x:v>
      </x:c>
      <x:c r="E40" s="200" t="str">
        <x:v>Lists active community posts newest first and lets users write a post, react, and — for Administrators — hide posts that break the rules. Route: /community</x:v>
      </x:c>
      <x:c r="F40" s="196" t="str">
        <x:v>Medium</x:v>
      </x:c>
      <x:c r="G40" s="197" t="n">
        <x:v>5</x:v>
      </x:c>
      <x:c r="H40" s="202" t="str">
        <x:v>Iteration 3</x:v>
      </x:c>
      <x:c r="I40" s="202" t="str">
        <x:v>FE owner</x:v>
      </x:c>
      <x:c r="J40" s="197"/>
      <x:c r="K40" s="199" t="str">
        <x:v>Not Started</x:v>
      </x:c>
      <x:c r="L40" s="200" t="str">
        <x:v>FDS §2.36; FT-49, FT-50; UC-35, UC-36; FE: not built; Specified. Role: Any signed-in role. Estimate is provisional (3/5/8 pts from input/API complexity), not actual effort. Owner is a proposed role. Future iteration proposal, outside current Phase 1 acceptance.</x:v>
      </x:c>
    </x:row>
    <x:row r="41" ht="76" customHeight="1">
      <x:c r="A41" s="192" t="str">
        <x:v>WBS-037 — Post Detail</x:v>
      </x:c>
      <x:c r="B41" s="191" t="str">
        <x:v>Screen</x:v>
      </x:c>
      <x:c r="C41" s="191" t="str">
        <x:v>Self-study / Account</x:v>
      </x:c>
      <x:c r="D41" s="191" t="str">
        <x:v>FT-49, FT-50</x:v>
      </x:c>
      <x:c r="E41" s="191" t="str">
        <x:v>Shows one post with its comments and lets users comment, reply, edit or delete their own content, and Administrators hide or restore it. Route: /community/posts/:postId</x:v>
      </x:c>
      <x:c r="F41" s="196" t="str">
        <x:v>Complex</x:v>
      </x:c>
      <x:c r="G41" s="197" t="n">
        <x:v>8</x:v>
      </x:c>
      <x:c r="H41" s="198" t="str">
        <x:v>Iteration 3</x:v>
      </x:c>
      <x:c r="I41" s="198" t="str">
        <x:v>FE owner</x:v>
      </x:c>
      <x:c r="J41" s="197"/>
      <x:c r="K41" s="199" t="str">
        <x:v>Not Started</x:v>
      </x:c>
      <x:c r="L41" s="191" t="str">
        <x:v>FDS §2.37; FT-49, FT-50; UC-35, UC-36; FE: not built; Specified. Role: Any signed-in role. Estimate is provisional (3/5/8 pts from input/API complexity), not actual effort. Owner is a proposed role. Future iteration proposal, outside current Phase 1 acceptance.</x:v>
      </x:c>
    </x:row>
    <x:row r="42" ht="76" customHeight="1">
      <x:c r="A42" s="201" t="str">
        <x:v>WBS-038 — User Management</x:v>
      </x:c>
      <x:c r="B42" s="200" t="str">
        <x:v>Screen</x:v>
      </x:c>
      <x:c r="C42" s="200" t="str">
        <x:v>Staff</x:v>
      </x:c>
      <x:c r="D42" s="200" t="str">
        <x:v>FT-07, FT-08</x:v>
      </x:c>
      <x:c r="E42" s="200" t="str">
        <x:v>Lets an Administrator find accounts, create staff or learner accounts with roles, and open an account to manage it. Route: /admin/users · ADMIN home</x:v>
      </x:c>
      <x:c r="F42" s="196" t="str">
        <x:v>Simple</x:v>
      </x:c>
      <x:c r="G42" s="197" t="n">
        <x:v>3</x:v>
      </x:c>
      <x:c r="H42" s="202" t="str">
        <x:v>Iteration 3</x:v>
      </x:c>
      <x:c r="I42" s="202" t="str">
        <x:v>FE owner</x:v>
      </x:c>
      <x:c r="J42" s="197"/>
      <x:c r="K42" s="199" t="str">
        <x:v>Not Started</x:v>
      </x:c>
      <x:c r="L42" s="200" t="str">
        <x:v>FDS §2.38; FT-07, FT-08; UC-07; FE: not built; Specified (paging and search: Draft). Role: ADMIN. Estimate is provisional (3/5/8 pts from input/API complexity), not actual effort. Owner is a proposed role. Future iteration proposal, outside current Phase 1 acceptance.</x:v>
      </x:c>
    </x:row>
    <x:row r="43" ht="76" customHeight="1">
      <x:c r="A43" s="192" t="str">
        <x:v>WBS-039 — User Detail</x:v>
      </x:c>
      <x:c r="B43" s="191" t="str">
        <x:v>Screen</x:v>
      </x:c>
      <x:c r="C43" s="191" t="str">
        <x:v>Staff</x:v>
      </x:c>
      <x:c r="D43" s="191" t="str">
        <x:v>FT-04, FT-05, FT-08, FT-09, FT-10, FT-12, FT-13</x:v>
      </x:c>
      <x:c r="E43" s="191" t="str">
        <x:v>Lets an Administrator change one account's details, roles and status, and review its profile, goals, linked providers and account action tokens. Route: /admin/users/:userId</x:v>
      </x:c>
      <x:c r="F43" s="196" t="str">
        <x:v>Complex</x:v>
      </x:c>
      <x:c r="G43" s="197" t="n">
        <x:v>8</x:v>
      </x:c>
      <x:c r="H43" s="198" t="str">
        <x:v>Iteration 3</x:v>
      </x:c>
      <x:c r="I43" s="198" t="str">
        <x:v>FE owner</x:v>
      </x:c>
      <x:c r="J43" s="197"/>
      <x:c r="K43" s="199" t="str">
        <x:v>Not Started</x:v>
      </x:c>
      <x:c r="L43" s="191" t="str">
        <x:v>FDS §2.39; FT-04, FT-05, FT-08, FT-09, FT-10, FT-12, FT-13; UC-07; FE: not built; Specified. Role: ADMIN. Estimate is provisional (3/5/8 pts from input/API complexity), not actual effort. Owner is a proposed role. Future iteration proposal, outside current Phase 1 acceptance.</x:v>
      </x:c>
    </x:row>
    <x:row r="44" ht="76" customHeight="1">
      <x:c r="A44" s="201" t="str">
        <x:v>WBS-040 — Plans &amp; Key Products</x:v>
      </x:c>
      <x:c r="B44" s="200" t="str">
        <x:v>Screen</x:v>
      </x:c>
      <x:c r="C44" s="200" t="str">
        <x:v>Staff</x:v>
      </x:c>
      <x:c r="D44" s="200" t="str">
        <x:v>FT-10, FT-14</x:v>
      </x:c>
      <x:c r="E44" s="200" t="str">
        <x:v>Lets an Administrator define plans and the key products that activation keys grant (Premium days with examiner credits, or points). Route: /admin/access/plans</x:v>
      </x:c>
      <x:c r="F44" s="196" t="str">
        <x:v>Medium</x:v>
      </x:c>
      <x:c r="G44" s="197" t="n">
        <x:v>5</x:v>
      </x:c>
      <x:c r="H44" s="202" t="str">
        <x:v>Iteration 3</x:v>
      </x:c>
      <x:c r="I44" s="202" t="str">
        <x:v>FE owner</x:v>
      </x:c>
      <x:c r="J44" s="197"/>
      <x:c r="K44" s="199" t="str">
        <x:v>Not Started</x:v>
      </x:c>
      <x:c r="L44" s="200" t="str">
        <x:v>FDS §2.40; FT-10, FT-14; UC-29; FE: not built; Specified. Role: ADMIN. Estimate is provisional (3/5/8 pts from input/API complexity), not actual effort. Owner is a proposed role. Future iteration proposal, outside current Phase 1 acceptance.</x:v>
      </x:c>
    </x:row>
    <x:row r="45" ht="76" customHeight="1">
      <x:c r="A45" s="192" t="str">
        <x:v>WBS-041 — Activation Keys</x:v>
      </x:c>
      <x:c r="B45" s="191" t="str">
        <x:v>Screen</x:v>
      </x:c>
      <x:c r="C45" s="191" t="str">
        <x:v>Staff</x:v>
      </x:c>
      <x:c r="D45" s="191" t="str">
        <x:v>FT-11</x:v>
      </x:c>
      <x:c r="E45" s="191" t="str">
        <x:v>Lets staff generate a batch of activation keys for a key product, copy them once, and revoke keys that were lost before use. Route: /admin/access/keys · SALES_STAFF home</x:v>
      </x:c>
      <x:c r="F45" s="196" t="str">
        <x:v>Medium</x:v>
      </x:c>
      <x:c r="G45" s="197" t="n">
        <x:v>5</x:v>
      </x:c>
      <x:c r="H45" s="198" t="str">
        <x:v>Iteration 3</x:v>
      </x:c>
      <x:c r="I45" s="198" t="str">
        <x:v>FE owner</x:v>
      </x:c>
      <x:c r="J45" s="197"/>
      <x:c r="K45" s="199" t="str">
        <x:v>Not Started</x:v>
      </x:c>
      <x:c r="L45" s="191" t="str">
        <x:v>FDS §2.41; FT-11; UC-28; FE: not built; Specified for ADMIN (SALES_STAFF access and key list: Draft). Role: ADMIN, SALES_STAFF. Estimate is provisional (3/5/8 pts from input/API complexity), not actual effort. Owner is a proposed role. Future iteration proposal, outside current Phase 1 acceptance.</x:v>
      </x:c>
    </x:row>
    <x:row r="46" ht="76" customHeight="1">
      <x:c r="A46" s="201" t="str">
        <x:v>WBS-042 — Points &amp; Subscriptions</x:v>
      </x:c>
      <x:c r="B46" s="200" t="str">
        <x:v>Screen</x:v>
      </x:c>
      <x:c r="C46" s="200" t="str">
        <x:v>Staff</x:v>
      </x:c>
      <x:c r="D46" s="200" t="str">
        <x:v>FT-10, FT-12, FT-14</x:v>
      </x:c>
      <x:c r="E46" s="200" t="str">
        <x:v>Lets an Administrator grant subscription days and examiner credits, adjust or refund a learner's points with a reason, and consume an examiner credit. Route: /admin/access/accounts</x:v>
      </x:c>
      <x:c r="F46" s="196" t="str">
        <x:v>Medium</x:v>
      </x:c>
      <x:c r="G46" s="197" t="n">
        <x:v>5</x:v>
      </x:c>
      <x:c r="H46" s="202" t="str">
        <x:v>Iteration 3</x:v>
      </x:c>
      <x:c r="I46" s="202" t="str">
        <x:v>FE owner</x:v>
      </x:c>
      <x:c r="J46" s="197"/>
      <x:c r="K46" s="199" t="str">
        <x:v>Not Started</x:v>
      </x:c>
      <x:c r="L46" s="200" t="str">
        <x:v>FDS §2.42; FT-10, FT-12, FT-14; UC-29; FE: not built; Specified. Role: ADMIN. Estimate is provisional (3/5/8 pts from input/API complexity), not actual effort. Owner is a proposed role. Future iteration proposal, outside current Phase 1 acceptance.</x:v>
      </x:c>
    </x:row>
    <x:row r="47" ht="76" customHeight="1">
      <x:c r="A47" s="192" t="str">
        <x:v>WBS-043 — Topics &amp; Knowledge Points</x:v>
      </x:c>
      <x:c r="B47" s="191" t="str">
        <x:v>Screen</x:v>
      </x:c>
      <x:c r="C47" s="191" t="str">
        <x:v>Staff</x:v>
      </x:c>
      <x:c r="D47" s="191" t="str">
        <x:v>FT-15</x:v>
      </x:c>
      <x:c r="E47" s="191" t="str">
        <x:v>Lets an author maintain the topic tree of each skill and the knowledge points each topic teaches. Route: /author/topics · CONTENT_AUTHOR home</x:v>
      </x:c>
      <x:c r="F47" s="196" t="str">
        <x:v>Medium</x:v>
      </x:c>
      <x:c r="G47" s="197" t="n">
        <x:v>5</x:v>
      </x:c>
      <x:c r="H47" s="198" t="str">
        <x:v>Iteration 3</x:v>
      </x:c>
      <x:c r="I47" s="198" t="str">
        <x:v>FE owner</x:v>
      </x:c>
      <x:c r="J47" s="197"/>
      <x:c r="K47" s="199" t="str">
        <x:v>Not Started</x:v>
      </x:c>
      <x:c r="L47" s="191" t="str">
        <x:v>FDS §2.43; FT-15; UC-40; FE: not built; Specified. Role: ADMIN, CONTENT_AUTHOR. Estimate is provisional (3/5/8 pts from input/API complexity), not actual effort. Owner is a proposed role. Future iteration proposal, outside current Phase 1 acceptance.</x:v>
      </x:c>
    </x:row>
    <x:row r="48" ht="76" customHeight="1">
      <x:c r="A48" s="201" t="str">
        <x:v>WBS-044 — Question Bank</x:v>
      </x:c>
      <x:c r="B48" s="200" t="str">
        <x:v>Screen</x:v>
      </x:c>
      <x:c r="C48" s="200" t="str">
        <x:v>Staff</x:v>
      </x:c>
      <x:c r="D48" s="200" t="str">
        <x:v>FT-16</x:v>
      </x:c>
      <x:c r="E48" s="200" t="str">
        <x:v>Lets an author create versioned questions with answer, explanation, hint, purpose and knowledge points, and filter the bank by purpose and skill. Route: /author/questions</x:v>
      </x:c>
      <x:c r="F48" s="196" t="str">
        <x:v>Medium</x:v>
      </x:c>
      <x:c r="G48" s="197" t="n">
        <x:v>5</x:v>
      </x:c>
      <x:c r="H48" s="202" t="str">
        <x:v>Iteration 3</x:v>
      </x:c>
      <x:c r="I48" s="202" t="str">
        <x:v>FE owner</x:v>
      </x:c>
      <x:c r="J48" s="197"/>
      <x:c r="K48" s="199" t="str">
        <x:v>Not Started</x:v>
      </x:c>
      <x:c r="L48" s="200" t="str">
        <x:v>FDS §2.44; FT-16; UC-40; FE: not built; Specified. Role: ADMIN, CONTENT_AUTHOR. Estimate is provisional (3/5/8 pts from input/API complexity), not actual effort. Owner is a proposed role. Future iteration proposal, outside current Phase 1 acceptance.</x:v>
      </x:c>
    </x:row>
    <x:row r="49" ht="76" customHeight="1">
      <x:c r="A49" s="192" t="str">
        <x:v>WBS-045 — Packages</x:v>
      </x:c>
      <x:c r="B49" s="191" t="str">
        <x:v>Screen</x:v>
      </x:c>
      <x:c r="C49" s="191" t="str">
        <x:v>Staff</x:v>
      </x:c>
      <x:c r="D49" s="191" t="str">
        <x:v>FT-17, FT-34, FT-35</x:v>
      </x:c>
      <x:c r="E49" s="191" t="str">
        <x:v>Lets an author group questions into versioned packages — practice sets, tests and quizzes — and publish them after the system checks question ownership and purpose. Route: /author/packages</x:v>
      </x:c>
      <x:c r="F49" s="196" t="str">
        <x:v>Medium</x:v>
      </x:c>
      <x:c r="G49" s="197" t="n">
        <x:v>5</x:v>
      </x:c>
      <x:c r="H49" s="198" t="str">
        <x:v>Iteration 3</x:v>
      </x:c>
      <x:c r="I49" s="198" t="str">
        <x:v>FE owner</x:v>
      </x:c>
      <x:c r="J49" s="197"/>
      <x:c r="K49" s="199" t="str">
        <x:v>Not Started</x:v>
      </x:c>
      <x:c r="L49" s="191" t="str">
        <x:v>FDS §2.45; FT-17, FT-34, FT-35; UC-40; FE: not built; Specified (TOPIC_TEST creation: Draft). Role: ADMIN, CONTENT_AUTHOR. Estimate is provisional (3/5/8 pts from input/API complexity), not actual effort. Owner is a proposed role. Future iteration proposal, outside current Phase 1 acceptance.</x:v>
      </x:c>
    </x:row>
    <x:row r="50" ht="76" customHeight="1">
      <x:c r="A50" s="201" t="str">
        <x:v>WBS-046 — Media Assets</x:v>
      </x:c>
      <x:c r="B50" s="200" t="str">
        <x:v>Screen</x:v>
      </x:c>
      <x:c r="C50" s="200" t="str">
        <x:v>Staff</x:v>
      </x:c>
      <x:c r="D50" s="200" t="str">
        <x:v>FT-18, FT-24</x:v>
      </x:c>
      <x:c r="E50" s="200" t="str">
        <x:v>Lets an author register passage text, images and Listening audio as assets and link them to sections or question versions. Route: /author/assets</x:v>
      </x:c>
      <x:c r="F50" s="196" t="str">
        <x:v>Medium</x:v>
      </x:c>
      <x:c r="G50" s="197" t="n">
        <x:v>5</x:v>
      </x:c>
      <x:c r="H50" s="202" t="str">
        <x:v>Iteration 3</x:v>
      </x:c>
      <x:c r="I50" s="202" t="str">
        <x:v>FE owner</x:v>
      </x:c>
      <x:c r="J50" s="197"/>
      <x:c r="K50" s="199" t="str">
        <x:v>Not Started</x:v>
      </x:c>
      <x:c r="L50" s="200" t="str">
        <x:v>FDS §2.46; FT-18, FT-24; UC-40, UC-41; FE: not built; Specified (upload: Draft). Role: ADMIN, CONTENT_AUTHOR. Estimate is provisional (3/5/8 pts from input/API complexity), not actual effort. Owner is a proposed role. Future iteration proposal, outside current Phase 1 acceptance.</x:v>
      </x:c>
    </x:row>
    <x:row r="51" ht="76" customHeight="1">
      <x:c r="A51" s="192" t="str">
        <x:v>WBS-047 — Lesson Builder</x:v>
      </x:c>
      <x:c r="B51" s="191" t="str">
        <x:v>Screen</x:v>
      </x:c>
      <x:c r="C51" s="191" t="str">
        <x:v>Staff</x:v>
      </x:c>
      <x:c r="D51" s="191" t="str">
        <x:v>FT-19</x:v>
      </x:c>
      <x:c r="E51" s="191" t="str">
        <x:v>Lets an author build a topic's ordered lessons from theory, assets, exercise blocks and essay blocks, and publish them to the learning path. Route: /author/lessons/:lessonId</x:v>
      </x:c>
      <x:c r="F51" s="196" t="str">
        <x:v>Simple</x:v>
      </x:c>
      <x:c r="G51" s="197" t="n">
        <x:v>3</x:v>
      </x:c>
      <x:c r="H51" s="198" t="str">
        <x:v>Iteration 3</x:v>
      </x:c>
      <x:c r="I51" s="198" t="str">
        <x:v>FE owner</x:v>
      </x:c>
      <x:c r="J51" s="197"/>
      <x:c r="K51" s="199" t="str">
        <x:v>Not Started</x:v>
      </x:c>
      <x:c r="L51" s="191" t="str">
        <x:v>FDS §2.47; FT-19; UC-42; FE: not built; Draft. Role: ADMIN, CONTENT_AUTHOR. Estimate is provisional (3/5/8 pts from input/API complexity), not actual effort. Owner is a proposed role. Future iteration proposal, outside current Phase 1 acceptance.</x:v>
      </x:c>
    </x:row>
    <x:row r="52" ht="76" customHeight="1">
      <x:c r="A52" s="201" t="str">
        <x:v>WBS-048 — Vocabulary Management</x:v>
      </x:c>
      <x:c r="B52" s="200" t="str">
        <x:v>Screen</x:v>
      </x:c>
      <x:c r="C52" s="200" t="str">
        <x:v>Staff</x:v>
      </x:c>
      <x:c r="D52" s="200" t="str">
        <x:v>FT-36</x:v>
      </x:c>
      <x:c r="E52" s="200" t="str">
        <x:v>Lets an author add vocabulary items and their senses to the catalog used by lessons, videos, flashcards and games. Route: /author/vocabulary</x:v>
      </x:c>
      <x:c r="F52" s="196" t="str">
        <x:v>Medium</x:v>
      </x:c>
      <x:c r="G52" s="197" t="n">
        <x:v>5</x:v>
      </x:c>
      <x:c r="H52" s="202" t="str">
        <x:v>Iteration 3</x:v>
      </x:c>
      <x:c r="I52" s="202" t="str">
        <x:v>FE owner</x:v>
      </x:c>
      <x:c r="J52" s="197"/>
      <x:c r="K52" s="199" t="str">
        <x:v>Not Started</x:v>
      </x:c>
      <x:c r="L52" s="200" t="str">
        <x:v>FDS §2.48; FT-36; UC-40; FE: not built; Specified. Role: ADMIN, CONTENT_AUTHOR. Estimate is provisional (3/5/8 pts from input/API complexity), not actual effort. Owner is a proposed role. Future iteration proposal, outside current Phase 1 acceptance.</x:v>
      </x:c>
    </x:row>
    <x:row r="53" ht="76" customHeight="1">
      <x:c r="A53" s="192" t="str">
        <x:v>WBS-049 — Video Management</x:v>
      </x:c>
      <x:c r="B53" s="191" t="str">
        <x:v>Screen</x:v>
      </x:c>
      <x:c r="C53" s="191" t="str">
        <x:v>Staff</x:v>
      </x:c>
      <x:c r="D53" s="191" t="str">
        <x:v>FT-37</x:v>
      </x:c>
      <x:c r="E53" s="191" t="str">
        <x:v>Lets an author register a YouTube learning video, split it into timed segments with transcripts and linked words, and publish it. Route: /author/videos</x:v>
      </x:c>
      <x:c r="F53" s="196" t="str">
        <x:v>Medium</x:v>
      </x:c>
      <x:c r="G53" s="197" t="n">
        <x:v>5</x:v>
      </x:c>
      <x:c r="H53" s="198" t="str">
        <x:v>Iteration 3</x:v>
      </x:c>
      <x:c r="I53" s="198" t="str">
        <x:v>FE owner</x:v>
      </x:c>
      <x:c r="J53" s="197"/>
      <x:c r="K53" s="199" t="str">
        <x:v>Not Started</x:v>
      </x:c>
      <x:c r="L53" s="191" t="str">
        <x:v>FDS §2.49; FT-37; UC-40; FE: not built; Specified. Role: ADMIN, CONTENT_AUTHOR. Estimate is provisional (3/5/8 pts from input/API complexity), not actual effort. Owner is a proposed role. Future iteration proposal, outside current Phase 1 acceptance.</x:v>
      </x:c>
    </x:row>
    <x:row r="54" ht="76" customHeight="1">
      <x:c r="A54" s="201" t="str">
        <x:v>WBS-050 — Grading Workspace</x:v>
      </x:c>
      <x:c r="B54" s="200" t="str">
        <x:v>Screen</x:v>
      </x:c>
      <x:c r="C54" s="200" t="str">
        <x:v>Staff</x:v>
      </x:c>
      <x:c r="D54" s="200" t="str">
        <x:v>FT-32, FT-52</x:v>
      </x:c>
      <x:c r="E54" s="200" t="str">
        <x:v>Lets an Examiner open a submitted attempt, enter item scores, errors and knowledge-point judgments, and finalize the result so it reaches the learner's progress. Route: /examiner/grading · EXAMINER home</x:v>
      </x:c>
      <x:c r="F54" s="196" t="str">
        <x:v>Medium</x:v>
      </x:c>
      <x:c r="G54" s="197" t="n">
        <x:v>5</x:v>
      </x:c>
      <x:c r="H54" s="202" t="str">
        <x:v>Iteration 3</x:v>
      </x:c>
      <x:c r="I54" s="202" t="str">
        <x:v>FE owner</x:v>
      </x:c>
      <x:c r="J54" s="197"/>
      <x:c r="K54" s="199" t="str">
        <x:v>Not Started</x:v>
      </x:c>
      <x:c r="L54" s="200" t="str">
        <x:v>FDS §2.50; FT-32, FT-52; UC-24; FE: not built; Specified (work queue and response view: Draft). Role: ADMIN, EXAMINER. Estimate is provisional (3/5/8 pts from input/API complexity), not actual effort. Owner is a proposed role. Future iteration proposal, outside current Phase 1 acceptance.</x:v>
      </x:c>
    </x:row>
    <x:row r="55" ht="76" customHeight="1">
      <x:c r="A55" s="192" t="str">
        <x:v>WBS-051 — Backend build foundation</x:v>
      </x:c>
      <x:c r="B55" s="191" t="str">
        <x:v>Non-UI</x:v>
      </x:c>
      <x:c r="C55" s="191" t="str">
        <x:v>Infrastructure</x:v>
      </x:c>
      <x:c r="D55" s="191"/>
      <x:c r="E55" s="191" t="str">
        <x:v>Maven multi-module, Java service folders and repeatable build baseline.</x:v>
      </x:c>
      <x:c r="F55" s="196" t="str">
        <x:v>Medium</x:v>
      </x:c>
      <x:c r="G55" s="197" t="n">
        <x:v>5</x:v>
      </x:c>
      <x:c r="H55" s="198" t="str">
        <x:v>Iteration 1</x:v>
      </x:c>
      <x:c r="I55" s="198" t="str">
        <x:v>BE owner</x:v>
      </x:c>
      <x:c r="J55" s="197"/>
      <x:c r="K55" s="199" t="str">
        <x:v>Done</x:v>
      </x:c>
      <x:c r="L55" s="191" t="str">
        <x:v>Git backend 218e071. Foundation supporting FDS §2.0; implementation evidence, not UAT. Estimate / role assignment provisional; actual points unavailable.</x:v>
      </x:c>
    </x:row>
    <x:row r="56" ht="76" customHeight="1">
      <x:c r="A56" s="201" t="str">
        <x:v>WBS-052 — Config Server and Eureka</x:v>
      </x:c>
      <x:c r="B56" s="200" t="str">
        <x:v>Non-UI</x:v>
      </x:c>
      <x:c r="C56" s="200" t="str">
        <x:v>Infrastructure</x:v>
      </x:c>
      <x:c r="D56" s="200"/>
      <x:c r="E56" s="200" t="str">
        <x:v>Centralized configuration and service registration/discovery.</x:v>
      </x:c>
      <x:c r="F56" s="196" t="str">
        <x:v>Medium</x:v>
      </x:c>
      <x:c r="G56" s="197" t="n">
        <x:v>5</x:v>
      </x:c>
      <x:c r="H56" s="202" t="str">
        <x:v>Iteration 1</x:v>
      </x:c>
      <x:c r="I56" s="202" t="str">
        <x:v>BE owner</x:v>
      </x:c>
      <x:c r="J56" s="197"/>
      <x:c r="K56" s="199" t="str">
        <x:v>Done</x:v>
      </x:c>
      <x:c r="L56" s="200" t="str">
        <x:v>Git backend 218e071, dac8b03; backend/README.md. Estimate / role assignment provisional; actual points unavailable.</x:v>
      </x:c>
    </x:row>
    <x:row r="57" ht="76" customHeight="1">
      <x:c r="A57" s="192" t="str">
        <x:v>WBS-053 — Gateway security and routing</x:v>
      </x:c>
      <x:c r="B57" s="191" t="str">
        <x:v>Non-UI</x:v>
      </x:c>
      <x:c r="C57" s="191" t="str">
        <x:v>Security</x:v>
      </x:c>
      <x:c r="D57" s="191"/>
      <x:c r="E57" s="191" t="str">
        <x:v>Route public APIs; verify external JWT; sign internal JWT; enforce roles/ownership and prevent internal-route exposure.</x:v>
      </x:c>
      <x:c r="F57" s="196" t="str">
        <x:v>Complex</x:v>
      </x:c>
      <x:c r="G57" s="197" t="n">
        <x:v>8</x:v>
      </x:c>
      <x:c r="H57" s="198" t="str">
        <x:v>Iteration 1</x:v>
      </x:c>
      <x:c r="I57" s="198" t="str">
        <x:v>BE owner</x:v>
      </x:c>
      <x:c r="J57" s="197"/>
      <x:c r="K57" s="199" t="str">
        <x:v>Done</x:v>
      </x:c>
      <x:c r="L57" s="191" t="str">
        <x:v>FDS §2.0; FT-07; Git backend 218e071, a18a44e, 34335aa. Estimate / role assignment provisional; actual points unavailable.</x:v>
      </x:c>
    </x:row>
    <x:row r="58" ht="76" customHeight="1">
      <x:c r="A58" s="201" t="str">
        <x:v>WBS-054 — Docker and database baseline</x:v>
      </x:c>
      <x:c r="B58" s="200" t="str">
        <x:v>Non-UI</x:v>
      </x:c>
      <x:c r="C58" s="200" t="str">
        <x:v>Infrastructure</x:v>
      </x:c>
      <x:c r="D58" s="200"/>
      <x:c r="E58" s="200" t="str">
        <x:v>Local Docker Compose, service PostgreSQL schemas and Flyway migration foundation.</x:v>
      </x:c>
      <x:c r="F58" s="196" t="str">
        <x:v>Complex</x:v>
      </x:c>
      <x:c r="G58" s="197" t="n">
        <x:v>8</x:v>
      </x:c>
      <x:c r="H58" s="202" t="str">
        <x:v>Iteration 1</x:v>
      </x:c>
      <x:c r="I58" s="202" t="str">
        <x:v>BE owner</x:v>
      </x:c>
      <x:c r="J58" s="197"/>
      <x:c r="K58" s="199" t="str">
        <x:v>Done</x:v>
      </x:c>
      <x:c r="L58" s="200" t="str">
        <x:v>Git backend 218e071, dac8b03. Runtime reliability still requires test evidence. Estimate / role assignment provisional; actual points unavailable.</x:v>
      </x:c>
    </x:row>
    <x:row r="59" ht="76" customHeight="1">
      <x:c r="A59" s="192" t="str">
        <x:v>WBS-055 — Frontend build and UI foundation</x:v>
      </x:c>
      <x:c r="B59" s="191" t="str">
        <x:v>Non-UI</x:v>
      </x:c>
      <x:c r="C59" s="191" t="str">
        <x:v>Frontend Foundation</x:v>
      </x:c>
      <x:c r="D59" s="191"/>
      <x:c r="E59" s="191" t="str">
        <x:v>React/TypeScript/Vite, Tailwind/shadcn setup, theme, aliases and lint/typecheck/build.</x:v>
      </x:c>
      <x:c r="F59" s="196" t="str">
        <x:v>Medium</x:v>
      </x:c>
      <x:c r="G59" s="197" t="n">
        <x:v>5</x:v>
      </x:c>
      <x:c r="H59" s="198" t="str">
        <x:v>Iteration 1</x:v>
      </x:c>
      <x:c r="I59" s="198" t="str">
        <x:v>FE owner</x:v>
      </x:c>
      <x:c r="J59" s="197"/>
      <x:c r="K59" s="199" t="str">
        <x:v>Done</x:v>
      </x:c>
      <x:c r="L59" s="191" t="str">
        <x:v>Git frontend 241abca, 8581a72, 015701d. Baseline work supporting all FDS screens. Estimate / role assignment provisional; actual points unavailable.</x:v>
      </x:c>
    </x:row>
    <x:row r="60" ht="76" customHeight="1">
      <x:c r="A60" s="201" t="str">
        <x:v>WBS-056 — Session and shared request handling</x:v>
      </x:c>
      <x:c r="B60" s="200" t="str">
        <x:v>Non-UI</x:v>
      </x:c>
      <x:c r="C60" s="200" t="str">
        <x:v>Authentication</x:v>
      </x:c>
      <x:c r="D60" s="200"/>
      <x:c r="E60" s="200" t="str">
        <x:v>Memory-only access token, cookie refresh, single-flight retry, protected routes, timeout and shared error states.</x:v>
      </x:c>
      <x:c r="F60" s="196" t="str">
        <x:v>Complex</x:v>
      </x:c>
      <x:c r="G60" s="197" t="n">
        <x:v>8</x:v>
      </x:c>
      <x:c r="H60" s="202" t="str">
        <x:v>Iteration 1</x:v>
      </x:c>
      <x:c r="I60" s="202" t="str">
        <x:v>FE / BE owners</x:v>
      </x:c>
      <x:c r="J60" s="197"/>
      <x:c r="K60" s="199" t="str">
        <x:v>Done</x:v>
      </x:c>
      <x:c r="L60" s="200" t="str">
        <x:v>FDS §2.0 common conventions; FT-03, FT-07; frontend/src/lib/httpClient.ts. Role-based staff routing remains future work. Estimate / role assignment provisional; actual points unavailable.</x:v>
      </x:c>
    </x:row>
    <x:row r="61" ht="76" customHeight="1">
      <x:c r="A61" s="192" t="str">
        <x:v>WBS-057 — Mastery and submission integrity</x:v>
      </x:c>
      <x:c r="B61" s="191" t="str">
        <x:v>Non-UI</x:v>
      </x:c>
      <x:c r="C61" s="191" t="str">
        <x:v>Core Learning</x:v>
      </x:c>
      <x:c r="D61" s="191"/>
      <x:c r="E61" s="191" t="str">
        <x:v>Persist evidence and mastery, apply per-skill gates, enforce request replay and Writing point-charge consistency.</x:v>
      </x:c>
      <x:c r="F61" s="196" t="str">
        <x:v>Complex</x:v>
      </x:c>
      <x:c r="G61" s="197" t="n">
        <x:v>8</x:v>
      </x:c>
      <x:c r="H61" s="198" t="str">
        <x:v>Iteration 1</x:v>
      </x:c>
      <x:c r="I61" s="198" t="str">
        <x:v>BE / QA owners</x:v>
      </x:c>
      <x:c r="J61" s="197"/>
      <x:c r="K61" s="199" t="str">
        <x:v>In Progress</x:v>
      </x:c>
      <x:c r="L61" s="191" t="str">
        <x:v>FDS §2.10–2.17; FT-26–FT-28; BR-21–BR-25, BR-30. Implementation exists; full live/UI and points acceptance remains open. Estimate / role assignment provisional; actual points unavailable.</x:v>
      </x:c>
    </x:row>
    <x:row r="62" ht="102" customHeight="1">
      <x:c r="A62" s="201" t="str">
        <x:v>WBS-058 — JOB-01 Assessment outbox relay</x:v>
      </x:c>
      <x:c r="B62" s="200" t="str">
        <x:v>Non-UI</x:v>
      </x:c>
      <x:c r="C62" s="200" t="str">
        <x:v>Background Jobs</x:v>
      </x:c>
      <x:c r="D62" s="200"/>
      <x:c r="E62" s="200" t="str">
        <x:v>Publishes the AssessmentCompleted.v2 events that grading writes to the outbox table, so a result reaches the learning service only after its database transaction has committed. Trigger: @Scheduled fixed delay 2 s (assessment.outbox.relay.poll-interval = PT2S); enabled by ASSESSMENT_OUTBOX_RELAY_ENABLED (default true)</x:v>
      </x:c>
      <x:c r="F62" s="196" t="str">
        <x:v>Complex</x:v>
      </x:c>
      <x:c r="G62" s="197" t="n">
        <x:v>8</x:v>
      </x:c>
      <x:c r="H62" s="202" t="str">
        <x:v>Iteration 1</x:v>
      </x:c>
      <x:c r="I62" s="202" t="str">
        <x:v>BE owner</x:v>
      </x:c>
      <x:c r="J62" s="197"/>
      <x:c r="K62" s="199" t="str">
        <x:v>Done</x:v>
      </x:c>
      <x:c r="L62" s="200" t="str">
        <x:v>FDS Part 3 JOB-01; FT-29, FT-31, FT-32 · BR-25, BR-26, BR-30; Specified (implemented). Implemented runtime, separate operational acceptance required. Estimate / role assignment provisional; actual points unavailable.</x:v>
      </x:c>
    </x:row>
    <x:row r="63" ht="87" customHeight="1">
      <x:c r="A63" s="192" t="str">
        <x:v>WBS-059 — JOB-02 AssessmentCompleted.v2 consumer</x:v>
      </x:c>
      <x:c r="B63" s="191" t="str">
        <x:v>Non-UI</x:v>
      </x:c>
      <x:c r="C63" s="191" t="str">
        <x:v>Background Jobs</x:v>
      </x:c>
      <x:c r="D63" s="191"/>
      <x:c r="E63" s="191" t="str">
        <x:v>Applies each final assessment result to the learner's progress: knowledge-point evidence, topic test assignment, topic pass and reviews for weak knowledge points. Trigger: @RabbitListener on queue learning.assessment-completed.v2 (manual ack); learning.messaging.consumer-enabled (default true)</x:v>
      </x:c>
      <x:c r="F63" s="196" t="str">
        <x:v>Complex</x:v>
      </x:c>
      <x:c r="G63" s="197" t="n">
        <x:v>8</x:v>
      </x:c>
      <x:c r="H63" s="198" t="str">
        <x:v>Iteration 1</x:v>
      </x:c>
      <x:c r="I63" s="198" t="str">
        <x:v>BE owner</x:v>
      </x:c>
      <x:c r="J63" s="197"/>
      <x:c r="K63" s="199" t="str">
        <x:v>Done</x:v>
      </x:c>
      <x:c r="L63" s="191" t="str">
        <x:v>FDS Part 3 JOB-02; FT-26, FT-29, FT-34, FT-35 · BR-22, BR-23, BR-25; Specified (implemented). Implemented runtime, separate operational acceptance required. Estimate / role assignment provisional; actual points unavailable.</x:v>
      </x:c>
    </x:row>
    <x:row r="64" ht="87" customHeight="1">
      <x:c r="A64" s="201" t="str">
        <x:v>WBS-060 — JOB-03 AI grading worker</x:v>
      </x:c>
      <x:c r="B64" s="200" t="str">
        <x:v>Non-UI</x:v>
      </x:c>
      <x:c r="C64" s="200" t="str">
        <x:v>Background Jobs</x:v>
      </x:c>
      <x:c r="D64" s="200"/>
      <x:c r="E64" s="200" t="str">
        <x:v>Grades a learner's Writing or Speaking response that was sent for AI grading inside a test attempt, and finalizes the result so it feeds learning progress. Trigger: Polls grading_jobs with status QUEUED every [TBC] s (or consumes an internal queue [TBC])</x:v>
      </x:c>
      <x:c r="F64" s="196" t="str">
        <x:v>Complex</x:v>
      </x:c>
      <x:c r="G64" s="197" t="n">
        <x:v>8</x:v>
      </x:c>
      <x:c r="H64" s="202" t="str">
        <x:v>Iteration 3</x:v>
      </x:c>
      <x:c r="I64" s="202" t="str">
        <x:v>BE owner</x:v>
      </x:c>
      <x:c r="J64" s="197"/>
      <x:c r="K64" s="199" t="str">
        <x:v>Not Started</x:v>
      </x:c>
      <x:c r="L64" s="200" t="str">
        <x:v>FDS Part 3 JOB-03; FT-33, FT-34, FT-39 · BR-09, BR-30; Draft. Draft/future iteration proposal, not Phase 1 delivered scope. Estimate / role assignment provisional; actual points unavailable.</x:v>
      </x:c>
    </x:row>
    <x:row r="65" ht="76" customHeight="1">
      <x:c r="A65" s="192" t="str">
        <x:v>WBS-061 — JOB-04 Grading-done alert dispatcher</x:v>
      </x:c>
      <x:c r="B65" s="191" t="str">
        <x:v>Non-UI</x:v>
      </x:c>
      <x:c r="C65" s="191" t="str">
        <x:v>Background Jobs</x:v>
      </x:c>
      <x:c r="D65" s="191"/>
      <x:c r="E65" s="191" t="str">
        <x:v>Creates one grading-done notification when an examiner finalizes a result and hands it to the delivery channels the learner enabled. Trigger: RabbitMQ: own queue bound to assessment.events / assessment.completed.v2 [TBC: queue name]</x:v>
      </x:c>
      <x:c r="F65" s="196" t="str">
        <x:v>Complex</x:v>
      </x:c>
      <x:c r="G65" s="197" t="n">
        <x:v>8</x:v>
      </x:c>
      <x:c r="H65" s="198" t="str">
        <x:v>Iteration 3</x:v>
      </x:c>
      <x:c r="I65" s="198" t="str">
        <x:v>BE owner</x:v>
      </x:c>
      <x:c r="J65" s="197"/>
      <x:c r="K65" s="199" t="str">
        <x:v>Not Started</x:v>
      </x:c>
      <x:c r="L65" s="191" t="str">
        <x:v>FDS Part 3 JOB-04; FT-51, FT-52 · BR-27, BR-32; Draft. Draft/future iteration proposal, not Phase 1 delivered scope. Estimate / role assignment provisional; actual points unavailable.</x:v>
      </x:c>
    </x:row>
    <x:row r="66" ht="76" customHeight="1">
      <x:c r="A66" s="201" t="str">
        <x:v>WBS-062 — JOB-05 Study reminder scheduler</x:v>
      </x:c>
      <x:c r="B66" s="200" t="str">
        <x:v>Non-UI</x:v>
      </x:c>
      <x:c r="C66" s="200" t="str">
        <x:v>Background Jobs</x:v>
      </x:c>
      <x:c r="D66" s="200"/>
      <x:c r="E66" s="200" t="str">
        <x:v>Creates at most one study reminder per learner per day, at the learner's preferred local time, on days without a qualifying study activity. Trigger: @Scheduled every [TBC] minutes; ShedLock or SKIP LOCKED to run on one instance [TBC]</x:v>
      </x:c>
      <x:c r="F66" s="196" t="str">
        <x:v>Complex</x:v>
      </x:c>
      <x:c r="G66" s="197" t="n">
        <x:v>8</x:v>
      </x:c>
      <x:c r="H66" s="202" t="str">
        <x:v>Iteration 3</x:v>
      </x:c>
      <x:c r="I66" s="202" t="str">
        <x:v>BE owner</x:v>
      </x:c>
      <x:c r="J66" s="197"/>
      <x:c r="K66" s="199" t="str">
        <x:v>Not Started</x:v>
      </x:c>
      <x:c r="L66" s="200" t="str">
        <x:v>FDS Part 3 JOB-05; FT-44, FT-51, FT-53 · BR-32; Draft. Draft/future iteration proposal, not Phase 1 delivered scope. Estimate / role assignment provisional; actual points unavailable.</x:v>
      </x:c>
    </x:row>
    <x:row r="67" ht="76" customHeight="1">
      <x:c r="A67" s="192" t="str">
        <x:v>WBS-063 — JOB-06 Notification delivery retry</x:v>
      </x:c>
      <x:c r="B67" s="191" t="str">
        <x:v>Non-UI</x:v>
      </x:c>
      <x:c r="C67" s="191" t="str">
        <x:v>Background Jobs</x:v>
      </x:c>
      <x:c r="D67" s="191"/>
      <x:c r="E67" s="191" t="str">
        <x:v>Sends pending notification deliveries to Firebase Cloud Messaging or the Email Service and retries failed ones without creating a second notification. Trigger: @Scheduled every [TBC] s</x:v>
      </x:c>
      <x:c r="F67" s="196" t="str">
        <x:v>Complex</x:v>
      </x:c>
      <x:c r="G67" s="197" t="n">
        <x:v>8</x:v>
      </x:c>
      <x:c r="H67" s="198" t="str">
        <x:v>Iteration 3</x:v>
      </x:c>
      <x:c r="I67" s="198" t="str">
        <x:v>BE owner</x:v>
      </x:c>
      <x:c r="J67" s="197"/>
      <x:c r="K67" s="199" t="str">
        <x:v>Not Started</x:v>
      </x:c>
      <x:c r="L67" s="191" t="str">
        <x:v>FDS Part 3 JOB-06; FT-52, FT-53, FT-54 · BR-32; Draft. Draft/future iteration proposal, not Phase 1 delivered scope. Estimate / role assignment provisional; actual points unavailable.</x:v>
      </x:c>
    </x:row>
    <x:row r="68" ht="76" customHeight="1">
      <x:c r="A68" s="201" t="str">
        <x:v>WBS-064 — JOB-07 Matchmaking queue sweeper</x:v>
      </x:c>
      <x:c r="B68" s="200" t="str">
        <x:v>Non-UI</x:v>
      </x:c>
      <x:c r="C68" s="200" t="str">
        <x:v>Background Jobs</x:v>
      </x:c>
      <x:c r="D68" s="200"/>
      <x:c r="E68" s="200" t="str">
        <x:v>Groups waiting learners of the same game type into a room and starts the match, and removes learners who waited too long. Trigger: @Scheduled every [TBC] s</x:v>
      </x:c>
      <x:c r="F68" s="196" t="str">
        <x:v>Complex</x:v>
      </x:c>
      <x:c r="G68" s="197" t="n">
        <x:v>8</x:v>
      </x:c>
      <x:c r="H68" s="202" t="str">
        <x:v>Iteration 3</x:v>
      </x:c>
      <x:c r="I68" s="202" t="str">
        <x:v>BE owner</x:v>
      </x:c>
      <x:c r="J68" s="197"/>
      <x:c r="K68" s="199" t="str">
        <x:v>Not Started</x:v>
      </x:c>
      <x:c r="L68" s="200" t="str">
        <x:v>FDS Part 3 JOB-07; FT-47, FT-48 · BR-29; Draft. Draft/future iteration proposal, not Phase 1 delivered scope. Estimate / role assignment provisional; actual points unavailable.</x:v>
      </x:c>
    </x:row>
    <x:row r="72" ht="30" customHeight="1">
      <x:c r="A72" s="212" t="str">
        <x:v>Iteration Summary (provisional allocation)</x:v>
      </x:c>
      <x:c r="B72" s="206"/>
      <x:c r="C72" s="206"/>
      <x:c r="D72" s="206"/>
      <x:c r="E72" s="206"/>
    </x:row>
    <x:row r="73" ht="30" customHeight="1">
      <x:c r="A73" s="190" t="str">
        <x:v>Iteration</x:v>
      </x:c>
      <x:c r="B73" s="190" t="str">
        <x:v>Functions</x:v>
      </x:c>
      <x:c r="C73" s="190" t="str">
        <x:v>Est. Effort (pts)</x:v>
      </x:c>
      <x:c r="D73" s="190" t="str">
        <x:v>Done</x:v>
      </x:c>
      <x:c r="E73" s="190" t="str">
        <x:v>In Progress</x:v>
      </x:c>
    </x:row>
    <x:row r="74" ht="30" customHeight="1">
      <x:c r="A74" s="213" t="str">
        <x:v>Iteration 1</x:v>
      </x:c>
      <x:c r="B74" s="213" t="n">
        <x:f>COUNTIF($H$5:$H$68,A74)</x:f>
        <x:v>23</x:v>
      </x:c>
      <x:c r="C74" s="213" t="n">
        <x:f>SUMIF($H$5:$H$68,A74,$G$5:$G$68)</x:f>
        <x:v>117</x:v>
      </x:c>
      <x:c r="D74" s="213" t="n">
        <x:f>COUNTIFS($H$5:$H$68,A74,$K$5:$K$68,"Done")</x:f>
        <x:v>11</x:v>
      </x:c>
      <x:c r="E74" s="213" t="n">
        <x:f>COUNTIFS($H$5:$H$68,A74,$K$5:$K$68,"In Progress")</x:f>
        <x:v>12</x:v>
      </x:c>
    </x:row>
    <x:row r="75" ht="30" customHeight="1">
      <x:c r="A75" s="214" t="str">
        <x:v>Iteration 2</x:v>
      </x:c>
      <x:c r="B75" s="214" t="n">
        <x:f>COUNTIF($H$5:$H$68,A75)</x:f>
        <x:v>15</x:v>
      </x:c>
      <x:c r="C75" s="214" t="n">
        <x:f>SUMIF($H$5:$H$68,A75,$G$5:$G$68)</x:f>
        <x:v>65</x:v>
      </x:c>
      <x:c r="D75" s="214" t="n">
        <x:f>COUNTIFS($H$5:$H$68,A75,$K$5:$K$68,"Done")</x:f>
        <x:v>6</x:v>
      </x:c>
      <x:c r="E75" s="214" t="n">
        <x:f>COUNTIFS($H$5:$H$68,A75,$K$5:$K$68,"In Progress")</x:f>
        <x:v>0</x:v>
      </x:c>
    </x:row>
    <x:row r="76" ht="30" customHeight="1">
      <x:c r="A76" s="213" t="str">
        <x:v>Iteration 3</x:v>
      </x:c>
      <x:c r="B76" s="213" t="n">
        <x:f>COUNTIF($H$5:$H$68,A76)</x:f>
        <x:v>26</x:v>
      </x:c>
      <x:c r="C76" s="213" t="n">
        <x:f>SUMIF($H$5:$H$68,A76,$G$5:$G$68)</x:f>
        <x:v>141</x:v>
      </x:c>
      <x:c r="D76" s="213" t="n">
        <x:f>COUNTIFS($H$5:$H$68,A76,$K$5:$K$68,"Done")</x:f>
        <x:v>0</x:v>
      </x:c>
      <x:c r="E76" s="213" t="n">
        <x:f>COUNTIFS($H$5:$H$68,A76,$K$5:$K$68,"In Progress")</x:f>
        <x:v>0</x:v>
      </x:c>
    </x:row>
    <x:row r="77" ht="30" customHeight="1">
      <x:c r="A77" s="216" t="str">
        <x:v>Grand Total</x:v>
      </x:c>
      <x:c r="B77" s="216" t="n">
        <x:f>SUM(B74:B76)</x:f>
        <x:v>64</x:v>
      </x:c>
      <x:c r="C77" s="216" t="n">
        <x:f>SUM(C74:C76)</x:f>
        <x:v>323</x:v>
      </x:c>
      <x:c r="D77" s="216" t="n">
        <x:f>SUM(D74:D76)</x:f>
        <x:v>17</x:v>
      </x:c>
      <x:c r="E77" s="216" t="n">
        <x:f>SUM(E74:E76)</x:f>
        <x:v>12</x:v>
      </x:c>
    </x:row>
  </x:sheetData>
  <x:mergeCells>
    <x:mergeCell ref="A2:L2"/>
  </x:mergeCells>
  <x:conditionalFormatting sqref="K5:K23">
    <x:cfRule type="cellIs" dxfId="104" priority="1" operator="equal">
      <x:formula>"Done"</x:formula>
    </x:cfRule>
    <x:cfRule type="cellIs" dxfId="103" priority="2" operator="equal">
      <x:formula>"Completed"</x:formula>
    </x:cfRule>
    <x:cfRule type="cellIs" dxfId="102" priority="3" operator="equal">
      <x:formula>"Closed"</x:formula>
    </x:cfRule>
    <x:cfRule type="cellIs" dxfId="101" priority="4" operator="equal">
      <x:formula>"Fixed"</x:formula>
    </x:cfRule>
    <x:cfRule type="cellIs" dxfId="100" priority="5" operator="equal">
      <x:formula>"Approved"</x:formula>
    </x:cfRule>
    <x:cfRule type="cellIs" dxfId="99" priority="6" operator="equal">
      <x:formula>"In Progress"</x:formula>
    </x:cfRule>
    <x:cfRule type="cellIs" dxfId="98" priority="7" operator="equal">
      <x:formula>"Open"</x:formula>
    </x:cfRule>
    <x:cfRule type="cellIs" dxfId="97" priority="8" operator="equal">
      <x:formula>"Pending"</x:formula>
    </x:cfRule>
    <x:cfRule type="cellIs" dxfId="96" priority="9" operator="equal">
      <x:formula>"Blocked"</x:formula>
    </x:cfRule>
    <x:cfRule type="cellIs" dxfId="95" priority="10" operator="equal">
      <x:formula>"Cancelled"</x:formula>
    </x:cfRule>
    <x:cfRule type="cellIs" dxfId="94" priority="11" operator="equal">
      <x:formula>"Rejected"</x:formula>
    </x:cfRule>
    <x:cfRule type="cellIs" dxfId="93" priority="12" operator="equal">
      <x:formula>"Submitted"</x:formula>
    </x:cfRule>
  </x:conditionalFormatting>
  <x:dataValidations count="3">
    <x:dataValidation type="list" allowBlank="1" sqref="F5 F6 F7 F8 F9 F10 F11 F12 F13 F14 F15 F16 F17">
      <x:formula1>"Simple,Medium,Complex"</x:formula1>
    </x:dataValidation>
    <x:dataValidation type="list" allowBlank="1" sqref="H5 H6 H7 H8 H9 H10 H11 H12 H13 H14 H15 H16 H17">
      <x:formula1>"Iteration 1,Iteration 2,Iteration 3"</x:formula1>
    </x:dataValidation>
    <x:dataValidation type="list" allowBlank="1" sqref="K5 K6 K7 K8 K9 K10 K11 K12 K13 K14 K15 K16 K17">
      <x:formula1>"Not Started,In Progress,Done,Blocked"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9" hidden="0" customWidth="1"/>
    <x:col min="2" max="2" width="13" hidden="0" customWidth="1"/>
    <x:col min="3" max="3" width="45" hidden="0" customWidth="1"/>
    <x:col min="4" max="5" width="14" customWidth="1"/>
    <x:col min="6" max="6" width="12" hidden="0" customWidth="1"/>
    <x:col min="7" max="7" width="13" hidden="0" customWidth="1"/>
    <x:col min="8" max="8" width="58" hidden="0" customWidth="1"/>
    <x:col min="9" max="10" width="14" customWidth="1"/>
    <x:col min="11" max="11" width="16" hidden="0" customWidth="1"/>
    <x:col min="12" max="12" width="65" hidden="0" customWidth="1"/>
    <x:col min="4" max="4" width="20" hidden="0" customWidth="1"/>
    <x:col min="5" max="5" width="23" hidden="0" customWidth="1"/>
    <x:col min="9" max="9" width="22" hidden="0" customWidth="1"/>
    <x:col min="10" max="10" width="14" hidden="0" customWidth="1"/>
  </x:cols>
  <x:sheetData>
    <x:row r="1" ht="17.649999618530273">
      <x:c r="A1" s="71" t="str">
        <x:v>Q&amp;A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 ht="32" customHeight="1">
      <x:c r="A2" s="91" t="str">
        <x:v>Phase 1 working boundary: initial MVP. Questions consolidated 07/10/2026. Blank due dates require PM confirmation.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4" ht="35" customHeight="1">
      <x:c r="A4" s="90" t="s">
        <x:v>46</x:v>
      </x:c>
      <x:c r="B4" s="90" t="s">
        <x:v>156</x:v>
      </x:c>
      <x:c r="C4" s="90" t="s">
        <x:v>157</x:v>
      </x:c>
      <x:c r="D4" s="90" t="s">
        <x:v>158</x:v>
      </x:c>
      <x:c r="E4" s="90" t="s">
        <x:v>159</x:v>
      </x:c>
      <x:c r="F4" s="90" t="s">
        <x:v>160</x:v>
      </x:c>
      <x:c r="G4" s="90" t="s">
        <x:v>161</x:v>
      </x:c>
      <x:c r="H4" s="90" t="s">
        <x:v>162</x:v>
      </x:c>
      <x:c r="I4" s="90" t="s">
        <x:v>163</x:v>
      </x:c>
      <x:c r="J4" s="90" t="s">
        <x:v>164</x:v>
      </x:c>
      <x:c r="K4" s="90" t="s">
        <x:v>15</x:v>
      </x:c>
      <x:c r="L4" s="90" t="s">
        <x:v>52</x:v>
      </x:c>
    </x:row>
    <x:row r="5" ht="68" customHeight="1">
      <x:c r="A5" s="81" t="str">
        <x:v>Q-001</x:v>
      </x:c>
      <x:c r="B5" s="93" t="n">
        <x:v>46302</x:v>
      </x:c>
      <x:c r="C5" s="83" t="str">
        <x:v>What does Phase 1 cover, and how does it relate to WBS Iteration 1?</x:v>
      </x:c>
      <x:c r="D5" s="84" t="str">
        <x:v>Project review</x:v>
      </x:c>
      <x:c r="E5" s="84" t="str">
        <x:v>PM / supervisor</x:v>
      </x:c>
      <x:c r="F5" s="85" t="str">
        <x:v>High</x:v>
      </x:c>
      <x:c r="G5" s="93"/>
      <x:c r="H5" s="84" t="str">
        <x:v>Working boundary: initial MVP, authentication and the core learning loop. WBS Iteration 1 lists a different feature set. Confirm the phase baseline before approval.</x:v>
      </x:c>
      <x:c r="I5" s="82"/>
      <x:c r="J5" s="93"/>
      <x:c r="K5" s="86" t="str">
        <x:v>Open</x:v>
      </x:c>
      <x:c r="L5" s="84" t="str">
        <x:v>docs/test-plan/IELTS_Space_Test_Plan_v1.docx; original WBS A5:L17. Review question recorded 07/10/2026; not an earlier meeting minute.</x:v>
      </x:c>
    </x:row>
    <x:row r="6" ht="68" customHeight="1">
      <x:c r="A6" s="81" t="str">
        <x:v>Q-002</x:v>
      </x:c>
      <x:c r="B6" s="94" t="n">
        <x:v>46302</x:v>
      </x:c>
      <x:c r="C6" s="87" t="str">
        <x:v>Who are the Phase 1 users and what problem does IELTSPath address?</x:v>
      </x:c>
      <x:c r="D6" s="87" t="str">
        <x:v>Project review</x:v>
      </x:c>
      <x:c r="E6" s="87" t="str">
        <x:v>BA / IELTS Space</x:v>
      </x:c>
      <x:c r="F6" s="85" t="str">
        <x:v>Medium</x:v>
      </x:c>
      <x:c r="G6" s="94"/>
      <x:c r="H6" s="87" t="str">
        <x:v>New visitors try the centre teaching before enrolment. Current and waiting-list learners practise between classes and see their own progress.</x:v>
      </x:c>
      <x:c r="I6" s="87" t="str">
        <x:v>Repository evidence</x:v>
      </x:c>
      <x:c r="J6" s="94" t="n">
        <x:v>46302</x:v>
      </x:c>
      <x:c r="K6" s="88" t="str">
        <x:v>Answered</x:v>
      </x:c>
      <x:c r="L6" s="87" t="str">
        <x:v>backend/capstone-docs/rp_1_vision-scope/Report 1_Vision_Scope_IeltsPath.docx §1, §3, §5</x:v>
      </x:c>
    </x:row>
    <x:row r="7" ht="68" customHeight="1">
      <x:c r="A7" s="81" t="str">
        <x:v>Q-003</x:v>
      </x:c>
      <x:c r="B7" s="95" t="n">
        <x:v>46302</x:v>
      </x:c>
      <x:c r="C7" s="89" t="str">
        <x:v>Which implementation is the current learning backend?</x:v>
      </x:c>
      <x:c r="D7" s="89" t="str">
        <x:v>Project review</x:v>
      </x:c>
      <x:c r="E7" s="89" t="str">
        <x:v>Backend lead</x:v>
      </x:c>
      <x:c r="F7" s="85" t="str">
        <x:v>High</x:v>
      </x:c>
      <x:c r="G7" s="95"/>
      <x:c r="H7" s="89" t="str">
        <x:v>Java learning-service owns lesson progress, mastery, review, practice and assessment-result consumption. The former Python AI Learning flow is superseded.</x:v>
      </x:c>
      <x:c r="I7" s="89" t="str">
        <x:v>Repository evidence</x:v>
      </x:c>
      <x:c r="J7" s="95" t="n">
        <x:v>46302</x:v>
      </x:c>
      <x:c r="K7" s="88" t="str">
        <x:v>Answered</x:v>
      </x:c>
      <x:c r="L7" s="89" t="str">
        <x:v>backend/AGENTS.md §1; backend/docs/system-architecture.md</x:v>
      </x:c>
    </x:row>
    <x:row r="8" ht="72" customHeight="1">
      <x:c r="A8" s="81" t="str">
        <x:v>Q-004</x:v>
      </x:c>
      <x:c r="B8" s="94" t="n">
        <x:v>46302</x:v>
      </x:c>
      <x:c r="C8" s="87" t="str">
        <x:v>What authentication and authorization contract must FE follow?</x:v>
      </x:c>
      <x:c r="D8" s="87" t="str">
        <x:v>Project review</x:v>
      </x:c>
      <x:c r="E8" s="87" t="str">
        <x:v>Backend / frontend leads</x:v>
      </x:c>
      <x:c r="F8" s="85" t="str">
        <x:v>High</x:v>
      </x:c>
      <x:c r="G8" s="94"/>
      <x:c r="H8" s="87" t="str">
        <x:v>Use Gateway APIs, Bearer access token and the existing refresh flow. Gateway validates external JWT and signs an internal JWT. Protected services enforce role and ownership.</x:v>
      </x:c>
      <x:c r="I8" s="87" t="str">
        <x:v>Repository evidence</x:v>
      </x:c>
      <x:c r="J8" s="94" t="n">
        <x:v>46302</x:v>
      </x:c>
      <x:c r="K8" s="88" t="str">
        <x:v>Answered</x:v>
      </x:c>
      <x:c r="L8" s="87" t="str">
        <x:v>backend/docs/fe-main-flow-guide.md §1, §4; frontend/src/lib/httpClient.ts; backend/README.md</x:v>
      </x:c>
    </x:row>
    <x:row r="9" ht="68" customHeight="1">
      <x:c r="A9" s="81" t="str">
        <x:v>Q-005</x:v>
      </x:c>
      <x:c r="B9" s="95" t="n">
        <x:v>46302</x:v>
      </x:c>
      <x:c r="C9" s="89" t="str">
        <x:v>When does a learner unlock a topic test?</x:v>
      </x:c>
      <x:c r="D9" s="89" t="str">
        <x:v>Project review</x:v>
      </x:c>
      <x:c r="E9" s="89" t="str">
        <x:v>Learning owner</x:v>
      </x:c>
      <x:c r="F9" s="85" t="str">
        <x:v>High</x:v>
      </x:c>
      <x:c r="G9" s="95"/>
      <x:c r="H9" s="89" t="str">
        <x:v>Complete required lessons and Practice, then clear applicable pending reviews. A lesson completion alone is insufficient. Topic test pass threshold is 70%.</x:v>
      </x:c>
      <x:c r="I9" s="89" t="str">
        <x:v>Repository evidence</x:v>
      </x:c>
      <x:c r="J9" s="95" t="n">
        <x:v>46302</x:v>
      </x:c>
      <x:c r="K9" s="88" t="str">
        <x:v>Answered</x:v>
      </x:c>
      <x:c r="L9" s="89" t="str">
        <x:v>backend/docs/fe-main-flow-guide.md §3–4; frontend/plans/reports/e2e-practice-261005/report.md</x:v>
      </x:c>
    </x:row>
    <x:row r="10" ht="72" customHeight="1">
      <x:c r="A10" s="81" t="str">
        <x:v>Q-006</x:v>
      </x:c>
      <x:c r="B10" s="94" t="n">
        <x:v>46302</x:v>
      </x:c>
      <x:c r="C10" s="87" t="str">
        <x:v>Are live Writing AI grading and points already fully accepted?</x:v>
      </x:c>
      <x:c r="D10" s="87" t="str">
        <x:v>Project review</x:v>
      </x:c>
      <x:c r="E10" s="87" t="str">
        <x:v>QA / product owner</x:v>
      </x:c>
      <x:c r="F10" s="85" t="str">
        <x:v>High</x:v>
      </x:c>
      <x:c r="G10" s="94"/>
      <x:c r="H10" s="87" t="str">
        <x:v>Lesson essay integration exists: at least 3 points, 3-point charge, request replay and &gt;=60-second FE timeout. Live LLM quality and complete paid retry behaviour need separate acceptance evidence.</x:v>
      </x:c>
      <x:c r="I10" s="87"/>
      <x:c r="J10" s="94"/>
      <x:c r="K10" s="88" t="str">
        <x:v>Open</x:v>
      </x:c>
      <x:c r="L10" s="87" t="str">
        <x:v>backend/docs/fe-main-flow-guide.md; frontend/plans/reports/e2e-practice-261005/report.md; docs/test-plan/IELTS_Space_Test_Plan_v1.docx TP-LRN-06</x:v>
      </x:c>
    </x:row>
    <x:row r="11" ht="68" customHeight="1">
      <x:c r="A11" s="81" t="str">
        <x:v>Q-007</x:v>
      </x:c>
      <x:c r="B11" s="95" t="n">
        <x:v>46302</x:v>
      </x:c>
      <x:c r="C11" s="89" t="str">
        <x:v>Is Listening playback ready for the Phase 1 demo?</x:v>
      </x:c>
      <x:c r="D11" s="89" t="str">
        <x:v>Project review</x:v>
      </x:c>
      <x:c r="E11" s="89" t="str">
        <x:v>Content owner / QA</x:v>
      </x:c>
      <x:c r="F11" s="85" t="str">
        <x:v>High</x:v>
      </x:c>
      <x:c r="G11" s="95"/>
      <x:c r="H11" s="89" t="str">
        <x:v>AudioBlock is integrated. Provide valid media and test playback. Transcript must appear only when the backend exposes it after the permitted submission.</x:v>
      </x:c>
      <x:c r="I11" s="89"/>
      <x:c r="J11" s="95"/>
      <x:c r="K11" s="88" t="str">
        <x:v>Open</x:v>
      </x:c>
      <x:c r="L11" s="89" t="str">
        <x:v>backend/docs/fe-main-flow-guide.md; frontend/plans/reports/e2e-practice-261005/report.md; docs/test-plan/IELTS_Space_Test_Plan_v1.docx</x:v>
      </x:c>
    </x:row>
    <x:row r="12" ht="72" customHeight="1">
      <x:c r="A12" s="81" t="str">
        <x:v>Q-008</x:v>
      </x:c>
      <x:c r="B12" s="94" t="n">
        <x:v>46302</x:v>
      </x:c>
      <x:c r="C12" s="87" t="str">
        <x:v>Does premium activation require online payment?</x:v>
      </x:c>
      <x:c r="D12" s="87" t="str">
        <x:v>Project review</x:v>
      </x:c>
      <x:c r="E12" s="87" t="str">
        <x:v>Product owner / sales</x:v>
      </x:c>
      <x:c r="F12" s="85" t="str">
        <x:v>Medium</x:v>
      </x:c>
      <x:c r="G12" s="94"/>
      <x:c r="H12" s="87" t="str">
        <x:v>No. Sales distribute activation cards outside the system. The system records activations and grants access or points; payment, invoicing and revenue reporting are excluded.</x:v>
      </x:c>
      <x:c r="I12" s="87" t="str">
        <x:v>Repository evidence</x:v>
      </x:c>
      <x:c r="J12" s="94" t="n">
        <x:v>46302</x:v>
      </x:c>
      <x:c r="K12" s="88" t="str">
        <x:v>Answered</x:v>
      </x:c>
      <x:c r="L12" s="87" t="str">
        <x:v>backend/capstone-docs/rp_1_vision-scope/Report 1_Vision_Scope_IeltsPath.docx §4.2 LI-01; backend/capstone-docs/rp_3.0_system-requirements-system/Report 3.0_SRS_IELTSPath_IeltsPath_v1.docx SC-03</x:v>
      </x:c>
    </x:row>
    <x:row r="13" ht="68" customHeight="1">
      <x:c r="A13" s="81" t="str">
        <x:v>Q-009</x:v>
      </x:c>
      <x:c r="B13" s="95" t="n">
        <x:v>46302</x:v>
      </x:c>
      <x:c r="C13" s="89" t="str">
        <x:v>Is a premium badge sufficient access protection?</x:v>
      </x:c>
      <x:c r="D13" s="89" t="str">
        <x:v>Project review</x:v>
      </x:c>
      <x:c r="E13" s="89" t="str">
        <x:v>Backend / product owner</x:v>
      </x:c>
      <x:c r="F13" s="85" t="str">
        <x:v>High</x:v>
      </x:c>
      <x:c r="G13" s="95"/>
      <x:c r="H13" s="89" t="str">
        <x:v>No. Current MVP has UI flags but no learning subscription enforcement. Decide whether Phase 1 is free-only or must add server-side entitlement before a paid release.</x:v>
      </x:c>
      <x:c r="I13" s="89"/>
      <x:c r="J13" s="95"/>
      <x:c r="K13" s="88" t="str">
        <x:v>Open</x:v>
      </x:c>
      <x:c r="L13" s="89" t="str">
        <x:v>backend/docs/fe-main-flow-guide.md §6; docs/test-plan/IELTS_Space_Test_Plan_v1.docx Out of Scope</x:v>
      </x:c>
    </x:row>
    <x:row r="14" ht="72" customHeight="1">
      <x:c r="A14" s="81" t="str">
        <x:v>Q-010</x:v>
      </x:c>
      <x:c r="B14" s="94" t="n">
        <x:v>46302</x:v>
      </x:c>
      <x:c r="C14" s="87" t="str">
        <x:v>Can the 05/10 E2E report be described as full browser acceptance?</x:v>
      </x:c>
      <x:c r="D14" s="87" t="str">
        <x:v>Project review</x:v>
      </x:c>
      <x:c r="E14" s="87" t="str">
        <x:v>QA</x:v>
      </x:c>
      <x:c r="F14" s="85" t="str">
        <x:v>High</x:v>
      </x:c>
      <x:c r="G14" s="94"/>
      <x:c r="H14" s="87" t="str">
        <x:v>No. Fresh registration, test submit and result were exercised in browser. Lessons and Practice used API assistance; review was N/A. Full unassisted UI acceptance is still needed.</x:v>
      </x:c>
      <x:c r="I14" s="87" t="str">
        <x:v>Repository evidence</x:v>
      </x:c>
      <x:c r="J14" s="94" t="n">
        <x:v>46302</x:v>
      </x:c>
      <x:c r="K14" s="88" t="str">
        <x:v>Answered</x:v>
      </x:c>
      <x:c r="L14" s="87" t="str">
        <x:v>frontend/plans/reports/e2e-main-flow-261005-fresh/report.md Method and checklist; frontend/plans/reports/e2e-practice-261005/report.md E2E note</x:v>
      </x:c>
    </x:row>
    <x:row r="15" ht="68" customHeight="1">
      <x:c r="A15" s="81" t="str">
        <x:v>Q-011</x:v>
      </x:c>
      <x:c r="B15" s="95" t="n">
        <x:v>46302</x:v>
      </x:c>
      <x:c r="C15" s="89" t="str">
        <x:v>Are band courses and placement recommendation available across BE and FE?</x:v>
      </x:c>
      <x:c r="D15" s="89" t="str">
        <x:v>Project review</x:v>
      </x:c>
      <x:c r="E15" s="89" t="str">
        <x:v>Backend / frontend leads</x:v>
      </x:c>
      <x:c r="F15" s="85" t="str">
        <x:v>Medium</x:v>
      </x:c>
      <x:c r="G15" s="95"/>
      <x:c r="H15" s="89" t="str">
        <x:v>Backend course work merged on 07/10. FE currently loads topics and has no course methods in LearningApi. Live course smoke and phase inclusion remain open.</x:v>
      </x:c>
      <x:c r="I15" s="89"/>
      <x:c r="J15" s="95"/>
      <x:c r="K15" s="88" t="str">
        <x:v>Open</x:v>
      </x:c>
      <x:c r="L15" s="89" t="str">
        <x:v>backend/plans/261006-2228-course-band-levels/plan.md final verification; frontend/src/features/learning-path/api/learningApi.ts</x:v>
      </x:c>
    </x:row>
    <x:row r="16" ht="68" customHeight="1">
      <x:c r="A16" s="81" t="str">
        <x:v>Q-012</x:v>
      </x:c>
      <x:c r="B16" s="94" t="n">
        <x:v>46302</x:v>
      </x:c>
      <x:c r="C16" s="87" t="str">
        <x:v>Are mixed-skill lessons and free assessment AI essays completed?</x:v>
      </x:c>
      <x:c r="D16" s="87" t="str">
        <x:v>Project review</x:v>
      </x:c>
      <x:c r="E16" s="87" t="str">
        <x:v>PM / backend lead</x:v>
      </x:c>
      <x:c r="F16" s="85" t="str">
        <x:v>Medium</x:v>
      </x:c>
      <x:c r="G16" s="94"/>
      <x:c r="H16" s="87" t="str">
        <x:v>No. The multi-skill plan is pending. Keep its implementation and acceptance separate from the initial MVP results.</x:v>
      </x:c>
      <x:c r="I16" s="87" t="str">
        <x:v>Repository evidence</x:v>
      </x:c>
      <x:c r="J16" s="94" t="n">
        <x:v>46302</x:v>
      </x:c>
      <x:c r="K16" s="88" t="str">
        <x:v>Answered</x:v>
      </x:c>
      <x:c r="L16" s="87" t="str">
        <x:v>backend/plans/261006-2309-multi-skill-lessons/plan.md status and phase table</x:v>
      </x:c>
    </x:row>
    <x:row r="17" ht="72" customHeight="1">
      <x:c r="A17" s="81" t="str">
        <x:v>Q-013</x:v>
      </x:c>
      <x:c r="B17" s="95" t="n">
        <x:v>46302</x:v>
      </x:c>
      <x:c r="C17" s="89" t="str">
        <x:v>Should Speaking, full mock tests, mobile, games and community count as Phase 1 accepted features?</x:v>
      </x:c>
      <x:c r="D17" s="89" t="str">
        <x:v>Project review</x:v>
      </x:c>
      <x:c r="E17" s="89" t="str">
        <x:v>PM / supervisor</x:v>
      </x:c>
      <x:c r="F17" s="85" t="str">
        <x:v>High</x:v>
      </x:c>
      <x:c r="G17" s="95"/>
      <x:c r="H17" s="89" t="str">
        <x:v>They are product features in Vision &amp; Scope, but outside the priority test v1 boundary or lack full flow evidence. Confirm future delivery allocation; do not mark accepted from code presence alone.</x:v>
      </x:c>
      <x:c r="I17" s="89"/>
      <x:c r="J17" s="95"/>
      <x:c r="K17" s="88" t="str">
        <x:v>Open</x:v>
      </x:c>
      <x:c r="L17" s="89" t="str">
        <x:v>backend/capstone-docs/rp_1_vision-scope/Report 1_Vision_Scope_IeltsPath.docx §4.1; docs/test-plan/IELTS_Space_Test_Plan_v1.docx Out of Scope</x:v>
      </x:c>
    </x:row>
    <x:row r="18" ht="72" customHeight="1">
      <x:c r="A18" s="81" t="str">
        <x:v>Q-014</x:v>
      </x:c>
      <x:c r="B18" s="94" t="n">
        <x:v>46302</x:v>
      </x:c>
      <x:c r="C18" s="87" t="str">
        <x:v>What are the official reporters, hours, dates and approvals for timesheets?</x:v>
      </x:c>
      <x:c r="D18" s="87" t="str">
        <x:v>Project review</x:v>
      </x:c>
      <x:c r="E18" s="87" t="str">
        <x:v>PM / team members</x:v>
      </x:c>
      <x:c r="F18" s="85" t="str">
        <x:v>High</x:v>
      </x:c>
      <x:c r="G18" s="94"/>
      <x:c r="H18" s="87" t="str">
        <x:v>No actual timesheets supplied. TimeLogs lists evidenced work products with hours and reporter pending. Obtain actual member entries before calculating approved effort.</x:v>
      </x:c>
      <x:c r="I18" s="87"/>
      <x:c r="J18" s="94"/>
      <x:c r="K18" s="88" t="str">
        <x:v>Open</x:v>
      </x:c>
      <x:c r="L18" s="87" t="str">
        <x:v>Original Scope names PhuPD, HieuLT, TungVPH; no row-level work-hour evidence found.</x:v>
      </x:c>
    </x:row>
    <x:row r="19" ht="72" customHeight="1">
      <x:c r="A19" s="81" t="str">
        <x:v>Q-015</x:v>
      </x:c>
      <x:c r="B19" s="95" t="n">
        <x:v>46302</x:v>
      </x:c>
      <x:c r="C19" s="89" t="str">
        <x:v>Have the updated SRS, TDS and test plan been formally approved?</x:v>
      </x:c>
      <x:c r="D19" s="89" t="str">
        <x:v>Project review</x:v>
      </x:c>
      <x:c r="E19" s="89" t="str">
        <x:v>PM / supervisor</x:v>
      </x:c>
      <x:c r="F19" s="85" t="str">
        <x:v>High</x:v>
      </x:c>
      <x:c r="G19" s="95"/>
      <x:c r="H19" s="89" t="str">
        <x:v>Approval evidence is not available. SRS still contains author/reviewer/date placeholders and the test plan reflects some older FE assumptions. Reconcile current implementation and obtain formal review.</x:v>
      </x:c>
      <x:c r="I19" s="89"/>
      <x:c r="J19" s="95"/>
      <x:c r="K19" s="88" t="str">
        <x:v>Open</x:v>
      </x:c>
      <x:c r="L19" s="89" t="str">
        <x:v>backend/capstone-docs/rp_3.0_system-requirements-system/Report 3.0_SRS_IELTSPath_IeltsPath_v1.docx metadata; docs/test-plan/IELTS_Space_Test_Plan_v1.docx baseline/out-of-scope; frontend/plans/reports/e2e-main-flow-261005-fresh/report.md</x:v>
      </x:c>
    </x:row>
    <x:row r="20">
      <x:c r="A20" s="21"/>
      <x:c r="B20" s="24"/>
      <x:c r="C20" s="24"/>
      <x:c r="D20" s="24"/>
      <x:c r="E20" s="24"/>
      <x:c r="F20" s="23"/>
      <x:c r="G20" s="24"/>
      <x:c r="H20" s="24"/>
      <x:c r="I20" s="24"/>
      <x:c r="J20" s="24"/>
      <x:c r="K20" s="25"/>
      <x:c r="L20" s="24"/>
    </x:row>
    <x:row r="21">
      <x:c r="A21" s="21"/>
      <x:c r="B21" s="26"/>
      <x:c r="C21" s="26"/>
      <x:c r="D21" s="26"/>
      <x:c r="E21" s="26"/>
      <x:c r="F21" s="23"/>
      <x:c r="G21" s="26"/>
      <x:c r="H21" s="26"/>
      <x:c r="I21" s="26"/>
      <x:c r="J21" s="26"/>
      <x:c r="K21" s="25"/>
      <x:c r="L21" s="26"/>
    </x:row>
    <x:row r="22">
      <x:c r="A22" s="21"/>
      <x:c r="B22" s="24"/>
      <x:c r="C22" s="24"/>
      <x:c r="D22" s="24"/>
      <x:c r="E22" s="24"/>
      <x:c r="F22" s="23"/>
      <x:c r="G22" s="24"/>
      <x:c r="H22" s="24"/>
      <x:c r="I22" s="24"/>
      <x:c r="J22" s="24"/>
      <x:c r="K22" s="25"/>
      <x:c r="L22" s="24"/>
    </x:row>
    <x:row r="23">
      <x:c r="A23" s="21"/>
      <x:c r="B23" s="26"/>
      <x:c r="C23" s="26"/>
      <x:c r="D23" s="26"/>
      <x:c r="E23" s="26"/>
      <x:c r="F23" s="23"/>
      <x:c r="G23" s="26"/>
      <x:c r="H23" s="26"/>
      <x:c r="I23" s="26"/>
      <x:c r="J23" s="26"/>
      <x:c r="K23" s="25"/>
      <x:c r="L23" s="26"/>
    </x:row>
    <x:row r="24">
      <x:c r="A24" s="21"/>
      <x:c r="B24" s="24"/>
      <x:c r="C24" s="24"/>
      <x:c r="D24" s="24"/>
      <x:c r="E24" s="24"/>
      <x:c r="F24" s="23"/>
      <x:c r="G24" s="24"/>
      <x:c r="H24" s="24"/>
      <x:c r="I24" s="24"/>
      <x:c r="J24" s="24"/>
      <x:c r="K24" s="25"/>
      <x:c r="L24" s="24"/>
    </x:row>
  </x:sheetData>
  <x:mergeCells>
    <x:mergeCell ref="A2:L2"/>
    <x:mergeCell ref="A1:L1"/>
  </x:mergeCells>
  <x:conditionalFormatting sqref="K5:K200">
    <x:cfRule type="cellIs" dxfId="92" priority="1" operator="equal">
      <x:formula>"Done"</x:formula>
    </x:cfRule>
    <x:cfRule type="cellIs" dxfId="91" priority="2" operator="equal">
      <x:formula>"Completed"</x:formula>
    </x:cfRule>
    <x:cfRule type="cellIs" dxfId="90" priority="3" operator="equal">
      <x:formula>"Closed"</x:formula>
    </x:cfRule>
    <x:cfRule type="cellIs" dxfId="89" priority="4" operator="equal">
      <x:formula>"Fixed"</x:formula>
    </x:cfRule>
    <x:cfRule type="cellIs" dxfId="88" priority="5" operator="equal">
      <x:formula>"Approved"</x:formula>
    </x:cfRule>
    <x:cfRule type="cellIs" dxfId="87" priority="6" operator="equal">
      <x:formula>"In Progress"</x:formula>
    </x:cfRule>
    <x:cfRule type="cellIs" dxfId="86" priority="7" operator="equal">
      <x:formula>"Open"</x:formula>
    </x:cfRule>
    <x:cfRule type="cellIs" dxfId="85" priority="8" operator="equal">
      <x:formula>"Pending"</x:formula>
    </x:cfRule>
    <x:cfRule type="cellIs" dxfId="84" priority="9" operator="equal">
      <x:formula>"Blocked"</x:formula>
    </x:cfRule>
    <x:cfRule type="cellIs" dxfId="83" priority="10" operator="equal">
      <x:formula>"Cancelled"</x:formula>
    </x:cfRule>
    <x:cfRule type="cellIs" dxfId="82" priority="11" operator="equal">
      <x:formula>"Rejected"</x:formula>
    </x:cfRule>
    <x:cfRule type="cellIs" dxfId="81" priority="12" operator="equal">
      <x:formula>"Submitted"</x:formula>
    </x:cfRule>
  </x:conditionalFormatting>
  <x:conditionalFormatting sqref="F5:F200">
    <x:cfRule type="cellIs" dxfId="80" priority="13" operator="equal">
      <x:formula>"Critical"</x:formula>
    </x:cfRule>
    <x:cfRule type="cellIs" dxfId="79" priority="14" operator="equal">
      <x:formula>"High"</x:formula>
    </x:cfRule>
    <x:cfRule type="cellIs" dxfId="78" priority="15" operator="equal">
      <x:formula>"Medium"</x:formula>
    </x:cfRule>
    <x:cfRule type="cellIs" dxfId="77" priority="16" operator="equal">
      <x:formula>"Low"</x:formula>
    </x:cfRule>
  </x:conditionalFormatting>
  <x:dataValidations count="2">
    <x:dataValidation type="list" allowBlank="1" sqref="K5:K200">
      <x:formula1>"Open,Answered,Closed,Cancelled"</x:formula1>
    </x:dataValidation>
    <x:dataValidation type="list" allowBlank="1" sqref="F5:F200">
      <x:formula1>"Critical,High,Medium,Low"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6B75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0" hidden="0" customWidth="1"/>
    <x:col min="2" max="2" width="13" hidden="0" customWidth="1"/>
    <x:col min="3" max="3" width="22" hidden="0" customWidth="1"/>
    <x:col min="4" max="4" width="28" hidden="0" customWidth="1"/>
    <x:col min="5" max="5" width="47" hidden="0" customWidth="1"/>
    <x:col min="6" max="7" width="14" customWidth="1"/>
    <x:col min="8" max="8" width="12" hidden="0" customWidth="1"/>
    <x:col min="9" max="9" width="27" hidden="0" customWidth="1"/>
    <x:col min="10" max="10" width="16" hidden="0" customWidth="1"/>
    <x:col min="11" max="11" width="16" hidden="0" customWidth="1"/>
    <x:col min="12" max="12" width="19" hidden="0" customWidth="1"/>
    <x:col min="13" max="13" width="13" hidden="0" customWidth="1"/>
    <x:col min="14" max="14" width="70" hidden="0" customWidth="1"/>
    <x:col min="6" max="6" width="15" hidden="0" customWidth="1"/>
    <x:col min="7" max="7" width="19" hidden="0" customWidth="1"/>
  </x:cols>
  <x:sheetData>
    <x:row r="1" ht="17.649999618530273">
      <x:c r="A1" s="71" t="str">
        <x:v>TimeLogs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</x:row>
    <x:row r="2" ht="32" customHeight="1">
      <x:c r="A2" s="91" t="str">
        <x:v>Reconstructed work register from merged Git history through 07/10/2026. Date = Git author date; Reporter = Git author attribution. Actual hours / PM approval unconfirmed.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</x:row>
    <x:row r="4" ht="35" customHeight="1">
      <x:c r="A4" s="108" t="s">
        <x:v>46</x:v>
      </x:c>
      <x:c r="B4" s="108" t="s">
        <x:v>156</x:v>
      </x:c>
      <x:c r="C4" s="108" t="s">
        <x:v>165</x:v>
      </x:c>
      <x:c r="D4" s="108" t="s">
        <x:v>166</x:v>
      </x:c>
      <x:c r="E4" s="108" t="s">
        <x:v>167</x:v>
      </x:c>
      <x:c r="F4" s="108" t="s">
        <x:v>168</x:v>
      </x:c>
      <x:c r="G4" s="108" t="s">
        <x:v>149</x:v>
      </x:c>
      <x:c r="H4" s="108" t="s">
        <x:v>169</x:v>
      </x:c>
      <x:c r="I4" s="108" t="s">
        <x:v>170</x:v>
      </x:c>
      <x:c r="J4" s="108" t="s">
        <x:v>35</x:v>
      </x:c>
      <x:c r="K4" s="108" t="s">
        <x:v>15</x:v>
      </x:c>
      <x:c r="L4" s="108" t="s">
        <x:v>51</x:v>
      </x:c>
      <x:c r="M4" s="108" t="s">
        <x:v>171</x:v>
      </x:c>
      <x:c r="N4" s="108" t="s">
        <x:v>52</x:v>
      </x:c>
    </x:row>
    <x:row r="5" ht="72" customHeight="1">
      <x:c r="A5" s="102" t="str">
        <x:v>TL-001</x:v>
      </x:c>
      <x:c r="B5" s="109" t="n">
        <x:v>46280</x:v>
      </x:c>
      <x:c r="C5" s="104" t="str">
        <x:v>Git: hieuLeFpt</x:v>
      </x:c>
      <x:c r="D5" s="103" t="str">
        <x:v>WBS-055</x:v>
      </x:c>
      <x:c r="E5" s="104" t="str">
        <x:v>Initialize React / TypeScript / Vite and application folders</x:v>
      </x:c>
      <x:c r="F5" s="104" t="str">
        <x:v>Coding</x:v>
      </x:c>
      <x:c r="G5" s="104" t="str">
        <x:v>Newly-Created</x:v>
      </x:c>
      <x:c r="H5" s="85"/>
      <x:c r="I5" s="104" t="str">
        <x:v>Frontend scaffold</x:v>
      </x:c>
      <x:c r="J5" s="103" t="str">
        <x:v>Phase 1</x:v>
      </x:c>
      <x:c r="K5" s="86" t="str">
        <x:v>Pending</x:v>
      </x:c>
      <x:c r="L5" s="104"/>
      <x:c r="M5" s="109" t="n">
        <x:v>46302</x:v>
      </x:c>
      <x:c r="N5" s="104" t="str">
        <x:v>Reconstructed from frontend commits 241abca on main. Date = latest Git author date in this work group, not confirmed work date. Author attribution, actual hours and PM approval require confirmation. Initial history snapshot may include earlier local work.</x:v>
      </x:c>
    </x:row>
    <x:row r="6" ht="87" customHeight="1">
      <x:c r="A6" s="102" t="str">
        <x:v>TL-002</x:v>
      </x:c>
      <x:c r="B6" s="110" t="n">
        <x:v>46280</x:v>
      </x:c>
      <x:c r="C6" s="106" t="str">
        <x:v>Git: hieuLeFpt</x:v>
      </x:c>
      <x:c r="D6" s="105" t="str">
        <x:v>WBS-055</x:v>
      </x:c>
      <x:c r="E6" s="106" t="str">
        <x:v>Configure Tailwind, shadcn setup, theme and import aliases</x:v>
      </x:c>
      <x:c r="F6" s="106" t="str">
        <x:v>Coding</x:v>
      </x:c>
      <x:c r="G6" s="106" t="str">
        <x:v>Newly-Created</x:v>
      </x:c>
      <x:c r="H6" s="85"/>
      <x:c r="I6" s="106" t="str">
        <x:v>FE styling foundation</x:v>
      </x:c>
      <x:c r="J6" s="105" t="str">
        <x:v>Phase 1</x:v>
      </x:c>
      <x:c r="K6" s="86" t="str">
        <x:v>Pending</x:v>
      </x:c>
      <x:c r="L6" s="106"/>
      <x:c r="M6" s="110" t="n">
        <x:v>46302</x:v>
      </x:c>
      <x:c r="N6" s="106" t="str">
        <x:v>Reconstructed from frontend commits 241abca on main. Date = latest Git author date in this work group, not confirmed work date. Author attribution, actual hours and PM approval require confirmation. Same commit as TL-001, distinct files/work product; avoid double-counting when entering hours.</x:v>
      </x:c>
    </x:row>
    <x:row r="7" ht="87" customHeight="1">
      <x:c r="A7" s="102" t="str">
        <x:v>TL-003</x:v>
      </x:c>
      <x:c r="B7" s="110" t="n">
        <x:v>46280</x:v>
      </x:c>
      <x:c r="C7" s="106" t="str">
        <x:v>Git: hieuLeFpt</x:v>
      </x:c>
      <x:c r="D7" s="105" t="str">
        <x:v>WBS-055</x:v>
      </x:c>
      <x:c r="E7" s="106" t="str">
        <x:v>Configure Node/npm constraints, dependencies, lint/typecheck/build</x:v>
      </x:c>
      <x:c r="F7" s="106" t="str">
        <x:v>Coding</x:v>
      </x:c>
      <x:c r="G7" s="106" t="str">
        <x:v>Newly-Created</x:v>
      </x:c>
      <x:c r="H7" s="107"/>
      <x:c r="I7" s="106" t="str">
        <x:v>FE tooling baseline</x:v>
      </x:c>
      <x:c r="J7" s="105" t="str">
        <x:v>Phase 1</x:v>
      </x:c>
      <x:c r="K7" s="86" t="str">
        <x:v>Pending</x:v>
      </x:c>
      <x:c r="L7" s="106"/>
      <x:c r="M7" s="110" t="n">
        <x:v>46302</x:v>
      </x:c>
      <x:c r="N7" s="106" t="str">
        <x:v>Reconstructed from frontend commits 241abca, 8581a72 on main. Date = latest Git author date in this work group, not confirmed work date. Author attribution, actual hours and PM approval require confirmation. Dependency installation does not prove router/store integration.</x:v>
      </x:c>
    </x:row>
    <x:row r="8" ht="72" customHeight="1">
      <x:c r="A8" s="102" t="str">
        <x:v>TL-004</x:v>
      </x:c>
      <x:c r="B8" s="109" t="n">
        <x:v>46282</x:v>
      </x:c>
      <x:c r="C8" s="104" t="str">
        <x:v>Git: Lê Trung Hiếu</x:v>
      </x:c>
      <x:c r="D8" s="103" t="str">
        <x:v>WBS-051</x:v>
      </x:c>
      <x:c r="E8" s="104" t="str">
        <x:v>Initialize Maven multi-module build and service structure</x:v>
      </x:c>
      <x:c r="F8" s="104" t="str">
        <x:v>Coding</x:v>
      </x:c>
      <x:c r="G8" s="104" t="str">
        <x:v>Newly-Created</x:v>
      </x:c>
      <x:c r="H8" s="107"/>
      <x:c r="I8" s="104" t="str">
        <x:v>Backend scaffold</x:v>
      </x:c>
      <x:c r="J8" s="103" t="str">
        <x:v>Phase 1</x:v>
      </x:c>
      <x:c r="K8" s="86" t="str">
        <x:v>Pending</x:v>
      </x:c>
      <x:c r="L8" s="104"/>
      <x:c r="M8" s="109" t="n">
        <x:v>46302</x:v>
      </x:c>
      <x:c r="N8" s="104" t="str">
        <x:v>Reconstructed from backend commits 218e071 on main. Date = latest Git author date in this work group, not confirmed work date. Author attribution, actual hours and PM approval require confirmation. Initial snapshot, not an exact creation-time record.</x:v>
      </x:c>
    </x:row>
    <x:row r="9" ht="87" customHeight="1">
      <x:c r="A9" s="102" t="str">
        <x:v>TL-005</x:v>
      </x:c>
      <x:c r="B9" s="110" t="n">
        <x:v>46282</x:v>
      </x:c>
      <x:c r="C9" s="106" t="str">
        <x:v>Git: Lê Trung Hiếu</x:v>
      </x:c>
      <x:c r="D9" s="105" t="str">
        <x:v>WBS-052</x:v>
      </x:c>
      <x:c r="E9" s="106" t="str">
        <x:v>Set up Config Server, configuration repository and Eureka</x:v>
      </x:c>
      <x:c r="F9" s="106" t="str">
        <x:v>Coding</x:v>
      </x:c>
      <x:c r="G9" s="106" t="str">
        <x:v>Newly-Created</x:v>
      </x:c>
      <x:c r="H9" s="107"/>
      <x:c r="I9" s="106" t="str">
        <x:v>Service infrastructure</x:v>
      </x:c>
      <x:c r="J9" s="105" t="str">
        <x:v>Phase 1</x:v>
      </x:c>
      <x:c r="K9" s="86" t="str">
        <x:v>Pending</x:v>
      </x:c>
      <x:c r="L9" s="106"/>
      <x:c r="M9" s="110" t="n">
        <x:v>46302</x:v>
      </x:c>
      <x:c r="N9" s="106" t="str">
        <x:v>Reconstructed from backend commits 218e071 on main. Date = latest Git author date in this work group, not confirmed work date. Author attribution, actual hours and PM approval require confirmation. Shares commit with TL-004–007; split actual time by work product, not by commit.</x:v>
      </x:c>
    </x:row>
    <x:row r="10" ht="72" customHeight="1">
      <x:c r="A10" s="102" t="str">
        <x:v>TL-006</x:v>
      </x:c>
      <x:c r="B10" s="109" t="n">
        <x:v>46282</x:v>
      </x:c>
      <x:c r="C10" s="104" t="str">
        <x:v>Git: Lê Trung Hiếu</x:v>
      </x:c>
      <x:c r="D10" s="103" t="str">
        <x:v>WBS-053</x:v>
      </x:c>
      <x:c r="E10" s="104" t="str">
        <x:v>Implement Gateway routing, external/internal JWT and service security</x:v>
      </x:c>
      <x:c r="F10" s="104" t="str">
        <x:v>Coding</x:v>
      </x:c>
      <x:c r="G10" s="104" t="str">
        <x:v>Modified</x:v>
      </x:c>
      <x:c r="H10" s="107"/>
      <x:c r="I10" s="104" t="str">
        <x:v>Ingress and security baseline</x:v>
      </x:c>
      <x:c r="J10" s="103" t="str">
        <x:v>Phase 1</x:v>
      </x:c>
      <x:c r="K10" s="86" t="str">
        <x:v>Pending</x:v>
      </x:c>
      <x:c r="L10" s="104"/>
      <x:c r="M10" s="109" t="n">
        <x:v>46302</x:v>
      </x:c>
      <x:c r="N10" s="104" t="str">
        <x:v>Reconstructed from backend commits 218e071, a18a44e on main. Date = latest Git author date in this work group, not confirmed work date. Author attribution, actual hours and PM approval require confirmation. </x:v>
      </x:c>
    </x:row>
    <x:row r="11" ht="72" customHeight="1">
      <x:c r="A11" s="102" t="str">
        <x:v>TL-007</x:v>
      </x:c>
      <x:c r="B11" s="110" t="n">
        <x:v>46282</x:v>
      </x:c>
      <x:c r="C11" s="106" t="str">
        <x:v>Git: Lê Trung Hiếu</x:v>
      </x:c>
      <x:c r="D11" s="105" t="str">
        <x:v>WBS-054</x:v>
      </x:c>
      <x:c r="E11" s="106" t="str">
        <x:v>Set up Docker Compose, PostgreSQL and container configuration</x:v>
      </x:c>
      <x:c r="F11" s="106" t="str">
        <x:v>Coding</x:v>
      </x:c>
      <x:c r="G11" s="106" t="str">
        <x:v>Modified</x:v>
      </x:c>
      <x:c r="H11" s="107"/>
      <x:c r="I11" s="106" t="str">
        <x:v>Local infrastructure setup</x:v>
      </x:c>
      <x:c r="J11" s="105" t="str">
        <x:v>Phase 1</x:v>
      </x:c>
      <x:c r="K11" s="86" t="str">
        <x:v>Pending</x:v>
      </x:c>
      <x:c r="L11" s="106"/>
      <x:c r="M11" s="110" t="n">
        <x:v>46302</x:v>
      </x:c>
      <x:c r="N11" s="106" t="str">
        <x:v>Reconstructed from backend commits 218e071, dac8b03 on main. Date = latest Git author date in this work group, not confirmed work date. Author attribution, actual hours and PM approval require confirmation. </x:v>
      </x:c>
    </x:row>
    <x:row r="12" ht="87" customHeight="1">
      <x:c r="A12" s="102" t="str">
        <x:v>TL-008</x:v>
      </x:c>
      <x:c r="B12" s="109" t="n">
        <x:v>46287</x:v>
      </x:c>
      <x:c r="C12" s="104" t="str">
        <x:v>Git: Lê Trung Hiếu</x:v>
      </x:c>
      <x:c r="D12" s="103" t="str">
        <x:v>WBS-002, WBS-003, WBS-056</x:v>
      </x:c>
      <x:c r="E12" s="104" t="str">
        <x:v>Add user unit tests and HttpOnly-cookie authentication</x:v>
      </x:c>
      <x:c r="F12" s="104" t="str">
        <x:v>Coding</x:v>
      </x:c>
      <x:c r="G12" s="104" t="str">
        <x:v>Modified</x:v>
      </x:c>
      <x:c r="H12" s="107"/>
      <x:c r="I12" s="104" t="str">
        <x:v>User/auth APIs and tests</x:v>
      </x:c>
      <x:c r="J12" s="103" t="str">
        <x:v>Phase 1</x:v>
      </x:c>
      <x:c r="K12" s="86" t="str">
        <x:v>Pending</x:v>
      </x:c>
      <x:c r="L12" s="104"/>
      <x:c r="M12" s="109" t="n">
        <x:v>46302</x:v>
      </x:c>
      <x:c r="N12" s="104" t="str">
        <x:v>Reconstructed from backend commits 115c36d, 2c9d37f on main. Date = latest Git author date in this work group, not confirmed work date. Author attribution, actual hours and PM approval require confirmation. Tests added are recorded work; test execution outcomes need their own evidence.</x:v>
      </x:c>
    </x:row>
    <x:row r="13" ht="68" customHeight="1">
      <x:c r="A13" s="102" t="str">
        <x:v>TL-009</x:v>
      </x:c>
      <x:c r="B13" s="110" t="n">
        <x:v>46288</x:v>
      </x:c>
      <x:c r="C13" s="106" t="str">
        <x:v>Git: Lê Trung Hiếu</x:v>
      </x:c>
      <x:c r="D13" s="105" t="str">
        <x:v>WBS-043, WBS-044, WBS-045, WBS-046</x:v>
      </x:c>
      <x:c r="E13" s="106" t="str">
        <x:v>Scaffold business services and implement Content schema and APIs</x:v>
      </x:c>
      <x:c r="F13" s="106" t="str">
        <x:v>Coding</x:v>
      </x:c>
      <x:c r="G13" s="106" t="str">
        <x:v>Modified</x:v>
      </x:c>
      <x:c r="H13" s="107"/>
      <x:c r="I13" s="106" t="str">
        <x:v>Content and service baseline</x:v>
      </x:c>
      <x:c r="J13" s="105" t="str">
        <x:v>Phase 1</x:v>
      </x:c>
      <x:c r="K13" s="86" t="str">
        <x:v>Pending</x:v>
      </x:c>
      <x:c r="L13" s="106"/>
      <x:c r="M13" s="110" t="n">
        <x:v>46302</x:v>
      </x:c>
      <x:c r="N13" s="106" t="str">
        <x:v>Reconstructed from backend commits 11a78fa on main. Date = latest Git author date in this work group, not confirmed work date. Author attribution, actual hours and PM approval require confirmation. </x:v>
      </x:c>
    </x:row>
    <x:row r="14" ht="87" customHeight="1">
      <x:c r="A14" s="102" t="str">
        <x:v>TL-010</x:v>
      </x:c>
      <x:c r="B14" s="109" t="n">
        <x:v>46288</x:v>
      </x:c>
      <x:c r="C14" s="104" t="str">
        <x:v>Git: hieuLeFpt, PhuPham70</x:v>
      </x:c>
      <x:c r="D14" s="103" t="str">
        <x:v>WBS-025, WBS-050</x:v>
      </x:c>
      <x:c r="E14" s="104" t="str">
        <x:v>Initialize Access and Assessment service functionality and Access tests</x:v>
      </x:c>
      <x:c r="F14" s="104" t="str">
        <x:v>Coding</x:v>
      </x:c>
      <x:c r="G14" s="104" t="str">
        <x:v>Modified</x:v>
      </x:c>
      <x:c r="H14" s="107"/>
      <x:c r="I14" s="104" t="str">
        <x:v>Access / Assessment baseline</x:v>
      </x:c>
      <x:c r="J14" s="103" t="str">
        <x:v>Phase 1</x:v>
      </x:c>
      <x:c r="K14" s="86" t="str">
        <x:v>Pending</x:v>
      </x:c>
      <x:c r="L14" s="104"/>
      <x:c r="M14" s="109" t="n">
        <x:v>46302</x:v>
      </x:c>
      <x:c r="N14" s="104" t="str">
        <x:v>Reconstructed from backend commits 99b7d4f, 3678274, c087a3f on main. Date = latest Git author date in this work group, not confirmed work date. Author attribution, actual hours and PM approval require confirmation. Authors belong to their respective commits; this group is not a joint timesheet approval.</x:v>
      </x:c>
    </x:row>
    <x:row r="15" ht="132" customHeight="1">
      <x:c r="A15" s="102" t="str">
        <x:v>TL-011</x:v>
      </x:c>
      <x:c r="B15" s="110" t="n">
        <x:v>46289</x:v>
      </x:c>
      <x:c r="C15" s="106" t="str">
        <x:v>Git: hieuLeFpt, Claude</x:v>
      </x:c>
      <x:c r="D15" s="105" t="str">
        <x:v>WBS-057</x:v>
      </x:c>
      <x:c r="E15" s="106" t="str">
        <x:v>Build the historical Python AI Learning prototype and local runtime</x:v>
      </x:c>
      <x:c r="F15" s="106" t="str">
        <x:v>Coding</x:v>
      </x:c>
      <x:c r="G15" s="106" t="str">
        <x:v>Modified</x:v>
      </x:c>
      <x:c r="H15" s="107"/>
      <x:c r="I15" s="106" t="str">
        <x:v>Earlier learning prototype</x:v>
      </x:c>
      <x:c r="J15" s="105" t="str">
        <x:v>Phase 1</x:v>
      </x:c>
      <x:c r="K15" s="86" t="str">
        <x:v>Pending</x:v>
      </x:c>
      <x:c r="L15" s="106"/>
      <x:c r="M15" s="110" t="n">
        <x:v>46302</x:v>
      </x:c>
      <x:c r="N15" s="106" t="str">
        <x:v>Reconstructed from backend commits e1cf196, f430f61, 4ba99a5, 2860664 on main. Date = latest Git author date in this work group, not confirmed work date. Author attribution, actual hours and PM approval require confirmation. e1cf196: human author; later commits credit Claude. Automated commits do not establish a human reporter. Prototype later retired; historical work only. WBS reference covers the baseline supporting function only; the retired prototype/course extension has no standalone accepted FDS screen.</x:v>
      </x:c>
    </x:row>
    <x:row r="16" ht="72" customHeight="1">
      <x:c r="A16" s="102" t="str">
        <x:v>TL-012</x:v>
      </x:c>
      <x:c r="B16" s="109" t="n">
        <x:v>46288</x:v>
      </x:c>
      <x:c r="C16" s="104" t="str">
        <x:v>Git: sonledz22</x:v>
      </x:c>
      <x:c r="D16" s="103" t="str">
        <x:v>WBS-007, WBS-019, WBS-020</x:v>
      </x:c>
      <x:c r="E16" s="104" t="str">
        <x:v>Build mock learning workspace and UI prototype</x:v>
      </x:c>
      <x:c r="F16" s="104" t="str">
        <x:v>Coding</x:v>
      </x:c>
      <x:c r="G16" s="104" t="str">
        <x:v>Modified</x:v>
      </x:c>
      <x:c r="H16" s="107"/>
      <x:c r="I16" s="104" t="str">
        <x:v>Initial learning UI</x:v>
      </x:c>
      <x:c r="J16" s="103" t="str">
        <x:v>Phase 1</x:v>
      </x:c>
      <x:c r="K16" s="86" t="str">
        <x:v>Pending</x:v>
      </x:c>
      <x:c r="L16" s="104"/>
      <x:c r="M16" s="109" t="n">
        <x:v>46302</x:v>
      </x:c>
      <x:c r="N16" s="104" t="str">
        <x:v>Reconstructed from frontend commits 6ffb8a4, b8d3f3f on main. Date = latest Git author date in this work group, not confirmed work date. Author attribution, actual hours and PM approval require confirmation. Historical mock prototype, not accepted HTTP integration.</x:v>
      </x:c>
    </x:row>
    <x:row r="17" ht="72" customHeight="1">
      <x:c r="A17" s="102" t="str">
        <x:v>TL-013</x:v>
      </x:c>
      <x:c r="B17" s="110" t="n">
        <x:v>46295</x:v>
      </x:c>
      <x:c r="C17" s="106" t="str">
        <x:v>Git: sonledz22</x:v>
      </x:c>
      <x:c r="D17" s="105" t="str">
        <x:v>WBS-007, WBS-019, WBS-020, WBS-021, WBS-022, WBS-055</x:v>
      </x:c>
      <x:c r="E17" s="106" t="str">
        <x:v>Add shared UI utilities, learning pages and interactive workspaces</x:v>
      </x:c>
      <x:c r="F17" s="106" t="str">
        <x:v>Coding</x:v>
      </x:c>
      <x:c r="G17" s="106" t="str">
        <x:v>Modified</x:v>
      </x:c>
      <x:c r="H17" s="107"/>
      <x:c r="I17" s="106" t="str">
        <x:v>FE pages and UI components</x:v>
      </x:c>
      <x:c r="J17" s="105" t="str">
        <x:v>Phase 1</x:v>
      </x:c>
      <x:c r="K17" s="86" t="str">
        <x:v>Pending</x:v>
      </x:c>
      <x:c r="L17" s="106"/>
      <x:c r="M17" s="110" t="n">
        <x:v>46302</x:v>
      </x:c>
      <x:c r="N17" s="106" t="str">
        <x:v>Reconstructed from frontend commits 015701d, b93604b on main. Date = latest Git author date in this work group, not confirmed work date. Author attribution, actual hours and PM approval require confirmation. </x:v>
      </x:c>
    </x:row>
    <x:row r="18" ht="72" customHeight="1">
      <x:c r="A18" s="102" t="str">
        <x:v>TL-014</x:v>
      </x:c>
      <x:c r="B18" s="109" t="n">
        <x:v>46295</x:v>
      </x:c>
      <x:c r="C18" s="104" t="str">
        <x:v>Git: sonledz22</x:v>
      </x:c>
      <x:c r="D18" s="103" t="str">
        <x:v>WBS-007, WBS-019, WBS-020, WBS-021, WBS-022</x:v>
      </x:c>
      <x:c r="E18" s="104" t="str">
        <x:v>Record learning page and interactive-tool verification</x:v>
      </x:c>
      <x:c r="F18" s="104" t="str">
        <x:v>Testing</x:v>
      </x:c>
      <x:c r="G18" s="104" t="str">
        <x:v>Modified</x:v>
      </x:c>
      <x:c r="H18" s="107"/>
      <x:c r="I18" s="104" t="str">
        <x:v>UI verification work</x:v>
      </x:c>
      <x:c r="J18" s="103" t="str">
        <x:v>Phase 1</x:v>
      </x:c>
      <x:c r="K18" s="86" t="str">
        <x:v>Pending</x:v>
      </x:c>
      <x:c r="L18" s="104"/>
      <x:c r="M18" s="109" t="n">
        <x:v>46302</x:v>
      </x:c>
      <x:c r="N18" s="104" t="str">
        <x:v>Reconstructed from frontend commits 43f537b on main. Date = latest Git author date in this work group, not confirmed work date. Author attribution, actual hours and PM approval require confirmation. Commit subject is not proof of a permanent automated test suite.</x:v>
      </x:c>
    </x:row>
    <x:row r="19" ht="72" customHeight="1">
      <x:c r="A19" s="102" t="str">
        <x:v>TL-015</x:v>
      </x:c>
      <x:c r="B19" s="110" t="n">
        <x:v>46296</x:v>
      </x:c>
      <x:c r="C19" s="106" t="str">
        <x:v>Git: hieuLeFpt</x:v>
      </x:c>
      <x:c r="D19" s="105" t="str">
        <x:v>WBS-026, WBS-028, WBS-029, WBS-030, WBS-031, WBS-032</x:v>
      </x:c>
      <x:c r="E19" s="106" t="str">
        <x:v>Split Library and move activity/streak into User; remove Learning Support</x:v>
      </x:c>
      <x:c r="F19" s="106" t="str">
        <x:v>Coding</x:v>
      </x:c>
      <x:c r="G19" s="106" t="str">
        <x:v>Modified</x:v>
      </x:c>
      <x:c r="H19" s="107"/>
      <x:c r="I19" s="106" t="str">
        <x:v>Service-boundary migration</x:v>
      </x:c>
      <x:c r="J19" s="105" t="str">
        <x:v>Phase 1</x:v>
      </x:c>
      <x:c r="K19" s="86" t="str">
        <x:v>Pending</x:v>
      </x:c>
      <x:c r="L19" s="106"/>
      <x:c r="M19" s="110" t="n">
        <x:v>46302</x:v>
      </x:c>
      <x:c r="N19" s="106" t="str">
        <x:v>Reconstructed from backend commits 465f543, d762660, fec5d14, ab613b1 on main. Date = latest Git author date in this work group, not confirmed work date. Author attribution, actual hours and PM approval require confirmation. Related architectural change C-002.</x:v>
      </x:c>
    </x:row>
    <x:row r="20" ht="72" customHeight="1">
      <x:c r="A20" s="102" t="str">
        <x:v>TL-016</x:v>
      </x:c>
      <x:c r="B20" s="109" t="n">
        <x:v>46296</x:v>
      </x:c>
      <x:c r="C20" s="104" t="str">
        <x:v>Git: hieuLeFpt</x:v>
      </x:c>
      <x:c r="D20" s="103" t="str">
        <x:v>WBS-010, WBS-043, WBS-044, WBS-045, WBS-053</x:v>
      </x:c>
      <x:c r="E20" s="104" t="str">
        <x:v>Implement lesson content endpoints and learner answer-redaction guard</x:v>
      </x:c>
      <x:c r="F20" s="104" t="str">
        <x:v>Coding</x:v>
      </x:c>
      <x:c r="G20" s="104" t="str">
        <x:v>Modified</x:v>
      </x:c>
      <x:c r="H20" s="107"/>
      <x:c r="I20" s="104" t="str">
        <x:v>Content lesson APIs / security</x:v>
      </x:c>
      <x:c r="J20" s="103" t="str">
        <x:v>Phase 1</x:v>
      </x:c>
      <x:c r="K20" s="86" t="str">
        <x:v>Pending</x:v>
      </x:c>
      <x:c r="L20" s="104"/>
      <x:c r="M20" s="109" t="n">
        <x:v>46302</x:v>
      </x:c>
      <x:c r="N20" s="104" t="str">
        <x:v>Reconstructed from backend commits 34335aa, 20bed3b on main. Date = latest Git author date in this work group, not confirmed work date. Author attribution, actual hours and PM approval require confirmation. </x:v>
      </x:c>
    </x:row>
    <x:row r="21" ht="72" customHeight="1">
      <x:c r="A21" s="102" t="str">
        <x:v>TL-017</x:v>
      </x:c>
      <x:c r="B21" s="110" t="n">
        <x:v>46296</x:v>
      </x:c>
      <x:c r="C21" s="106" t="str">
        <x:v>Git: hieuLeFpt</x:v>
      </x:c>
      <x:c r="D21" s="105" t="str">
        <x:v>WBS-008, WBS-009, WBS-010, WBS-057</x:v>
      </x:c>
      <x:c r="E21" s="106" t="str">
        <x:v>Build Java Learning Service and lesson/mastery persistence</x:v>
      </x:c>
      <x:c r="F21" s="106" t="str">
        <x:v>Coding</x:v>
      </x:c>
      <x:c r="G21" s="106" t="str">
        <x:v>Modified</x:v>
      </x:c>
      <x:c r="H21" s="107"/>
      <x:c r="I21" s="106" t="str">
        <x:v>Java learning runtime</x:v>
      </x:c>
      <x:c r="J21" s="105" t="str">
        <x:v>Phase 1</x:v>
      </x:c>
      <x:c r="K21" s="86" t="str">
        <x:v>Pending</x:v>
      </x:c>
      <x:c r="L21" s="106"/>
      <x:c r="M21" s="110" t="n">
        <x:v>46302</x:v>
      </x:c>
      <x:c r="N21" s="106" t="str">
        <x:v>Reconstructed from backend commits d96ab9e, 8195982 on main. Date = latest Git author date in this work group, not confirmed work date. Author attribution, actual hours and PM approval require confirmation. Related runtime replacement C-003.</x:v>
      </x:c>
    </x:row>
    <x:row r="22" ht="72" customHeight="1">
      <x:c r="A22" s="102" t="str">
        <x:v>TL-018</x:v>
      </x:c>
      <x:c r="B22" s="109" t="n">
        <x:v>46296</x:v>
      </x:c>
      <x:c r="C22" s="104" t="str">
        <x:v>Git: hieuLeFpt</x:v>
      </x:c>
      <x:c r="D22" s="103" t="str">
        <x:v>WBS-014, WBS-016, WBS-017, WBS-057, WBS-058, WBS-059</x:v>
      </x:c>
      <x:c r="E22" s="104" t="str">
        <x:v>Implement review/test assignments, result consumer and objective grading</x:v>
      </x:c>
      <x:c r="F22" s="104" t="str">
        <x:v>Coding</x:v>
      </x:c>
      <x:c r="G22" s="104" t="str">
        <x:v>Modified</x:v>
      </x:c>
      <x:c r="H22" s="107"/>
      <x:c r="I22" s="104" t="str">
        <x:v>Core learning / assessment loop</x:v>
      </x:c>
      <x:c r="J22" s="103" t="str">
        <x:v>Phase 1</x:v>
      </x:c>
      <x:c r="K22" s="86" t="str">
        <x:v>Pending</x:v>
      </x:c>
      <x:c r="L22" s="104"/>
      <x:c r="M22" s="109" t="n">
        <x:v>46302</x:v>
      </x:c>
      <x:c r="N22" s="104" t="str">
        <x:v>Reconstructed from backend commits 72d4e99, dd109f5, c2ed0f4 on main. Date = latest Git author date in this work group, not confirmed work date. Author attribution, actual hours and PM approval require confirmation. </x:v>
      </x:c>
    </x:row>
    <x:row r="23" ht="72" customHeight="1">
      <x:c r="A23" s="102" t="str">
        <x:v>TL-019</x:v>
      </x:c>
      <x:c r="B23" s="110" t="n">
        <x:v>46296</x:v>
      </x:c>
      <x:c r="C23" s="106" t="str">
        <x:v>Git: hieuLeFpt</x:v>
      </x:c>
      <x:c r="D23" s="105" t="str">
        <x:v>WBS-010, WBS-011, WBS-046</x:v>
      </x:c>
      <x:c r="E23" s="106" t="str">
        <x:v>Seed Writing, Listening and Reading-hint learning content</x:v>
      </x:c>
      <x:c r="F23" s="106" t="str">
        <x:v>Coding</x:v>
      </x:c>
      <x:c r="G23" s="106" t="str">
        <x:v>Modified</x:v>
      </x:c>
      <x:c r="H23" s="107"/>
      <x:c r="I23" s="106" t="str">
        <x:v>Published demo curriculum</x:v>
      </x:c>
      <x:c r="J23" s="105" t="str">
        <x:v>Phase 1</x:v>
      </x:c>
      <x:c r="K23" s="86" t="str">
        <x:v>Pending</x:v>
      </x:c>
      <x:c r="L23" s="106"/>
      <x:c r="M23" s="110" t="n">
        <x:v>46302</x:v>
      </x:c>
      <x:c r="N23" s="106" t="str">
        <x:v>Reconstructed from backend commits 37a330c, 555ab81, a163b6b, 70f17a2 on main. Date = latest Git author date in this work group, not confirmed work date. Author attribution, actual hours and PM approval require confirmation. </x:v>
      </x:c>
    </x:row>
    <x:row r="24" ht="72" customHeight="1">
      <x:c r="A24" s="102" t="str">
        <x:v>TL-020</x:v>
      </x:c>
      <x:c r="B24" s="109" t="n">
        <x:v>46297</x:v>
      </x:c>
      <x:c r="C24" s="104" t="str">
        <x:v>Git: hieuLeFpt</x:v>
      </x:c>
      <x:c r="D24" s="103" t="str">
        <x:v>WBS-010, WBS-011, WBS-016, WBS-057</x:v>
      </x:c>
      <x:c r="E24" s="104" t="str">
        <x:v>Implement lesson essay grading, Listening media contract and hint visibility</x:v>
      </x:c>
      <x:c r="F24" s="104" t="str">
        <x:v>Coding</x:v>
      </x:c>
      <x:c r="G24" s="104" t="str">
        <x:v>Modified</x:v>
      </x:c>
      <x:c r="H24" s="107"/>
      <x:c r="I24" s="104" t="str">
        <x:v>Writing / Listening / Reading APIs</x:v>
      </x:c>
      <x:c r="J24" s="103" t="str">
        <x:v>Phase 1</x:v>
      </x:c>
      <x:c r="K24" s="86" t="str">
        <x:v>Pending</x:v>
      </x:c>
      <x:c r="L24" s="104"/>
      <x:c r="M24" s="109" t="n">
        <x:v>46302</x:v>
      </x:c>
      <x:c r="N24" s="104" t="str">
        <x:v>Reconstructed from backend commits d08337a, 896fa2c, 60c72dd on main. Date = latest Git author date in this work group, not confirmed work date. Author attribution, actual hours and PM approval require confirmation. Live LLM/media acceptance remains separate.</x:v>
      </x:c>
    </x:row>
    <x:row r="25" ht="87" customHeight="1">
      <x:c r="A25" s="102" t="str">
        <x:v>TL-021</x:v>
      </x:c>
      <x:c r="B25" s="110" t="n">
        <x:v>46297</x:v>
      </x:c>
      <x:c r="C25" s="106" t="str">
        <x:v>Git: Lê Trung Hiếu</x:v>
      </x:c>
      <x:c r="D25" s="105" t="str">
        <x:v>WBS-008, WBS-009, WBS-010, WBS-011, WBS-014, WBS-016, WBS-017, WBS-058, WBS-059</x:v>
      </x:c>
      <x:c r="E25" s="106" t="str">
        <x:v>Record backend MVP end-to-end acceptance evidence</x:v>
      </x:c>
      <x:c r="F25" s="106" t="str">
        <x:v>Testing</x:v>
      </x:c>
      <x:c r="G25" s="106" t="str">
        <x:v>Modified</x:v>
      </x:c>
      <x:c r="H25" s="107"/>
      <x:c r="I25" s="106" t="str">
        <x:v>Backend E2E report</x:v>
      </x:c>
      <x:c r="J25" s="105" t="str">
        <x:v>Phase 1</x:v>
      </x:c>
      <x:c r="K25" s="86" t="str">
        <x:v>Pending</x:v>
      </x:c>
      <x:c r="L25" s="106"/>
      <x:c r="M25" s="110" t="n">
        <x:v>46302</x:v>
      </x:c>
      <x:c r="N25" s="106" t="str">
        <x:v>Reconstructed from backend commits 9140128 on main. Date = latest Git author date in this work group, not confirmed work date. Author attribution, actual hours and PM approval require confirmation. See backend/plans/260930-2057-mvp-reading-writing-listening-roadmap/reports/e2e-261002-mvp-reading-writing-listening.md.</x:v>
      </x:c>
    </x:row>
    <x:row r="26" ht="87" customHeight="1">
      <x:c r="A26" s="102" t="str">
        <x:v>TL-022</x:v>
      </x:c>
      <x:c r="B26" s="109" t="n">
        <x:v>46298</x:v>
      </x:c>
      <x:c r="C26" s="104" t="str">
        <x:v>Git: Lê Trung Hiếu</x:v>
      </x:c>
      <x:c r="D26" s="103" t="str">
        <x:v>WBS-009, WBS-012, WBS-014, WBS-057</x:v>
      </x:c>
      <x:c r="E26" s="104" t="str">
        <x:v>Implement skill-local progress, required Practice and remediation ladder</x:v>
      </x:c>
      <x:c r="F26" s="104" t="str">
        <x:v>Coding</x:v>
      </x:c>
      <x:c r="G26" s="104" t="str">
        <x:v>Modified</x:v>
      </x:c>
      <x:c r="H26" s="107"/>
      <x:c r="I26" s="104" t="str">
        <x:v>Practice / review rules</x:v>
      </x:c>
      <x:c r="J26" s="103" t="str">
        <x:v>Phase 1</x:v>
      </x:c>
      <x:c r="K26" s="86" t="str">
        <x:v>Pending</x:v>
      </x:c>
      <x:c r="L26" s="104"/>
      <x:c r="M26" s="109" t="n">
        <x:v>46302</x:v>
      </x:c>
      <x:c r="N26" s="104" t="str">
        <x:v>Reconstructed from backend commits a3447b9, a90e5e1, 853ab82, 1a96c77, 8bb72cf, 6d9f623 on main. Date = latest Git author date in this work group, not confirmed work date. Author attribution, actual hours and PM approval require confirmation. Related business-rule change C-005.</x:v>
      </x:c>
    </x:row>
    <x:row r="27" ht="72" customHeight="1">
      <x:c r="A27" s="102" t="str">
        <x:v>TL-023</x:v>
      </x:c>
      <x:c r="B27" s="110" t="n">
        <x:v>46297</x:v>
      </x:c>
      <x:c r="C27" s="106" t="str">
        <x:v>Git: Nguyen Viet Hoang</x:v>
      </x:c>
      <x:c r="D27" s="105" t="str">
        <x:v>WBS-002, WBS-003, WBS-008, WBS-009, WBS-010, WBS-016, WBS-017, WBS-056</x:v>
      </x:c>
      <x:c r="E27" s="106" t="str">
        <x:v>Connect frontend main flow to backend and correct submission behaviour</x:v>
      </x:c>
      <x:c r="F27" s="106" t="str">
        <x:v>Coding</x:v>
      </x:c>
      <x:c r="G27" s="106" t="str">
        <x:v>Modified</x:v>
      </x:c>
      <x:c r="H27" s="107"/>
      <x:c r="I27" s="106" t="str">
        <x:v>HTTP auth and learning flow</x:v>
      </x:c>
      <x:c r="J27" s="105" t="str">
        <x:v>Phase 1</x:v>
      </x:c>
      <x:c r="K27" s="86" t="str">
        <x:v>Pending</x:v>
      </x:c>
      <x:c r="L27" s="106"/>
      <x:c r="M27" s="110" t="n">
        <x:v>46302</x:v>
      </x:c>
      <x:c r="N27" s="106" t="str">
        <x:v>Reconstructed from frontend commits 5505282, f1d5bb0 on main. Date = latest Git author date in this work group, not confirmed work date. Author attribution, actual hours and PM approval require confirmation. </x:v>
      </x:c>
    </x:row>
    <x:row r="28" ht="87" customHeight="1">
      <x:c r="A28" s="102" t="str">
        <x:v>TL-024</x:v>
      </x:c>
      <x:c r="B28" s="109" t="n">
        <x:v>46300</x:v>
      </x:c>
      <x:c r="C28" s="104" t="str">
        <x:v>Git: sonledz22</x:v>
      </x:c>
      <x:c r="D28" s="103" t="str">
        <x:v>WBS-001, WBS-056</x:v>
      </x:c>
      <x:c r="E28" s="104" t="str">
        <x:v>Build home access-plan views/navigation and merge real authentication</x:v>
      </x:c>
      <x:c r="F28" s="104" t="str">
        <x:v>Coding</x:v>
      </x:c>
      <x:c r="G28" s="104" t="str">
        <x:v>Modified</x:v>
      </x:c>
      <x:c r="H28" s="107"/>
      <x:c r="I28" s="104" t="str">
        <x:v>Home/auth integration</x:v>
      </x:c>
      <x:c r="J28" s="103" t="str">
        <x:v>Phase 1</x:v>
      </x:c>
      <x:c r="K28" s="86" t="str">
        <x:v>Pending</x:v>
      </x:c>
      <x:c r="L28" s="104"/>
      <x:c r="M28" s="109" t="n">
        <x:v>46302</x:v>
      </x:c>
      <x:c r="N28" s="104" t="str">
        <x:v>Reconstructed from frontend commits 5a0abcb, ac25901 on main. Date = latest Git author date in this work group, not confirmed work date. Author attribution, actual hours and PM approval require confirmation. WBS Home Page remains Iteration 2; phase allocation requires PM confirmation.</x:v>
      </x:c>
    </x:row>
    <x:row r="29" ht="87" customHeight="1">
      <x:c r="A29" s="102" t="str">
        <x:v>TL-025</x:v>
      </x:c>
      <x:c r="B29" s="110" t="n">
        <x:v>46300</x:v>
      </x:c>
      <x:c r="C29" s="106" t="str">
        <x:v>Git: Nguyen Viet Hoang</x:v>
      </x:c>
      <x:c r="D29" s="105" t="str">
        <x:v>WBS-004, WBS-005</x:v>
      </x:c>
      <x:c r="E29" s="106" t="str">
        <x:v>Implement forgot/reset pages and align password length/confirmation</x:v>
      </x:c>
      <x:c r="F29" s="106" t="str">
        <x:v>Coding</x:v>
      </x:c>
      <x:c r="G29" s="106" t="str">
        <x:v>Modified</x:v>
      </x:c>
      <x:c r="H29" s="107"/>
      <x:c r="I29" s="106" t="str">
        <x:v>Password recovery UI</x:v>
      </x:c>
      <x:c r="J29" s="105" t="str">
        <x:v>Phase 1</x:v>
      </x:c>
      <x:c r="K29" s="86" t="str">
        <x:v>Pending</x:v>
      </x:c>
      <x:c r="L29" s="106"/>
      <x:c r="M29" s="110" t="n">
        <x:v>46302</x:v>
      </x:c>
      <x:c r="N29" s="106" t="str">
        <x:v>Reconstructed from frontend commits 553a320, 51e64eb on main. Date = latest Git author date in this work group, not confirmed work date. Author attribution, actual hours and PM approval require confirmation. WBS Reset Password remains Iteration 3; real email/OAuth acceptance is not proven.</x:v>
      </x:c>
    </x:row>
    <x:row r="30" ht="72" customHeight="1">
      <x:c r="A30" s="102" t="str">
        <x:v>TL-026</x:v>
      </x:c>
      <x:c r="B30" s="109" t="n">
        <x:v>46300</x:v>
      </x:c>
      <x:c r="C30" s="104" t="str">
        <x:v>Git: Nguyen Viet Hoang</x:v>
      </x:c>
      <x:c r="D30" s="103" t="str">
        <x:v>WBS-012, WBS-014, WBS-016, WBS-017</x:v>
      </x:c>
      <x:c r="E30" s="104" t="str">
        <x:v>Fix assessment question snapshot parsing and integrate Practice/review UI</x:v>
      </x:c>
      <x:c r="F30" s="104" t="str">
        <x:v>Coding</x:v>
      </x:c>
      <x:c r="G30" s="104" t="str">
        <x:v>Modified</x:v>
      </x:c>
      <x:c r="H30" s="107"/>
      <x:c r="I30" s="104" t="str">
        <x:v>Test runner / Practice / Review UI</x:v>
      </x:c>
      <x:c r="J30" s="103" t="str">
        <x:v>Phase 1</x:v>
      </x:c>
      <x:c r="K30" s="86" t="str">
        <x:v>Pending</x:v>
      </x:c>
      <x:c r="L30" s="104"/>
      <x:c r="M30" s="109" t="n">
        <x:v>46302</x:v>
      </x:c>
      <x:c r="N30" s="104" t="str">
        <x:v>Reconstructed from frontend commits d2b737d, 6716dd9 on main. Date = latest Git author date in this work group, not confirmed work date. Author attribution, actual hours and PM approval require confirmation. </x:v>
      </x:c>
    </x:row>
    <x:row r="31" ht="102" customHeight="1">
      <x:c r="A31" s="102" t="str">
        <x:v>TL-027</x:v>
      </x:c>
      <x:c r="B31" s="110" t="n">
        <x:v>46300</x:v>
      </x:c>
      <x:c r="C31" s="106" t="str">
        <x:v>Git: Nguyen Viet Hoang</x:v>
      </x:c>
      <x:c r="D31" s="105" t="str">
        <x:v>WBS-008, WBS-009, WBS-010, WBS-012, WBS-014, WBS-016, WBS-017</x:v>
      </x:c>
      <x:c r="E31" s="106" t="str">
        <x:v>Document browser core-flow checks and API-assisted fresh-user E2E</x:v>
      </x:c>
      <x:c r="F31" s="106" t="str">
        <x:v>Testing</x:v>
      </x:c>
      <x:c r="G31" s="106" t="str">
        <x:v>Modified</x:v>
      </x:c>
      <x:c r="H31" s="107"/>
      <x:c r="I31" s="106" t="str">
        <x:v>FE E2E reports</x:v>
      </x:c>
      <x:c r="J31" s="105" t="str">
        <x:v>Phase 1</x:v>
      </x:c>
      <x:c r="K31" s="86" t="str">
        <x:v>Pending</x:v>
      </x:c>
      <x:c r="L31" s="106"/>
      <x:c r="M31" s="110" t="n">
        <x:v>46302</x:v>
      </x:c>
      <x:c r="N31" s="106" t="str">
        <x:v>Reconstructed from frontend commits caaf987, 6716dd9 on main. Date = latest Git author date in this work group, not confirmed work date. Author attribution, actual hours and PM approval require confirmation. Same commit as TL-026 includes reports and code; hours must be split. Practice/review full unassisted browser flow remains unverified.</x:v>
      </x:c>
    </x:row>
    <x:row r="32" ht="87" customHeight="1">
      <x:c r="A32" s="102" t="str">
        <x:v>TL-028</x:v>
      </x:c>
      <x:c r="B32" s="109" t="n">
        <x:v>46302</x:v>
      </x:c>
      <x:c r="C32" s="104" t="str">
        <x:v>Git: hieuLeFpt, Lê Trung Hiếu</x:v>
      </x:c>
      <x:c r="D32" s="103" t="str">
        <x:v>Scope 1.1 / 2.2 / 3.3</x:v>
      </x:c>
      <x:c r="E32" s="104" t="str">
        <x:v>Complete requirements/data/NFR sections and record scope/BA review</x:v>
      </x:c>
      <x:c r="F32" s="104" t="str">
        <x:v>Analyzing</x:v>
      </x:c>
      <x:c r="G32" s="104" t="str">
        <x:v>Modified</x:v>
      </x:c>
      <x:c r="H32" s="107"/>
      <x:c r="I32" s="104" t="str">
        <x:v>Requirements and review reports</x:v>
      </x:c>
      <x:c r="J32" s="103" t="str">
        <x:v>Phase 1</x:v>
      </x:c>
      <x:c r="K32" s="86" t="str">
        <x:v>Pending</x:v>
      </x:c>
      <x:c r="L32" s="104"/>
      <x:c r="M32" s="109" t="n">
        <x:v>46302</x:v>
      </x:c>
      <x:c r="N32" s="104" t="str">
        <x:v>Reconstructed from backend commits b2323f1, f2e00d4, 36b1092 on main. Date = latest Git author date in this work group, not confirmed work date. Author attribution, actual hours and PM approval require confirmation. Document approval and actual authorship still require confirmation.</x:v>
      </x:c>
    </x:row>
    <x:row r="33" ht="132" customHeight="1">
      <x:c r="A33" s="102" t="str">
        <x:v>TL-029</x:v>
      </x:c>
      <x:c r="B33" s="110" t="n">
        <x:v>46302</x:v>
      </x:c>
      <x:c r="C33" s="106" t="str">
        <x:v>Git: Lê Trung Hiếu</x:v>
      </x:c>
      <x:c r="D33" s="105" t="str">
        <x:v>WBS-008, WBS-016, WBS-017, WBS-057</x:v>
      </x:c>
      <x:c r="E33" s="106" t="str">
        <x:v>Implement band courses, placement recommendations and course tests</x:v>
      </x:c>
      <x:c r="F33" s="106" t="str">
        <x:v>Coding</x:v>
      </x:c>
      <x:c r="G33" s="106" t="str">
        <x:v>Modified</x:v>
      </x:c>
      <x:c r="H33" s="107"/>
      <x:c r="I33" s="106" t="str">
        <x:v>Backend course extension</x:v>
      </x:c>
      <x:c r="J33" s="105" t="str">
        <x:v>Phase 1</x:v>
      </x:c>
      <x:c r="K33" s="86" t="str">
        <x:v>Pending</x:v>
      </x:c>
      <x:c r="L33" s="106"/>
      <x:c r="M33" s="110" t="n">
        <x:v>46302</x:v>
      </x:c>
      <x:c r="N33" s="106" t="str">
        <x:v>Reconstructed from backend commits d867758, 5926d93, 6935369, 559bf82, a401a33, 5ea098a on main. Date = latest Git author date in this work group, not confirmed work date. Author attribution, actual hours and PM approval require confirmation. Related C-006. Phase 1 inclusion and FE course delivery are pending, not accepted scope. WBS reference covers the baseline supporting function only; the retired prototype/course extension has no standalone accepted FDS screen.</x:v>
      </x:c>
    </x:row>
    <x:row r="34" ht="117" customHeight="1">
      <x:c r="A34" s="102" t="str">
        <x:v>TL-030</x:v>
      </x:c>
      <x:c r="B34" s="109" t="n">
        <x:v>46302</x:v>
      </x:c>
      <x:c r="C34" s="104" t="str">
        <x:v>Git: hieuLeFpt</x:v>
      </x:c>
      <x:c r="D34" s="103" t="str">
        <x:v>WBS-016, WBS-017, WBS-057</x:v>
      </x:c>
      <x:c r="E34" s="104" t="str">
        <x:v>Stabilize course-test timestamp fixture and add course demo content</x:v>
      </x:c>
      <x:c r="F34" s="104" t="str">
        <x:v>Coding</x:v>
      </x:c>
      <x:c r="G34" s="104" t="str">
        <x:v>Modified</x:v>
      </x:c>
      <x:c r="H34" s="107"/>
      <x:c r="I34" s="104" t="str">
        <x:v>Course test fix / demo seeds</x:v>
      </x:c>
      <x:c r="J34" s="103" t="str">
        <x:v>Phase 1</x:v>
      </x:c>
      <x:c r="K34" s="86" t="str">
        <x:v>Pending</x:v>
      </x:c>
      <x:c r="L34" s="104"/>
      <x:c r="M34" s="109" t="n">
        <x:v>46302</x:v>
      </x:c>
      <x:c r="N34" s="104" t="str">
        <x:v>Reconstructed from backend commits a078675, a18241b on main. Date = latest Git author date in this work group, not confirmed work date. Author attribution, actual hours and PM approval require confirmation. Follow-up after course merge; no new scope change inferred from this work. WBS reference covers the baseline supporting function only; the retired prototype/course extension has no standalone accepted FDS screen.</x:v>
      </x:c>
    </x:row>
    <x:row r="35">
      <x:c r="A35" s="28"/>
      <x:c r="B35" s="5"/>
      <x:c r="C35" s="12"/>
      <x:c r="D35" s="5"/>
      <x:c r="E35" s="12"/>
      <x:c r="F35" s="12"/>
      <x:c r="G35" s="12"/>
      <x:c r="H35" s="31"/>
      <x:c r="I35" s="12"/>
      <x:c r="J35" s="5"/>
      <x:c r="K35" s="15"/>
      <x:c r="L35" s="12"/>
      <x:c r="M35" s="5"/>
      <x:c r="N35" s="12"/>
    </x:row>
    <x:row r="39">
      <x:c r="A39" s="18" t="s">
        <x:v>172</x:v>
      </x:c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</x:row>
    <x:row r="40">
      <x:c r="A40" s="27" t="s">
        <x:v>168</x:v>
      </x:c>
      <x:c r="B40" s="27" t="s">
        <x:v>173</x:v>
      </x:c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</x:row>
    <x:row r="41">
      <x:c r="A41" s="32" t="s">
        <x:v>174</x:v>
      </x:c>
      <x:c r="B41" s="5" t="str">
        <x:f>IF(COUNT($H$5:$H$35)=0,"n.a.",SUMIF($F$5:$F$35,A41,$H$5:$H$35))</x:f>
        <x:v>n.a.</x:v>
      </x:c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</x:row>
    <x:row r="42">
      <x:c r="A42" s="32" t="s">
        <x:v>175</x:v>
      </x:c>
      <x:c r="B42" s="5" t="str">
        <x:f>IF(COUNT($H$5:$H$35)=0,"n.a.",SUMIF($F$5:$F$35,A42,$H$5:$H$35))</x:f>
        <x:v>n.a.</x:v>
      </x:c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</x:row>
    <x:row r="43">
      <x:c r="A43" s="32" t="s">
        <x:v>176</x:v>
      </x:c>
      <x:c r="B43" s="5" t="str">
        <x:f>IF(COUNT($H$5:$H$35)=0,"n.a.",SUMIF($F$5:$F$35,A43,$H$5:$H$35))</x:f>
        <x:v>n.a.</x:v>
      </x:c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</x:row>
    <x:row r="44">
      <x:c r="A44" s="32" t="s">
        <x:v>177</x:v>
      </x:c>
      <x:c r="B44" s="5" t="str">
        <x:f>IF(COUNT($H$5:$H$35)=0,"n.a.",SUMIF($F$5:$F$35,A44,$H$5:$H$35))</x:f>
        <x:v>n.a.</x:v>
      </x:c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</x:row>
    <x:row r="45">
      <x:c r="A45" s="32" t="s">
        <x:v>178</x:v>
      </x:c>
      <x:c r="B45" s="5" t="str">
        <x:f>IF(COUNT($H$5:$H$35)=0,"n.a.",SUMIF($F$5:$F$35,A45,$H$5:$H$35))</x:f>
        <x:v>n.a.</x:v>
      </x:c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</x:row>
    <x:row r="46">
      <x:c r="A46" s="32" t="s">
        <x:v>179</x:v>
      </x:c>
      <x:c r="B46" s="5" t="str">
        <x:f>IF(COUNT($H$5:$H$35)=0,"n.a.",SUMIF($F$5:$F$35,A46,$H$5:$H$35))</x:f>
        <x:v>n.a.</x:v>
      </x:c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</x:row>
    <x:row r="47">
      <x:c r="A47" s="32" t="s">
        <x:v>180</x:v>
      </x:c>
      <x:c r="B47" s="5" t="str">
        <x:f>IF(COUNT($H$5:$H$35)=0,"n.a.",SUMIF($F$5:$F$35,A47,$H$5:$H$35))</x:f>
        <x:v>n.a.</x:v>
      </x:c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</x:row>
    <x:row r="48">
      <x:c r="A48" s="32" t="s">
        <x:v>181</x:v>
      </x:c>
      <x:c r="B48" s="5" t="str">
        <x:f>IF(COUNT($H$5:$H$35)=0,"n.a.",SUMIF($F$5:$F$35,A48,$H$5:$H$35))</x:f>
        <x:v>n.a.</x:v>
      </x:c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</x:row>
    <x:row r="49">
      <x:c r="A49" s="33" t="s">
        <x:v>182</x:v>
      </x:c>
      <x:c r="B49" s="10" t="str">
        <x:f>IF(COUNT($H$5:$H$35)=0,"n.a.",SUM($H$5:$H$35))</x:f>
        <x:v>n.a.</x:v>
      </x:c>
    </x:row>
  </x:sheetData>
  <x:mergeCells>
    <x:mergeCell ref="A2:N2"/>
    <x:mergeCell ref="A1:N1"/>
  </x:mergeCells>
  <x:conditionalFormatting sqref="K5:K500">
    <x:cfRule type="cellIs" dxfId="76" priority="1" operator="equal">
      <x:formula>"Done"</x:formula>
    </x:cfRule>
    <x:cfRule type="cellIs" dxfId="75" priority="2" operator="equal">
      <x:formula>"Completed"</x:formula>
    </x:cfRule>
    <x:cfRule type="cellIs" dxfId="74" priority="3" operator="equal">
      <x:formula>"Closed"</x:formula>
    </x:cfRule>
    <x:cfRule type="cellIs" dxfId="73" priority="4" operator="equal">
      <x:formula>"Fixed"</x:formula>
    </x:cfRule>
    <x:cfRule type="cellIs" dxfId="72" priority="5" operator="equal">
      <x:formula>"Approved"</x:formula>
    </x:cfRule>
    <x:cfRule type="cellIs" dxfId="71" priority="6" operator="equal">
      <x:formula>"In Progress"</x:formula>
    </x:cfRule>
    <x:cfRule type="cellIs" dxfId="70" priority="7" operator="equal">
      <x:formula>"Open"</x:formula>
    </x:cfRule>
    <x:cfRule type="cellIs" dxfId="69" priority="8" operator="equal">
      <x:formula>"Pending"</x:formula>
    </x:cfRule>
    <x:cfRule type="cellIs" dxfId="68" priority="9" operator="equal">
      <x:formula>"Blocked"</x:formula>
    </x:cfRule>
    <x:cfRule type="cellIs" dxfId="67" priority="10" operator="equal">
      <x:formula>"Cancelled"</x:formula>
    </x:cfRule>
    <x:cfRule type="cellIs" dxfId="66" priority="11" operator="equal">
      <x:formula>"Rejected"</x:formula>
    </x:cfRule>
    <x:cfRule type="cellIs" dxfId="65" priority="12" operator="equal">
      <x:formula>"Submitted"</x:formula>
    </x:cfRule>
  </x:conditionalFormatting>
  <x:dataValidations count="4">
    <x:dataValidation type="list" allowBlank="1" sqref="F5:F500">
      <x:formula1>"Training,Analyzing,Designing,Coding,Testing,Reviewing,Deploying,Meeting"</x:formula1>
    </x:dataValidation>
    <x:dataValidation type="list" allowBlank="1" sqref="G5:G500">
      <x:formula1>"Newly-Created,Updating,Reviewing,Bug-Fix,Research"</x:formula1>
    </x:dataValidation>
    <x:dataValidation type="list" allowBlank="1" sqref="K5:K500">
      <x:formula1>"Submitted,Approved,Rejected"</x:formula1>
    </x:dataValidation>
    <x:dataValidation type="list" allowBlank="1" sqref="J5:J500">
      <x:formula1>"Iteration 1,Iteration 2,Iteration 3,General"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0" hidden="0" customWidth="1"/>
    <x:col min="2" max="2" width="13" hidden="0" customWidth="1"/>
    <x:col min="3" max="3" width="43" hidden="0" customWidth="1"/>
    <x:col min="4" max="4" width="42" hidden="0" customWidth="1"/>
    <x:col min="5" max="6" width="22" hidden="1" customWidth="1"/>
    <x:col min="7" max="7" width="12" hidden="0" customWidth="1"/>
    <x:col min="8" max="8" width="12" hidden="0" customWidth="1"/>
    <x:col min="9" max="9" width="20" hidden="0" customWidth="1"/>
    <x:col min="10" max="10" width="22" hidden="0" customWidth="1"/>
    <x:col min="11" max="11" width="36" hidden="0" customWidth="1"/>
    <x:col min="12" max="13" width="14" customWidth="1"/>
    <x:col min="14" max="14" width="16" hidden="0" customWidth="1"/>
    <x:col min="15" max="15" width="13" hidden="0" customWidth="1"/>
    <x:col min="16" max="16" width="18" hidden="0" customWidth="1"/>
    <x:col min="17" max="17" width="13" hidden="0" customWidth="1"/>
    <x:col min="18" max="18" width="70" hidden="0" customWidth="1"/>
    <x:col min="5" max="5" width="43" hidden="0" customWidth="1"/>
    <x:col min="6" max="6" width="43" hidden="0" customWidth="1"/>
    <x:col min="12" max="12" width="22" hidden="0" customWidth="1"/>
    <x:col min="13" max="13" width="24" hidden="0" customWidth="1"/>
  </x:cols>
  <x:sheetData>
    <x:row r="1" ht="17.649999618530273">
      <x:c r="A1" s="71" t="str">
        <x:v>Defects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</x:row>
    <x:row r="2" ht="32" customHeight="1">
      <x:c r="A2" s="91" t="str">
        <x:v>Fixed = implementation/report evidence; Closed requires retest. Pending = observation needs reproduction. Earlier-sheet template defects are recorded, not repaired.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</x:row>
    <x:row r="4" ht="35" customHeight="1">
      <x:c r="A4" s="119" t="s">
        <x:v>46</x:v>
      </x:c>
      <x:c r="B4" s="119" t="s">
        <x:v>183</x:v>
      </x:c>
      <x:c r="C4" s="119" t="s">
        <x:v>184</x:v>
      </x:c>
      <x:c r="D4" s="119" t="s">
        <x:v>185</x:v>
      </x:c>
      <x:c r="E4" s="119" t="s">
        <x:v>186</x:v>
      </x:c>
      <x:c r="F4" s="119" t="s">
        <x:v>187</x:v>
      </x:c>
      <x:c r="G4" s="119" t="s">
        <x:v>188</x:v>
      </x:c>
      <x:c r="H4" s="119" t="s">
        <x:v>160</x:v>
      </x:c>
      <x:c r="I4" s="119" t="s">
        <x:v>168</x:v>
      </x:c>
      <x:c r="J4" s="119" t="s">
        <x:v>189</x:v>
      </x:c>
      <x:c r="K4" s="119" t="s">
        <x:v>190</x:v>
      </x:c>
      <x:c r="L4" s="119" t="s">
        <x:v>191</x:v>
      </x:c>
      <x:c r="M4" s="119" t="s">
        <x:v>192</x:v>
      </x:c>
      <x:c r="N4" s="119" t="s">
        <x:v>15</x:v>
      </x:c>
      <x:c r="O4" s="119" t="s">
        <x:v>193</x:v>
      </x:c>
      <x:c r="P4" s="119" t="s">
        <x:v>194</x:v>
      </x:c>
      <x:c r="Q4" s="119" t="s">
        <x:v>171</x:v>
      </x:c>
      <x:c r="R4" s="119" t="s">
        <x:v>52</x:v>
      </x:c>
    </x:row>
    <x:row r="5" ht="68" customHeight="1">
      <x:c r="A5" s="115" t="str">
        <x:v>D-001</x:v>
      </x:c>
      <x:c r="B5" s="120" t="n">
        <x:v>46300</x:v>
      </x:c>
      <x:c r="C5" s="117" t="str">
        <x:v>Topic lesson mapper omitted practiceStatus</x:v>
      </x:c>
      <x:c r="D5" s="117" t="str">
        <x:v>Complete lessons while Practice is REQUIRED; open topic.</x:v>
      </x:c>
      <x:c r="E5" s="117" t="str">
        <x:v>Show remaining Practice gate and a clear next action.</x:v>
      </x:c>
      <x:c r="F5" s="117" t="str">
        <x:v>Gate state was dropped from mapped lessons.</x:v>
      </x:c>
      <x:c r="G5" s="116" t="str">
        <x:v>High</x:v>
      </x:c>
      <x:c r="H5" s="107" t="str">
        <x:v>High</x:v>
      </x:c>
      <x:c r="I5" s="116" t="str">
        <x:v>Testing / Review</x:v>
      </x:c>
      <x:c r="J5" s="118" t="str">
        <x:v>Frontend</x:v>
      </x:c>
      <x:c r="K5" s="118" t="str">
        <x:v>Topic mapper and final-test checklist</x:v>
      </x:c>
      <x:c r="L5" s="118" t="str">
        <x:v>Repository review</x:v>
      </x:c>
      <x:c r="M5" s="118" t="str">
        <x:v>FE owner</x:v>
      </x:c>
      <x:c r="N5" s="86" t="str">
        <x:v>Fixed</x:v>
      </x:c>
      <x:c r="O5" s="120" t="n">
        <x:v>46300</x:v>
      </x:c>
      <x:c r="P5" s="116"/>
      <x:c r="Q5" s="120" t="n">
        <x:v>46302</x:v>
      </x:c>
      <x:c r="R5" s="118" t="str">
        <x:v>frontend/plans/reports/e2e-main-flow-261005/fix-ux-cta-gates.md; frontend/plans/reports/e2e-practice-261005/report.md confirms gap closed; full fresh browser retest still open.</x:v>
      </x:c>
    </x:row>
    <x:row r="6" ht="68" customHeight="1">
      <x:c r="A6" s="115" t="str">
        <x:v>D-002</x:v>
      </x:c>
      <x:c r="B6" s="110" t="n">
        <x:v>46300</x:v>
      </x:c>
      <x:c r="C6" s="106" t="str">
        <x:v>PRACTICE_REQUIRED error lacked actionable handling</x:v>
      </x:c>
      <x:c r="D6" s="106" t="str">
        <x:v>Try to assign a test while Practice is required.</x:v>
      </x:c>
      <x:c r="E6" s="106" t="str">
        <x:v>Explain remaining Practice, show lesson links, reload state.</x:v>
      </x:c>
      <x:c r="F6" s="106" t="str">
        <x:v>Generic locked message did not explain Practice requirement.</x:v>
      </x:c>
      <x:c r="G6" s="107" t="str">
        <x:v>High</x:v>
      </x:c>
      <x:c r="H6" s="107" t="str">
        <x:v>High</x:v>
      </x:c>
      <x:c r="I6" s="105" t="str">
        <x:v>Testing / Review</x:v>
      </x:c>
      <x:c r="J6" s="106" t="str">
        <x:v>Frontend</x:v>
      </x:c>
      <x:c r="K6" s="106" t="str">
        <x:v>Assignment error handling</x:v>
      </x:c>
      <x:c r="L6" s="106" t="str">
        <x:v>Repository review</x:v>
      </x:c>
      <x:c r="M6" s="106" t="str">
        <x:v>FE owner</x:v>
      </x:c>
      <x:c r="N6" s="86" t="str">
        <x:v>Fixed</x:v>
      </x:c>
      <x:c r="O6" s="110" t="n">
        <x:v>46300</x:v>
      </x:c>
      <x:c r="P6" s="105"/>
      <x:c r="Q6" s="110" t="n">
        <x:v>46302</x:v>
      </x:c>
      <x:c r="R6" s="106" t="str">
        <x:v>frontend/plans/reports/e2e-main-flow-261005/fix-ux-cta-gates.md; frontend/plans/reports/e2e-practice-261005/report.md</x:v>
      </x:c>
    </x:row>
    <x:row r="7" ht="68" customHeight="1">
      <x:c r="A7" s="115" t="str">
        <x:v>D-003</x:v>
      </x:c>
      <x:c r="B7" s="120" t="n">
        <x:v>46300</x:v>
      </x:c>
      <x:c r="C7" s="118" t="str">
        <x:v>Pending reviews were not hydrated in topic view</x:v>
      </x:c>
      <x:c r="D7" s="118" t="str">
        <x:v>Open a topic with pending review.</x:v>
      </x:c>
      <x:c r="E7" s="118" t="str">
        <x:v>Load reviews, display review checklist, hide locked test CTA.</x:v>
      </x:c>
      <x:c r="F7" s="118" t="str">
        <x:v>Learner could not see why the final test was locked.</x:v>
      </x:c>
      <x:c r="G7" s="107" t="str">
        <x:v>High</x:v>
      </x:c>
      <x:c r="H7" s="107" t="str">
        <x:v>High</x:v>
      </x:c>
      <x:c r="I7" s="116" t="str">
        <x:v>Testing / Review</x:v>
      </x:c>
      <x:c r="J7" s="118" t="str">
        <x:v>Frontend</x:v>
      </x:c>
      <x:c r="K7" s="118" t="str">
        <x:v>Topic ReviewGate / GET reviews</x:v>
      </x:c>
      <x:c r="L7" s="118" t="str">
        <x:v>Repository review</x:v>
      </x:c>
      <x:c r="M7" s="118" t="str">
        <x:v>FE owner</x:v>
      </x:c>
      <x:c r="N7" s="86" t="str">
        <x:v>Fixed</x:v>
      </x:c>
      <x:c r="O7" s="120" t="n">
        <x:v>46300</x:v>
      </x:c>
      <x:c r="P7" s="116"/>
      <x:c r="Q7" s="120" t="n">
        <x:v>46302</x:v>
      </x:c>
      <x:c r="R7" s="118" t="str">
        <x:v>frontend/plans/reports/e2e-main-flow-261005/fix-ux-cta-gates.md; frontend/plans/reports/e2e-practice-261005/report.md browser smoke only.</x:v>
      </x:c>
    </x:row>
    <x:row r="8" ht="72" customHeight="1">
      <x:c r="A8" s="115" t="str">
        <x:v>D-004</x:v>
      </x:c>
      <x:c r="B8" s="110" t="n">
        <x:v>46300</x:v>
      </x:c>
      <x:c r="C8" s="106" t="str">
        <x:v>Primary CTA click reliability requires fresh retest</x:v>
      </x:c>
      <x:c r="D8" s="106" t="str">
        <x:v>Use accessibility-ref click on login or test CTA.</x:v>
      </x:c>
      <x:c r="E8" s="106" t="str">
        <x:v>Accessible activation consistently reaches the button handler.</x:v>
      </x:c>
      <x:c r="F8" s="106" t="str">
        <x:v>Automation sometimes missed; Enter or JS click completed the action.</x:v>
      </x:c>
      <x:c r="G8" s="107" t="str">
        <x:v>Medium</x:v>
      </x:c>
      <x:c r="H8" s="107" t="str">
        <x:v>Medium</x:v>
      </x:c>
      <x:c r="I8" s="105" t="str">
        <x:v>Testing / Review</x:v>
      </x:c>
      <x:c r="J8" s="106" t="str">
        <x:v>Frontend</x:v>
      </x:c>
      <x:c r="K8" s="106" t="str">
        <x:v>Auth and learning primary CTA</x:v>
      </x:c>
      <x:c r="L8" s="106" t="str">
        <x:v>Repository review</x:v>
      </x:c>
      <x:c r="M8" s="106" t="str">
        <x:v>FE owner</x:v>
      </x:c>
      <x:c r="N8" s="86" t="str">
        <x:v>Open</x:v>
      </x:c>
      <x:c r="O8" s="110"/>
      <x:c r="P8" s="105"/>
      <x:c r="Q8" s="110" t="n">
        <x:v>46302</x:v>
      </x:c>
      <x:c r="R8" s="106" t="str">
        <x:v>frontend/plans/reports/e2e-main-flow-261005/fix-ux-cta-gates.md records layout fix, but frontend/plans/reports/e2e-main-flow-261005-fresh/report.md repeats observation. Application-wide reproduction is not established.</x:v>
      </x:c>
    </x:row>
    <x:row r="9" ht="68" customHeight="1">
      <x:c r="A9" s="115" t="str">
        <x:v>D-005</x:v>
      </x:c>
      <x:c r="B9" s="120" t="n">
        <x:v>46300</x:v>
      </x:c>
      <x:c r="C9" s="118" t="str">
        <x:v>Assessment result accessibility snapshot omitted visible score details</x:v>
      </x:c>
      <x:c r="D9" s="118" t="str">
        <x:v>Inspect result page accessibility tree after submit.</x:v>
      </x:c>
      <x:c r="E9" s="118" t="str">
        <x:v>Score percent and correct-answer count are perceivable by assistive technology.</x:v>
      </x:c>
      <x:c r="F9" s="118" t="str">
        <x:v>Interactive snapshot lacked percent/count despite visible UI text.</x:v>
      </x:c>
      <x:c r="G9" s="107" t="str">
        <x:v>Medium</x:v>
      </x:c>
      <x:c r="H9" s="107" t="str">
        <x:v>Medium</x:v>
      </x:c>
      <x:c r="I9" s="116" t="str">
        <x:v>Testing / Review</x:v>
      </x:c>
      <x:c r="J9" s="118" t="str">
        <x:v>Frontend</x:v>
      </x:c>
      <x:c r="K9" s="118" t="str">
        <x:v>Result summary accessibility</x:v>
      </x:c>
      <x:c r="L9" s="118" t="str">
        <x:v>Repository review</x:v>
      </x:c>
      <x:c r="M9" s="118" t="str">
        <x:v>FE owner</x:v>
      </x:c>
      <x:c r="N9" s="86" t="str">
        <x:v>Pending</x:v>
      </x:c>
      <x:c r="O9" s="120"/>
      <x:c r="P9" s="116"/>
      <x:c r="Q9" s="120" t="n">
        <x:v>46302</x:v>
      </x:c>
      <x:c r="R9" s="118" t="str">
        <x:v>frontend/plans/reports/e2e-main-flow-261005/report.md item 5. Verify with a screen reader before confirming defect.</x:v>
      </x:c>
    </x:row>
    <x:row r="10" ht="68" customHeight="1">
      <x:c r="A10" s="115" t="str">
        <x:v>D-006</x:v>
      </x:c>
      <x:c r="B10" s="110" t="n">
        <x:v>46302</x:v>
      </x:c>
      <x:c r="C10" s="106" t="str">
        <x:v>Dashboard open-item formulas point at incorrect status columns</x:v>
      </x:c>
      <x:c r="D10" s="106" t="str">
        <x:v>Populate Q&amp;A, Defects and Issues statuses; inspect Dashboard formulas.</x:v>
      </x:c>
      <x:c r="E10" s="106" t="str">
        <x:v>Counts read Q&amp;A K, Defects N, Issues K.</x:v>
      </x:c>
      <x:c r="F10" s="106" t="str">
        <x:v>Template reads Q&amp;A G, Defects H and Issues H.</x:v>
      </x:c>
      <x:c r="G10" s="107" t="str">
        <x:v>Medium</x:v>
      </x:c>
      <x:c r="H10" s="107" t="str">
        <x:v>High</x:v>
      </x:c>
      <x:c r="I10" s="105" t="str">
        <x:v>Testing / Review</x:v>
      </x:c>
      <x:c r="J10" s="106" t="str">
        <x:v>Tracking workbook</x:v>
      </x:c>
      <x:c r="K10" s="106" t="str">
        <x:v>Dashboard D8, G5/C8 and F5/B8</x:v>
      </x:c>
      <x:c r="L10" s="106" t="str">
        <x:v>Repository review</x:v>
      </x:c>
      <x:c r="M10" s="106" t="str">
        <x:v>PM / documentation owner</x:v>
      </x:c>
      <x:c r="N10" s="86" t="str">
        <x:v>Open</x:v>
      </x:c>
      <x:c r="O10" s="110"/>
      <x:c r="P10" s="105"/>
      <x:c r="Q10" s="110" t="n">
        <x:v>46302</x:v>
      </x:c>
      <x:c r="R10" s="106" t="str">
        <x:v>Original workbook formulas. Dashboard is before requested edit boundary and was preserved.</x:v>
      </x:c>
    </x:row>
    <x:row r="11" ht="68" customHeight="1">
      <x:c r="A11" s="115" t="str">
        <x:v>D-007</x:v>
      </x:c>
      <x:c r="B11" s="120" t="n">
        <x:v>46302</x:v>
      </x:c>
      <x:c r="C11" s="118" t="str">
        <x:v>WBS/dashboard iteration summaries use wrong template columns</x:v>
      </x:c>
      <x:c r="D11" s="118" t="str">
        <x:v>Compare WBS headers with Dashboard iteration COUNTIF/SUMIF formulas.</x:v>
      </x:c>
      <x:c r="E11" s="118" t="str">
        <x:v>Iteration from WBS H, points from G, status from K.</x:v>
      </x:c>
      <x:c r="F11" s="118" t="str">
        <x:v>Dashboard uses G for iteration, F for points and H for status.</x:v>
      </x:c>
      <x:c r="G11" s="107" t="str">
        <x:v>Medium</x:v>
      </x:c>
      <x:c r="H11" s="107" t="str">
        <x:v>Medium</x:v>
      </x:c>
      <x:c r="I11" s="116" t="str">
        <x:v>Testing / Review</x:v>
      </x:c>
      <x:c r="J11" s="118" t="str">
        <x:v>Tracking workbook</x:v>
      </x:c>
      <x:c r="K11" s="118" t="str">
        <x:v>Dashboard C22:F24; WBS summaries are static</x:v>
      </x:c>
      <x:c r="L11" s="118" t="str">
        <x:v>Repository review</x:v>
      </x:c>
      <x:c r="M11" s="118" t="str">
        <x:v>PM / documentation owner</x:v>
      </x:c>
      <x:c r="N11" s="86" t="str">
        <x:v>Fixed</x:v>
      </x:c>
      <x:c r="O11" s="120" t="n">
        <x:v>46302</x:v>
      </x:c>
      <x:c r="P11" s="116"/>
      <x:c r="Q11" s="120" t="n">
        <x:v>46302</x:v>
      </x:c>
      <x:c r="R11" s="118" t="str">
        <x:v>Corrected during FDS-based WBS revision: Dashboard C22:G24 uses WBS H (iteration), G (points), K (status); WBS summary recalculates. Historical issue kept for traceability.</x:v>
      </x:c>
    </x:row>
    <x:row r="12" ht="68" customHeight="1">
      <x:c r="A12" s="115" t="str">
        <x:v>D-008</x:v>
      </x:c>
      <x:c r="B12" s="110" t="n">
        <x:v>46302</x:v>
      </x:c>
      <x:c r="C12" s="106" t="str">
        <x:v>Scope summary counts and progress interpretation are inconsistent</x:v>
      </x:c>
      <x:c r="D12" s="106" t="str">
        <x:v>Compare Scope headers and formulas with Dashboard deliverable counts.</x:v>
      </x:c>
      <x:c r="E12" s="106" t="str">
        <x:v>Count statuses in Scope G and treat effort usage separately from completion.</x:v>
      </x:c>
      <x:c r="F12" s="106" t="str">
        <x:v>Dashboard reads Scope F as status; Scope % Complete is actual/estimated effort.</x:v>
      </x:c>
      <x:c r="G12" s="107" t="str">
        <x:v>Medium</x:v>
      </x:c>
      <x:c r="H12" s="107" t="str">
        <x:v>Medium</x:v>
      </x:c>
      <x:c r="I12" s="105" t="str">
        <x:v>Testing / Review</x:v>
      </x:c>
      <x:c r="J12" s="106" t="str">
        <x:v>Tracking workbook</x:v>
      </x:c>
      <x:c r="K12" s="106" t="str">
        <x:v>Scope F and Dashboard B5:E5</x:v>
      </x:c>
      <x:c r="L12" s="106" t="str">
        <x:v>Repository review</x:v>
      </x:c>
      <x:c r="M12" s="106" t="str">
        <x:v>PM / documentation owner</x:v>
      </x:c>
      <x:c r="N12" s="86" t="str">
        <x:v>Open</x:v>
      </x:c>
      <x:c r="O12" s="110"/>
      <x:c r="P12" s="105"/>
      <x:c r="Q12" s="110" t="n">
        <x:v>46302</x:v>
      </x:c>
      <x:c r="R12" s="106" t="str">
        <x:v>Original Scope/Dashboard. No silent changes made before Q&amp;A.</x:v>
      </x:c>
    </x:row>
    <x:row r="13">
      <x:c r="A13" s="35"/>
      <x:c r="B13" s="36"/>
      <x:c r="C13" s="38"/>
      <x:c r="D13" s="38"/>
      <x:c r="E13" s="38"/>
      <x:c r="F13" s="38"/>
      <x:c r="G13" s="31"/>
      <x:c r="H13" s="31"/>
      <x:c r="I13" s="36"/>
      <x:c r="J13" s="38"/>
      <x:c r="K13" s="38"/>
      <x:c r="L13" s="38"/>
      <x:c r="M13" s="38"/>
      <x:c r="N13" s="15"/>
      <x:c r="O13" s="36"/>
      <x:c r="P13" s="36"/>
      <x:c r="Q13" s="36"/>
      <x:c r="R13" s="38"/>
    </x:row>
    <x:row r="14">
      <x:c r="A14" s="35"/>
      <x:c r="B14" s="5"/>
      <x:c r="C14" s="12"/>
      <x:c r="D14" s="12"/>
      <x:c r="E14" s="12"/>
      <x:c r="F14" s="12"/>
      <x:c r="G14" s="31"/>
      <x:c r="H14" s="31"/>
      <x:c r="I14" s="5"/>
      <x:c r="J14" s="12"/>
      <x:c r="K14" s="12"/>
      <x:c r="L14" s="12"/>
      <x:c r="M14" s="12"/>
      <x:c r="N14" s="15"/>
      <x:c r="O14" s="5"/>
      <x:c r="P14" s="5"/>
      <x:c r="Q14" s="5"/>
      <x:c r="R14" s="12"/>
    </x:row>
    <x:row r="15">
      <x:c r="A15" s="35"/>
      <x:c r="B15" s="36"/>
      <x:c r="C15" s="38"/>
      <x:c r="D15" s="38"/>
      <x:c r="E15" s="38"/>
      <x:c r="F15" s="38"/>
      <x:c r="G15" s="31"/>
      <x:c r="H15" s="31"/>
      <x:c r="I15" s="36"/>
      <x:c r="J15" s="38"/>
      <x:c r="K15" s="38"/>
      <x:c r="L15" s="38"/>
      <x:c r="M15" s="38"/>
      <x:c r="N15" s="15"/>
      <x:c r="O15" s="36"/>
      <x:c r="P15" s="36"/>
      <x:c r="Q15" s="36"/>
      <x:c r="R15" s="38"/>
    </x:row>
    <x:row r="16">
      <x:c r="A16" s="35"/>
      <x:c r="B16" s="5"/>
      <x:c r="C16" s="12"/>
      <x:c r="D16" s="12"/>
      <x:c r="E16" s="12"/>
      <x:c r="F16" s="12"/>
      <x:c r="G16" s="31"/>
      <x:c r="H16" s="31"/>
      <x:c r="I16" s="5"/>
      <x:c r="J16" s="12"/>
      <x:c r="K16" s="12"/>
      <x:c r="L16" s="12"/>
      <x:c r="M16" s="12"/>
      <x:c r="N16" s="15"/>
      <x:c r="O16" s="5"/>
      <x:c r="P16" s="5"/>
      <x:c r="Q16" s="5"/>
      <x:c r="R16" s="12"/>
    </x:row>
    <x:row r="17">
      <x:c r="A17" s="35"/>
      <x:c r="B17" s="36"/>
      <x:c r="C17" s="38"/>
      <x:c r="D17" s="38"/>
      <x:c r="E17" s="38"/>
      <x:c r="F17" s="38"/>
      <x:c r="G17" s="31"/>
      <x:c r="H17" s="31"/>
      <x:c r="I17" s="36"/>
      <x:c r="J17" s="38"/>
      <x:c r="K17" s="38"/>
      <x:c r="L17" s="38"/>
      <x:c r="M17" s="38"/>
      <x:c r="N17" s="15"/>
      <x:c r="O17" s="36"/>
      <x:c r="P17" s="36"/>
      <x:c r="Q17" s="36"/>
      <x:c r="R17" s="38"/>
    </x:row>
    <x:row r="18">
      <x:c r="A18" s="35"/>
      <x:c r="B18" s="5"/>
      <x:c r="C18" s="12"/>
      <x:c r="D18" s="12"/>
      <x:c r="E18" s="12"/>
      <x:c r="F18" s="12"/>
      <x:c r="G18" s="31"/>
      <x:c r="H18" s="31"/>
      <x:c r="I18" s="5"/>
      <x:c r="J18" s="12"/>
      <x:c r="K18" s="12"/>
      <x:c r="L18" s="12"/>
      <x:c r="M18" s="12"/>
      <x:c r="N18" s="15"/>
      <x:c r="O18" s="5"/>
      <x:c r="P18" s="5"/>
      <x:c r="Q18" s="5"/>
      <x:c r="R18" s="12"/>
    </x:row>
    <x:row r="19">
      <x:c r="A19" s="35"/>
      <x:c r="B19" s="36"/>
      <x:c r="C19" s="38"/>
      <x:c r="D19" s="38"/>
      <x:c r="E19" s="38"/>
      <x:c r="F19" s="38"/>
      <x:c r="G19" s="31"/>
      <x:c r="H19" s="31"/>
      <x:c r="I19" s="36"/>
      <x:c r="J19" s="38"/>
      <x:c r="K19" s="38"/>
      <x:c r="L19" s="38"/>
      <x:c r="M19" s="38"/>
      <x:c r="N19" s="15"/>
      <x:c r="O19" s="36"/>
      <x:c r="P19" s="36"/>
      <x:c r="Q19" s="36"/>
      <x:c r="R19" s="38"/>
    </x:row>
    <x:row r="20">
      <x:c r="A20" s="35"/>
      <x:c r="B20" s="5"/>
      <x:c r="C20" s="12"/>
      <x:c r="D20" s="12"/>
      <x:c r="E20" s="12"/>
      <x:c r="F20" s="12"/>
      <x:c r="G20" s="31"/>
      <x:c r="H20" s="31"/>
      <x:c r="I20" s="5"/>
      <x:c r="J20" s="12"/>
      <x:c r="K20" s="12"/>
      <x:c r="L20" s="12"/>
      <x:c r="M20" s="12"/>
      <x:c r="N20" s="15"/>
      <x:c r="O20" s="5"/>
      <x:c r="P20" s="5"/>
      <x:c r="Q20" s="5"/>
      <x:c r="R20" s="12"/>
    </x:row>
    <x:row r="21">
      <x:c r="A21" s="35"/>
      <x:c r="B21" s="36"/>
      <x:c r="C21" s="38"/>
      <x:c r="D21" s="38"/>
      <x:c r="E21" s="38"/>
      <x:c r="F21" s="38"/>
      <x:c r="G21" s="31"/>
      <x:c r="H21" s="31"/>
      <x:c r="I21" s="36"/>
      <x:c r="J21" s="38"/>
      <x:c r="K21" s="38"/>
      <x:c r="L21" s="38"/>
      <x:c r="M21" s="38"/>
      <x:c r="N21" s="15"/>
      <x:c r="O21" s="36"/>
      <x:c r="P21" s="36"/>
      <x:c r="Q21" s="36"/>
      <x:c r="R21" s="38"/>
    </x:row>
    <x:row r="22">
      <x:c r="A22" s="35"/>
      <x:c r="B22" s="5"/>
      <x:c r="C22" s="12"/>
      <x:c r="D22" s="12"/>
      <x:c r="E22" s="12"/>
      <x:c r="F22" s="12"/>
      <x:c r="G22" s="31"/>
      <x:c r="H22" s="31"/>
      <x:c r="I22" s="5"/>
      <x:c r="J22" s="12"/>
      <x:c r="K22" s="12"/>
      <x:c r="L22" s="12"/>
      <x:c r="M22" s="12"/>
      <x:c r="N22" s="15"/>
      <x:c r="O22" s="5"/>
      <x:c r="P22" s="5"/>
      <x:c r="Q22" s="5"/>
      <x:c r="R22" s="12"/>
    </x:row>
    <x:row r="23">
      <x:c r="A23" s="35"/>
      <x:c r="B23" s="36"/>
      <x:c r="C23" s="38"/>
      <x:c r="D23" s="38"/>
      <x:c r="E23" s="38"/>
      <x:c r="F23" s="38"/>
      <x:c r="G23" s="31"/>
      <x:c r="H23" s="31"/>
      <x:c r="I23" s="36"/>
      <x:c r="J23" s="38"/>
      <x:c r="K23" s="38"/>
      <x:c r="L23" s="38"/>
      <x:c r="M23" s="38"/>
      <x:c r="N23" s="15"/>
      <x:c r="O23" s="36"/>
      <x:c r="P23" s="36"/>
      <x:c r="Q23" s="36"/>
      <x:c r="R23" s="38"/>
    </x:row>
    <x:row r="24">
      <x:c r="A24" s="35"/>
      <x:c r="B24" s="5"/>
      <x:c r="C24" s="12"/>
      <x:c r="D24" s="12"/>
      <x:c r="E24" s="12"/>
      <x:c r="F24" s="12"/>
      <x:c r="G24" s="31"/>
      <x:c r="H24" s="31"/>
      <x:c r="I24" s="5"/>
      <x:c r="J24" s="12"/>
      <x:c r="K24" s="12"/>
      <x:c r="L24" s="12"/>
      <x:c r="M24" s="12"/>
      <x:c r="N24" s="15"/>
      <x:c r="O24" s="5"/>
      <x:c r="P24" s="5"/>
      <x:c r="Q24" s="5"/>
      <x:c r="R24" s="12"/>
    </x:row>
    <x:row r="25">
      <x:c r="A25" s="35"/>
      <x:c r="B25" s="36"/>
      <x:c r="C25" s="38"/>
      <x:c r="D25" s="38"/>
      <x:c r="E25" s="38"/>
      <x:c r="F25" s="38"/>
      <x:c r="G25" s="31"/>
      <x:c r="H25" s="31"/>
      <x:c r="I25" s="36"/>
      <x:c r="J25" s="38"/>
      <x:c r="K25" s="38"/>
      <x:c r="L25" s="38"/>
      <x:c r="M25" s="38"/>
      <x:c r="N25" s="15"/>
      <x:c r="O25" s="36"/>
      <x:c r="P25" s="36"/>
      <x:c r="Q25" s="36"/>
      <x:c r="R25" s="38"/>
    </x:row>
    <x:row r="26">
      <x:c r="A26" s="35"/>
      <x:c r="B26" s="5"/>
      <x:c r="C26" s="12"/>
      <x:c r="D26" s="12"/>
      <x:c r="E26" s="12"/>
      <x:c r="F26" s="12"/>
      <x:c r="G26" s="31"/>
      <x:c r="H26" s="31"/>
      <x:c r="I26" s="5"/>
      <x:c r="J26" s="12"/>
      <x:c r="K26" s="12"/>
      <x:c r="L26" s="12"/>
      <x:c r="M26" s="12"/>
      <x:c r="N26" s="15"/>
      <x:c r="O26" s="5"/>
      <x:c r="P26" s="5"/>
      <x:c r="Q26" s="5"/>
      <x:c r="R26" s="12"/>
    </x:row>
    <x:row r="27">
      <x:c r="A27" s="35"/>
      <x:c r="B27" s="36"/>
      <x:c r="C27" s="38"/>
      <x:c r="D27" s="38"/>
      <x:c r="E27" s="38"/>
      <x:c r="F27" s="38"/>
      <x:c r="G27" s="31"/>
      <x:c r="H27" s="31"/>
      <x:c r="I27" s="36"/>
      <x:c r="J27" s="38"/>
      <x:c r="K27" s="38"/>
      <x:c r="L27" s="38"/>
      <x:c r="M27" s="38"/>
      <x:c r="N27" s="15"/>
      <x:c r="O27" s="36"/>
      <x:c r="P27" s="36"/>
      <x:c r="Q27" s="36"/>
      <x:c r="R27" s="38"/>
    </x:row>
    <x:row r="28">
      <x:c r="A28" s="35"/>
      <x:c r="B28" s="5"/>
      <x:c r="C28" s="12"/>
      <x:c r="D28" s="12"/>
      <x:c r="E28" s="12"/>
      <x:c r="F28" s="12"/>
      <x:c r="G28" s="31"/>
      <x:c r="H28" s="31"/>
      <x:c r="I28" s="5"/>
      <x:c r="J28" s="12"/>
      <x:c r="K28" s="12"/>
      <x:c r="L28" s="12"/>
      <x:c r="M28" s="12"/>
      <x:c r="N28" s="15"/>
      <x:c r="O28" s="5"/>
      <x:c r="P28" s="5"/>
      <x:c r="Q28" s="5"/>
      <x:c r="R28" s="12"/>
    </x:row>
    <x:row r="29">
      <x:c r="A29" s="35"/>
      <x:c r="B29" s="36"/>
      <x:c r="C29" s="38"/>
      <x:c r="D29" s="38"/>
      <x:c r="E29" s="38"/>
      <x:c r="F29" s="38"/>
      <x:c r="G29" s="31"/>
      <x:c r="H29" s="31"/>
      <x:c r="I29" s="36"/>
      <x:c r="J29" s="38"/>
      <x:c r="K29" s="38"/>
      <x:c r="L29" s="38"/>
      <x:c r="M29" s="38"/>
      <x:c r="N29" s="15"/>
      <x:c r="O29" s="36"/>
      <x:c r="P29" s="36"/>
      <x:c r="Q29" s="36"/>
      <x:c r="R29" s="38"/>
    </x:row>
    <x:row r="30">
      <x:c r="A30" s="35"/>
      <x:c r="B30" s="5"/>
      <x:c r="C30" s="12"/>
      <x:c r="D30" s="12"/>
      <x:c r="E30" s="12"/>
      <x:c r="F30" s="12"/>
      <x:c r="G30" s="31"/>
      <x:c r="H30" s="31"/>
      <x:c r="I30" s="5"/>
      <x:c r="J30" s="12"/>
      <x:c r="K30" s="12"/>
      <x:c r="L30" s="12"/>
      <x:c r="M30" s="12"/>
      <x:c r="N30" s="15"/>
      <x:c r="O30" s="5"/>
      <x:c r="P30" s="5"/>
      <x:c r="Q30" s="5"/>
      <x:c r="R30" s="12"/>
    </x:row>
    <x:row r="31">
      <x:c r="A31" s="35"/>
      <x:c r="B31" s="36"/>
      <x:c r="C31" s="38"/>
      <x:c r="D31" s="38"/>
      <x:c r="E31" s="38"/>
      <x:c r="F31" s="38"/>
      <x:c r="G31" s="31"/>
      <x:c r="H31" s="31"/>
      <x:c r="I31" s="36"/>
      <x:c r="J31" s="38"/>
      <x:c r="K31" s="38"/>
      <x:c r="L31" s="38"/>
      <x:c r="M31" s="38"/>
      <x:c r="N31" s="15"/>
      <x:c r="O31" s="36"/>
      <x:c r="P31" s="36"/>
      <x:c r="Q31" s="36"/>
      <x:c r="R31" s="38"/>
    </x:row>
    <x:row r="32">
      <x:c r="A32" s="35"/>
      <x:c r="B32" s="5"/>
      <x:c r="C32" s="12"/>
      <x:c r="D32" s="12"/>
      <x:c r="E32" s="12"/>
      <x:c r="F32" s="12"/>
      <x:c r="G32" s="31"/>
      <x:c r="H32" s="31"/>
      <x:c r="I32" s="5"/>
      <x:c r="J32" s="12"/>
      <x:c r="K32" s="12"/>
      <x:c r="L32" s="12"/>
      <x:c r="M32" s="12"/>
      <x:c r="N32" s="15"/>
      <x:c r="O32" s="5"/>
      <x:c r="P32" s="5"/>
      <x:c r="Q32" s="5"/>
      <x:c r="R32" s="12"/>
    </x:row>
    <x:row r="33">
      <x:c r="A33" s="35"/>
      <x:c r="B33" s="36"/>
      <x:c r="C33" s="38"/>
      <x:c r="D33" s="38"/>
      <x:c r="E33" s="38"/>
      <x:c r="F33" s="38"/>
      <x:c r="G33" s="31"/>
      <x:c r="H33" s="31"/>
      <x:c r="I33" s="36"/>
      <x:c r="J33" s="38"/>
      <x:c r="K33" s="38"/>
      <x:c r="L33" s="38"/>
      <x:c r="M33" s="38"/>
      <x:c r="N33" s="15"/>
      <x:c r="O33" s="36"/>
      <x:c r="P33" s="36"/>
      <x:c r="Q33" s="36"/>
      <x:c r="R33" s="38"/>
    </x:row>
    <x:row r="34">
      <x:c r="A34" s="35"/>
      <x:c r="B34" s="5"/>
      <x:c r="C34" s="12"/>
      <x:c r="D34" s="12"/>
      <x:c r="E34" s="12"/>
      <x:c r="F34" s="12"/>
      <x:c r="G34" s="31"/>
      <x:c r="H34" s="31"/>
      <x:c r="I34" s="5"/>
      <x:c r="J34" s="12"/>
      <x:c r="K34" s="12"/>
      <x:c r="L34" s="12"/>
      <x:c r="M34" s="12"/>
      <x:c r="N34" s="15"/>
      <x:c r="O34" s="5"/>
      <x:c r="P34" s="5"/>
      <x:c r="Q34" s="5"/>
      <x:c r="R34" s="12"/>
    </x:row>
  </x:sheetData>
  <x:mergeCells>
    <x:mergeCell ref="A2:R2"/>
    <x:mergeCell ref="A1:R1"/>
  </x:mergeCells>
  <x:conditionalFormatting sqref="G5:G300">
    <x:cfRule type="cellIs" dxfId="64" priority="1" operator="equal">
      <x:formula>"Critical"</x:formula>
    </x:cfRule>
    <x:cfRule type="cellIs" dxfId="63" priority="2" operator="equal">
      <x:formula>"High"</x:formula>
    </x:cfRule>
    <x:cfRule type="cellIs" dxfId="62" priority="3" operator="equal">
      <x:formula>"Medium"</x:formula>
    </x:cfRule>
    <x:cfRule type="cellIs" dxfId="61" priority="4" operator="equal">
      <x:formula>"Low"</x:formula>
    </x:cfRule>
    <x:cfRule type="cellIs" dxfId="60" priority="5" operator="equal">
      <x:formula>"Info"</x:formula>
    </x:cfRule>
  </x:conditionalFormatting>
  <x:conditionalFormatting sqref="H5:H300">
    <x:cfRule type="cellIs" dxfId="59" priority="6" operator="equal">
      <x:formula>"Critical"</x:formula>
    </x:cfRule>
    <x:cfRule type="cellIs" dxfId="58" priority="7" operator="equal">
      <x:formula>"High"</x:formula>
    </x:cfRule>
    <x:cfRule type="cellIs" dxfId="57" priority="8" operator="equal">
      <x:formula>"Medium"</x:formula>
    </x:cfRule>
    <x:cfRule type="cellIs" dxfId="56" priority="9" operator="equal">
      <x:formula>"Low"</x:formula>
    </x:cfRule>
  </x:conditionalFormatting>
  <x:conditionalFormatting sqref="N5:N300">
    <x:cfRule type="cellIs" dxfId="55" priority="10" operator="equal">
      <x:formula>"Done"</x:formula>
    </x:cfRule>
    <x:cfRule type="cellIs" dxfId="54" priority="11" operator="equal">
      <x:formula>"Completed"</x:formula>
    </x:cfRule>
    <x:cfRule type="cellIs" dxfId="53" priority="12" operator="equal">
      <x:formula>"Closed"</x:formula>
    </x:cfRule>
    <x:cfRule type="cellIs" dxfId="52" priority="13" operator="equal">
      <x:formula>"Fixed"</x:formula>
    </x:cfRule>
    <x:cfRule type="cellIs" dxfId="51" priority="14" operator="equal">
      <x:formula>"Approved"</x:formula>
    </x:cfRule>
    <x:cfRule type="cellIs" dxfId="50" priority="15" operator="equal">
      <x:formula>"In Progress"</x:formula>
    </x:cfRule>
    <x:cfRule type="cellIs" dxfId="49" priority="16" operator="equal">
      <x:formula>"Open"</x:formula>
    </x:cfRule>
    <x:cfRule type="cellIs" dxfId="48" priority="17" operator="equal">
      <x:formula>"Pending"</x:formula>
    </x:cfRule>
    <x:cfRule type="cellIs" dxfId="47" priority="18" operator="equal">
      <x:formula>"Blocked"</x:formula>
    </x:cfRule>
    <x:cfRule type="cellIs" dxfId="46" priority="19" operator="equal">
      <x:formula>"Cancelled"</x:formula>
    </x:cfRule>
    <x:cfRule type="cellIs" dxfId="45" priority="20" operator="equal">
      <x:formula>"Rejected"</x:formula>
    </x:cfRule>
    <x:cfRule type="cellIs" dxfId="44" priority="21" operator="equal">
      <x:formula>"Submitted"</x:formula>
    </x:cfRule>
  </x:conditionalFormatting>
  <x:dataValidations count="4">
    <x:dataValidation type="list" allowBlank="1" sqref="G5:G300">
      <x:formula1>"Critical,High,Medium,Low,Info"</x:formula1>
    </x:dataValidation>
    <x:dataValidation type="list" allowBlank="1" sqref="H5:H300">
      <x:formula1>"Critical,High,Medium,Low"</x:formula1>
    </x:dataValidation>
    <x:dataValidation type="list" allowBlank="1" sqref="I5:I300">
      <x:formula1>"Review,Unit Test,Integration Test,System Test,UAT"</x:formula1>
    </x:dataValidation>
    <x:dataValidation type="list" allowBlank="1" sqref="N5:N300">
      <x:formula1>"Pending,Open,In Progress,Fixed,Closed,Rejected"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C3292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0" hidden="0" customWidth="1"/>
    <x:col min="2" max="2" width="13" hidden="0" customWidth="1"/>
    <x:col min="3" max="3" width="47" hidden="0" customWidth="1"/>
    <x:col min="4" max="4" width="16" hidden="0" customWidth="1"/>
    <x:col min="5" max="5" width="12" hidden="0" customWidth="1"/>
    <x:col min="6" max="6" width="43" hidden="0" customWidth="1"/>
    <x:col min="7" max="8" width="14" customWidth="1"/>
    <x:col min="9" max="9" width="13" hidden="0" customWidth="1"/>
    <x:col min="10" max="10" width="55" hidden="0" customWidth="1"/>
    <x:col min="11" max="12" width="12" customWidth="1"/>
    <x:col min="13" max="13" width="70" hidden="0" customWidth="1"/>
    <x:col min="7" max="7" width="22" hidden="0" customWidth="1"/>
    <x:col min="8" max="8" width="26" hidden="0" customWidth="1"/>
    <x:col min="11" max="11" width="16" hidden="0" customWidth="1"/>
    <x:col min="12" max="12" width="14" hidden="0" customWidth="1"/>
  </x:cols>
  <x:sheetData>
    <x:row r="1" ht="28.149999618530273" customHeight="1">
      <x:c r="A1" s="71" t="str">
        <x:v>Issues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</x:row>
    <x:row r="2" ht="32" customHeight="1">
      <x:c r="A2" s="91" t="str">
        <x:v>Current gaps consolidated 07/10/2026. Owners are responsible roles proposed for PM assignment. Due/closed dates remain blank without evidence.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</x:row>
    <x:row r="3" ht="6" customHeight="1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</x:row>
    <x:row r="4" ht="35" customHeight="1">
      <x:c r="A4" s="129" t="s">
        <x:v>46</x:v>
      </x:c>
      <x:c r="B4" s="129" t="s">
        <x:v>156</x:v>
      </x:c>
      <x:c r="C4" s="129" t="s">
        <x:v>195</x:v>
      </x:c>
      <x:c r="D4" s="129" t="s">
        <x:v>196</x:v>
      </x:c>
      <x:c r="E4" s="129" t="s">
        <x:v>160</x:v>
      </x:c>
      <x:c r="F4" s="129" t="s">
        <x:v>197</x:v>
      </x:c>
      <x:c r="G4" s="129" t="s">
        <x:v>158</x:v>
      </x:c>
      <x:c r="H4" s="129" t="s">
        <x:v>198</x:v>
      </x:c>
      <x:c r="I4" s="129" t="s">
        <x:v>161</x:v>
      </x:c>
      <x:c r="J4" s="129" t="s">
        <x:v>199</x:v>
      </x:c>
      <x:c r="K4" s="129" t="s">
        <x:v>15</x:v>
      </x:c>
      <x:c r="L4" s="129" t="s">
        <x:v>200</x:v>
      </x:c>
      <x:c r="M4" s="129" t="s">
        <x:v>52</x:v>
      </x:c>
    </x:row>
    <x:row r="5" ht="68" customHeight="1">
      <x:c r="A5" s="125" t="str">
        <x:v>I-001</x:v>
      </x:c>
      <x:c r="B5" s="130" t="n">
        <x:v>46302</x:v>
      </x:c>
      <x:c r="C5" s="127" t="str">
        <x:v>Phase 1 boundary is not explicitly baselined against WBS.</x:v>
      </x:c>
      <x:c r="D5" s="126" t="str">
        <x:v>Scope</x:v>
      </x:c>
      <x:c r="E5" s="107" t="str">
        <x:v>High</x:v>
      </x:c>
      <x:c r="F5" s="128" t="str">
        <x:v>Acceptance and phase reporting may use different feature populations.</x:v>
      </x:c>
      <x:c r="G5" s="128" t="str">
        <x:v>Project review</x:v>
      </x:c>
      <x:c r="H5" s="128" t="str">
        <x:v>PM / supervisor</x:v>
      </x:c>
      <x:c r="I5" s="130"/>
      <x:c r="J5" s="128" t="str">
        <x:v>Confirm MVP versus WBS Iteration 1. Record approved features and phase cut-off. Link Q-001.</x:v>
      </x:c>
      <x:c r="K5" s="86" t="str">
        <x:v>Open</x:v>
      </x:c>
      <x:c r="L5" s="130"/>
      <x:c r="M5" s="128" t="str">
        <x:v>docs/test-plan/IELTS_Space_Test_Plan_v1.docx; original WBS</x:v>
      </x:c>
    </x:row>
    <x:row r="6" ht="68" customHeight="1">
      <x:c r="A6" s="125" t="str">
        <x:v>I-002</x:v>
      </x:c>
      <x:c r="B6" s="110" t="n">
        <x:v>46302</x:v>
      </x:c>
      <x:c r="C6" s="106" t="str">
        <x:v>Actual member hours and approved timesheets were not supplied.</x:v>
      </x:c>
      <x:c r="D6" s="105" t="str">
        <x:v>Process</x:v>
      </x:c>
      <x:c r="E6" s="107" t="str">
        <x:v>High</x:v>
      </x:c>
      <x:c r="F6" s="106" t="str">
        <x:v>Approved actual effort and productivity cannot be calculated.</x:v>
      </x:c>
      <x:c r="G6" s="106" t="str">
        <x:v>Project review</x:v>
      </x:c>
      <x:c r="H6" s="106" t="str">
        <x:v>PM / team members</x:v>
      </x:c>
      <x:c r="I6" s="110"/>
      <x:c r="J6" s="106" t="str">
        <x:v>Collect reporter, work date, actual hours and approval for every TimeLogs row. Link Q-014.</x:v>
      </x:c>
      <x:c r="K6" s="86" t="str">
        <x:v>Open</x:v>
      </x:c>
      <x:c r="L6" s="110"/>
      <x:c r="M6" s="106" t="str">
        <x:v>Original tracking workbook contains unrelated sample hours and reporter.</x:v>
      </x:c>
    </x:row>
    <x:row r="7" ht="68" customHeight="1">
      <x:c r="A7" s="125" t="str">
        <x:v>I-003</x:v>
      </x:c>
      <x:c r="B7" s="130" t="n">
        <x:v>46302</x:v>
      </x:c>
      <x:c r="C7" s="128" t="str">
        <x:v>Full fresh-user browser Practice/review/pass-to-next-topic flow lacks evidence.</x:v>
      </x:c>
      <x:c r="D7" s="126" t="str">
        <x:v>Technical</x:v>
      </x:c>
      <x:c r="E7" s="107" t="str">
        <x:v>High</x:v>
      </x:c>
      <x:c r="F7" s="128" t="str">
        <x:v>Core MVP acceptance has an unverified UI segment.</x:v>
      </x:c>
      <x:c r="G7" s="128" t="str">
        <x:v>Project review</x:v>
      </x:c>
      <x:c r="H7" s="128" t="str">
        <x:v>QA / FE owner</x:v>
      </x:c>
      <x:c r="I7" s="130"/>
      <x:c r="J7" s="128" t="str">
        <x:v>Run without API gate clearance: lesson, first Practice submit, failed Practice review, pass test, next topic. Capture artifacts.</x:v>
      </x:c>
      <x:c r="K7" s="86" t="str">
        <x:v>Open</x:v>
      </x:c>
      <x:c r="L7" s="130"/>
      <x:c r="M7" s="128" t="str">
        <x:v>frontend/plans/reports/e2e-main-flow-261005-fresh/report.md; frontend/plans/reports/e2e-practice-261005/report.md</x:v>
      </x:c>
    </x:row>
    <x:row r="8" ht="68" customHeight="1">
      <x:c r="A8" s="125" t="str">
        <x:v>I-004</x:v>
      </x:c>
      <x:c r="B8" s="110" t="n">
        <x:v>46302</x:v>
      </x:c>
      <x:c r="C8" s="106" t="str">
        <x:v>Live Writing feedback quality and Listening media acceptance are unverified.</x:v>
      </x:c>
      <x:c r="D8" s="105" t="str">
        <x:v>Technical</x:v>
      </x:c>
      <x:c r="E8" s="107" t="str">
        <x:v>High</x:v>
      </x:c>
      <x:c r="F8" s="106" t="str">
        <x:v>Writing quality and audio demo readiness cannot be concluded from UI/API wiring.</x:v>
      </x:c>
      <x:c r="G8" s="106" t="str">
        <x:v>Project review</x:v>
      </x:c>
      <x:c r="H8" s="106" t="str">
        <x:v>QA / content owner</x:v>
      </x:c>
      <x:c r="I8" s="110"/>
      <x:c r="J8" s="106" t="str">
        <x:v>Review real essays against rubric and play configured audio; verify timeout, points retry and transcript visibility.</x:v>
      </x:c>
      <x:c r="K8" s="86" t="str">
        <x:v>Open</x:v>
      </x:c>
      <x:c r="L8" s="110"/>
      <x:c r="M8" s="106" t="str">
        <x:v>docs/test-plan/IELTS_Space_Test_Plan_v1.docx; frontend/plans/reports/e2e-practice-261005/report.md</x:v>
      </x:c>
    </x:row>
    <x:row r="9" ht="68" customHeight="1">
      <x:c r="A9" s="125" t="str">
        <x:v>I-005</x:v>
      </x:c>
      <x:c r="B9" s="130" t="n">
        <x:v>46302</x:v>
      </x:c>
      <x:c r="C9" s="128" t="str">
        <x:v>Test Plan v1 describes FE as mock-only despite later HTTP E2E evidence.</x:v>
      </x:c>
      <x:c r="D9" s="126" t="str">
        <x:v>Process</x:v>
      </x:c>
      <x:c r="E9" s="107" t="str">
        <x:v>High</x:v>
      </x:c>
      <x:c r="F9" s="128" t="str">
        <x:v>Test scope and traceability no longer match the integrated FE.</x:v>
      </x:c>
      <x:c r="G9" s="128" t="str">
        <x:v>Project review</x:v>
      </x:c>
      <x:c r="H9" s="128" t="str">
        <x:v>QA / documentation owner</x:v>
      </x:c>
      <x:c r="I9" s="130"/>
      <x:c r="J9" s="128" t="str">
        <x:v>Update FE baseline, integration scope and acceptance matrix after Phase 1 scope confirmation.</x:v>
      </x:c>
      <x:c r="K9" s="86" t="str">
        <x:v>Open</x:v>
      </x:c>
      <x:c r="L9" s="130"/>
      <x:c r="M9" s="128" t="str">
        <x:v>docs/test-plan/IELTS_Space_Test_Plan_v1.docx TP-FE / Out of Scope versus frontend/plans/reports/e2e-main-flow-261005-fresh/report.md</x:v>
      </x:c>
    </x:row>
    <x:row r="10" ht="68" customHeight="1">
      <x:c r="A10" s="125" t="str">
        <x:v>I-006</x:v>
      </x:c>
      <x:c r="B10" s="110" t="n">
        <x:v>46302</x:v>
      </x:c>
      <x:c r="C10" s="106" t="str">
        <x:v>Premium enforcement is absent in the current learning MVP.</x:v>
      </x:c>
      <x:c r="D10" s="105" t="str">
        <x:v>Scope</x:v>
      </x:c>
      <x:c r="E10" s="107" t="str">
        <x:v>High</x:v>
      </x:c>
      <x:c r="F10" s="106" t="str">
        <x:v>Paid content cannot be accepted as protected solely by FE labels.</x:v>
      </x:c>
      <x:c r="G10" s="106" t="str">
        <x:v>Project review</x:v>
      </x:c>
      <x:c r="H10" s="106" t="str">
        <x:v>Product owner / backend lead</x:v>
      </x:c>
      <x:c r="I10" s="110"/>
      <x:c r="J10" s="106" t="str">
        <x:v>Confirm free-only demo scope or implement entitlement checks as an approved follow-up before paid release.</x:v>
      </x:c>
      <x:c r="K10" s="86" t="str">
        <x:v>Open</x:v>
      </x:c>
      <x:c r="L10" s="110"/>
      <x:c r="M10" s="106" t="str">
        <x:v>backend/docs/fe-main-flow-guide.md §6; docs/test-plan/IELTS_Space_Test_Plan_v1.docx</x:v>
      </x:c>
    </x:row>
    <x:row r="11" ht="68" customHeight="1">
      <x:c r="A11" s="125" t="str">
        <x:v>I-007</x:v>
      </x:c>
      <x:c r="B11" s="130" t="n">
        <x:v>46302</x:v>
      </x:c>
      <x:c r="C11" s="128" t="str">
        <x:v>Course backend has no corresponding FE course API and live acceptance smoke.</x:v>
      </x:c>
      <x:c r="D11" s="126" t="str">
        <x:v>Technical</x:v>
      </x:c>
      <x:c r="E11" s="107" t="str">
        <x:v>Medium</x:v>
      </x:c>
      <x:c r="F11" s="128" t="str">
        <x:v>End-to-end course recommendation and course-test completion remain incomplete.</x:v>
      </x:c>
      <x:c r="G11" s="128" t="str">
        <x:v>Project review</x:v>
      </x:c>
      <x:c r="H11" s="128" t="str">
        <x:v>PM / BE / FE leads</x:v>
      </x:c>
      <x:c r="I11" s="130"/>
      <x:c r="J11" s="128" t="str">
        <x:v>Allocate to Phase 1 or later, wire FE course calls and run Gateway-to-course result smoke. Link Q-011.</x:v>
      </x:c>
      <x:c r="K11" s="86" t="str">
        <x:v>Open</x:v>
      </x:c>
      <x:c r="L11" s="130"/>
      <x:c r="M11" s="128" t="str">
        <x:v>backend/plans/261006-2228-course-band-levels/plan.md final concerns; frontend/src/features/learning-path/api/learningApi.ts</x:v>
      </x:c>
    </x:row>
    <x:row r="12" ht="72" customHeight="1">
      <x:c r="A12" s="125" t="str">
        <x:v>I-008</x:v>
      </x:c>
      <x:c r="B12" s="110" t="n">
        <x:v>46302</x:v>
      </x:c>
      <x:c r="C12" s="106" t="str">
        <x:v>SRS/TDS metadata and formal approval records remain incomplete.</x:v>
      </x:c>
      <x:c r="D12" s="105" t="str">
        <x:v>Process</x:v>
      </x:c>
      <x:c r="E12" s="107" t="str">
        <x:v>Medium</x:v>
      </x:c>
      <x:c r="F12" s="106" t="str">
        <x:v>Cannot substantiate a formally approved requirement/design baseline.</x:v>
      </x:c>
      <x:c r="G12" s="106" t="str">
        <x:v>Project review</x:v>
      </x:c>
      <x:c r="H12" s="106" t="str">
        <x:v>PM / supervisor</x:v>
      </x:c>
      <x:c r="I12" s="110"/>
      <x:c r="J12" s="106" t="str">
        <x:v>Fill authors, reviewers, dates and approval references; reconcile Report 1, SRS and implementation.</x:v>
      </x:c>
      <x:c r="K12" s="86" t="str">
        <x:v>Open</x:v>
      </x:c>
      <x:c r="L12" s="110"/>
      <x:c r="M12" s="106" t="str">
        <x:v>backend/capstone-docs/rp_3.0_system-requirements-system/Report 3.0_SRS_IELTSPath_IeltsPath_v1.docx metadata; backend/capstone-docs/rp_1_vision-scope/Report 1_Vision_Scope_IeltsPath.docx In Review; original Scope Approved By is not approval evidence.</x:v>
      </x:c>
    </x:row>
    <x:row r="13" ht="68" customHeight="1">
      <x:c r="A13" s="125" t="str">
        <x:v>I-009</x:v>
      </x:c>
      <x:c r="B13" s="130" t="n">
        <x:v>46302</x:v>
      </x:c>
      <x:c r="C13" s="128" t="str">
        <x:v>Reset UI wiring exists but email delivery and OAuth acceptance are not evidenced.</x:v>
      </x:c>
      <x:c r="D13" s="126" t="str">
        <x:v>External</x:v>
      </x:c>
      <x:c r="E13" s="107" t="str">
        <x:v>Medium</x:v>
      </x:c>
      <x:c r="F13" s="128" t="str">
        <x:v>Real password recovery and social login must not be reported as accepted.</x:v>
      </x:c>
      <x:c r="G13" s="128" t="str">
        <x:v>Project review</x:v>
      </x:c>
      <x:c r="H13" s="128" t="str">
        <x:v>Auth owner / QA</x:v>
      </x:c>
      <x:c r="I13" s="130"/>
      <x:c r="J13" s="128" t="str">
        <x:v>Keep OAuth disabled until implementation/QA. Verify email token delivery, reset and login separately. WBS places reset in Iteration 3.</x:v>
      </x:c>
      <x:c r="K13" s="86" t="str">
        <x:v>Open</x:v>
      </x:c>
      <x:c r="L13" s="130"/>
      <x:c r="M13" s="128" t="str">
        <x:v>frontend/docs/journals/2026-10-05-fe-auth-forgot-reset-wiring.md; docs/test-plan/IELTS_Space_Test_Plan_v1.docx</x:v>
      </x:c>
    </x:row>
    <x:row r="14" ht="20.100000381469727" customHeight="1">
      <x:c r="A14" s="40"/>
      <x:c r="B14" s="5"/>
      <x:c r="C14" s="12"/>
      <x:c r="D14" s="5"/>
      <x:c r="E14" s="31"/>
      <x:c r="F14" s="12"/>
      <x:c r="G14" s="12"/>
      <x:c r="H14" s="12"/>
      <x:c r="I14" s="5"/>
      <x:c r="J14" s="12"/>
      <x:c r="K14" s="15"/>
      <x:c r="L14" s="5"/>
      <x:c r="M14" s="12"/>
    </x:row>
    <x:row r="15" ht="20.100000381469727" customHeight="1">
      <x:c r="A15" s="40"/>
      <x:c r="B15" s="41"/>
      <x:c r="C15" s="43"/>
      <x:c r="D15" s="41"/>
      <x:c r="E15" s="31"/>
      <x:c r="F15" s="43"/>
      <x:c r="G15" s="43"/>
      <x:c r="H15" s="43"/>
      <x:c r="I15" s="41"/>
      <x:c r="J15" s="43"/>
      <x:c r="K15" s="15"/>
      <x:c r="L15" s="41"/>
      <x:c r="M15" s="43"/>
    </x:row>
    <x:row r="16" ht="20.100000381469727" customHeight="1">
      <x:c r="A16" s="40"/>
      <x:c r="B16" s="5"/>
      <x:c r="C16" s="12"/>
      <x:c r="D16" s="5"/>
      <x:c r="E16" s="31"/>
      <x:c r="F16" s="12"/>
      <x:c r="G16" s="12"/>
      <x:c r="H16" s="12"/>
      <x:c r="I16" s="5"/>
      <x:c r="J16" s="12"/>
      <x:c r="K16" s="15"/>
      <x:c r="L16" s="5"/>
      <x:c r="M16" s="12"/>
    </x:row>
    <x:row r="17" ht="20.100000381469727" customHeight="1">
      <x:c r="A17" s="40"/>
      <x:c r="B17" s="41"/>
      <x:c r="C17" s="43"/>
      <x:c r="D17" s="41"/>
      <x:c r="E17" s="31"/>
      <x:c r="F17" s="43"/>
      <x:c r="G17" s="43"/>
      <x:c r="H17" s="43"/>
      <x:c r="I17" s="41"/>
      <x:c r="J17" s="43"/>
      <x:c r="K17" s="15"/>
      <x:c r="L17" s="41"/>
      <x:c r="M17" s="43"/>
    </x:row>
    <x:row r="18" ht="20.100000381469727" customHeight="1">
      <x:c r="A18" s="40"/>
      <x:c r="B18" s="5"/>
      <x:c r="C18" s="12"/>
      <x:c r="D18" s="5"/>
      <x:c r="E18" s="31"/>
      <x:c r="F18" s="12"/>
      <x:c r="G18" s="12"/>
      <x:c r="H18" s="12"/>
      <x:c r="I18" s="5"/>
      <x:c r="J18" s="12"/>
      <x:c r="K18" s="15"/>
      <x:c r="L18" s="5"/>
      <x:c r="M18" s="12"/>
    </x:row>
    <x:row r="19" ht="20.100000381469727" customHeight="1">
      <x:c r="A19" s="40"/>
      <x:c r="B19" s="41"/>
      <x:c r="C19" s="43"/>
      <x:c r="D19" s="41"/>
      <x:c r="E19" s="31"/>
      <x:c r="F19" s="43"/>
      <x:c r="G19" s="43"/>
      <x:c r="H19" s="43"/>
      <x:c r="I19" s="41"/>
      <x:c r="J19" s="43"/>
      <x:c r="K19" s="15"/>
      <x:c r="L19" s="41"/>
      <x:c r="M19" s="43"/>
    </x:row>
    <x:row r="20" ht="20.100000381469727" customHeight="1">
      <x:c r="A20" s="40"/>
      <x:c r="B20" s="5"/>
      <x:c r="C20" s="12"/>
      <x:c r="D20" s="5"/>
      <x:c r="E20" s="31"/>
      <x:c r="F20" s="12"/>
      <x:c r="G20" s="12"/>
      <x:c r="H20" s="12"/>
      <x:c r="I20" s="5"/>
      <x:c r="J20" s="12"/>
      <x:c r="K20" s="15"/>
      <x:c r="L20" s="5"/>
      <x:c r="M20" s="12"/>
    </x:row>
    <x:row r="21" ht="20.100000381469727" customHeight="1">
      <x:c r="A21" s="40"/>
      <x:c r="B21" s="41"/>
      <x:c r="C21" s="43"/>
      <x:c r="D21" s="41"/>
      <x:c r="E21" s="31"/>
      <x:c r="F21" s="43"/>
      <x:c r="G21" s="43"/>
      <x:c r="H21" s="43"/>
      <x:c r="I21" s="41"/>
      <x:c r="J21" s="43"/>
      <x:c r="K21" s="15"/>
      <x:c r="L21" s="41"/>
      <x:c r="M21" s="43"/>
    </x:row>
    <x:row r="22" ht="20.100000381469727" customHeight="1">
      <x:c r="A22" s="40"/>
      <x:c r="B22" s="5"/>
      <x:c r="C22" s="12"/>
      <x:c r="D22" s="5"/>
      <x:c r="E22" s="31"/>
      <x:c r="F22" s="12"/>
      <x:c r="G22" s="12"/>
      <x:c r="H22" s="12"/>
      <x:c r="I22" s="5"/>
      <x:c r="J22" s="12"/>
      <x:c r="K22" s="15"/>
      <x:c r="L22" s="5"/>
      <x:c r="M22" s="12"/>
    </x:row>
    <x:row r="23" ht="20.100000381469727" customHeight="1">
      <x:c r="A23" s="40"/>
      <x:c r="B23" s="41"/>
      <x:c r="C23" s="43"/>
      <x:c r="D23" s="41"/>
      <x:c r="E23" s="31"/>
      <x:c r="F23" s="43"/>
      <x:c r="G23" s="43"/>
      <x:c r="H23" s="43"/>
      <x:c r="I23" s="41"/>
      <x:c r="J23" s="43"/>
      <x:c r="K23" s="15"/>
      <x:c r="L23" s="41"/>
      <x:c r="M23" s="43"/>
    </x:row>
    <x:row r="24" ht="20.100000381469727" customHeight="1">
      <x:c r="A24" s="40"/>
      <x:c r="B24" s="5"/>
      <x:c r="C24" s="12"/>
      <x:c r="D24" s="5"/>
      <x:c r="E24" s="31"/>
      <x:c r="F24" s="12"/>
      <x:c r="G24" s="12"/>
      <x:c r="H24" s="12"/>
      <x:c r="I24" s="5"/>
      <x:c r="J24" s="12"/>
      <x:c r="K24" s="15"/>
      <x:c r="L24" s="5"/>
      <x:c r="M24" s="12"/>
    </x:row>
  </x:sheetData>
  <x:mergeCells>
    <x:mergeCell ref="A2:M2"/>
    <x:mergeCell ref="A1:M1"/>
  </x:mergeCells>
  <x:conditionalFormatting sqref="E5:E200">
    <x:cfRule type="cellIs" dxfId="43" priority="1" operator="equal">
      <x:formula>"Critical"</x:formula>
    </x:cfRule>
    <x:cfRule type="cellIs" dxfId="42" priority="2" operator="equal">
      <x:formula>"High"</x:formula>
    </x:cfRule>
    <x:cfRule type="cellIs" dxfId="41" priority="3" operator="equal">
      <x:formula>"Medium"</x:formula>
    </x:cfRule>
    <x:cfRule type="cellIs" dxfId="40" priority="4" operator="equal">
      <x:formula>"Low"</x:formula>
    </x:cfRule>
  </x:conditionalFormatting>
  <x:conditionalFormatting sqref="K5:K200">
    <x:cfRule type="cellIs" dxfId="39" priority="5" operator="equal">
      <x:formula>"Done"</x:formula>
    </x:cfRule>
    <x:cfRule type="cellIs" dxfId="38" priority="6" operator="equal">
      <x:formula>"Completed"</x:formula>
    </x:cfRule>
    <x:cfRule type="cellIs" dxfId="37" priority="7" operator="equal">
      <x:formula>"Closed"</x:formula>
    </x:cfRule>
    <x:cfRule type="cellIs" dxfId="36" priority="8" operator="equal">
      <x:formula>"Fixed"</x:formula>
    </x:cfRule>
    <x:cfRule type="cellIs" dxfId="35" priority="9" operator="equal">
      <x:formula>"Approved"</x:formula>
    </x:cfRule>
    <x:cfRule type="cellIs" dxfId="34" priority="10" operator="equal">
      <x:formula>"In Progress"</x:formula>
    </x:cfRule>
    <x:cfRule type="cellIs" dxfId="33" priority="11" operator="equal">
      <x:formula>"Open"</x:formula>
    </x:cfRule>
    <x:cfRule type="cellIs" dxfId="32" priority="12" operator="equal">
      <x:formula>"Pending"</x:formula>
    </x:cfRule>
    <x:cfRule type="cellIs" dxfId="31" priority="13" operator="equal">
      <x:formula>"Blocked"</x:formula>
    </x:cfRule>
    <x:cfRule type="cellIs" dxfId="30" priority="14" operator="equal">
      <x:formula>"Cancelled"</x:formula>
    </x:cfRule>
    <x:cfRule type="cellIs" dxfId="29" priority="15" operator="equal">
      <x:formula>"Rejected"</x:formula>
    </x:cfRule>
    <x:cfRule type="cellIs" dxfId="28" priority="16" operator="equal">
      <x:formula>"Submitted"</x:formula>
    </x:cfRule>
  </x:conditionalFormatting>
  <x:dataValidations count="3">
    <x:dataValidation type="list" allowBlank="1" sqref="D5:D200">
      <x:formula1>"Technical,Process,Resource,Scope,External,Other"</x:formula1>
    </x:dataValidation>
    <x:dataValidation type="list" allowBlank="1" sqref="E5:E200">
      <x:formula1>"Critical,High,Medium,Low"</x:formula1>
    </x:dataValidation>
    <x:dataValidation type="list" allowBlank="1" sqref="K5:K200">
      <x:formula1>"Open,In Progress,Closed,Deferred,Cancelled"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43C0C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0" hidden="0" customWidth="1"/>
    <x:col min="2" max="2" width="48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  <x:col min="7" max="7" width="55" hidden="0" customWidth="1"/>
    <x:col min="8" max="8" width="50" hidden="0" customWidth="1"/>
    <x:col min="9" max="9" width="28" hidden="0" customWidth="1"/>
    <x:col min="10" max="10" width="13" hidden="0" customWidth="1"/>
    <x:col min="11" max="11" width="16" hidden="0" customWidth="1"/>
    <x:col min="12" max="12" width="70" hidden="0" customWidth="1"/>
  </x:cols>
  <x:sheetData>
    <x:row r="1" ht="17.649999618530273">
      <x:c r="A1" s="71" t="str">
        <x:v>Risks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 ht="32" customHeight="1">
      <x:c r="A2" s="91" t="str">
        <x:v>Probability / Impact: High=3, Medium=2, Low=1. Score=P×I: ≥6 Critical, 4–5 High, 2–3 Medium, 1 Low. Due dates require PM agreement.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4" ht="35" customHeight="1">
      <x:c r="A4" s="137" t="s">
        <x:v>46</x:v>
      </x:c>
      <x:c r="B4" s="137" t="s">
        <x:v>201</x:v>
      </x:c>
      <x:c r="C4" s="137" t="s">
        <x:v>196</x:v>
      </x:c>
      <x:c r="D4" s="137" t="s">
        <x:v>202</x:v>
      </x:c>
      <x:c r="E4" s="137" t="s">
        <x:v>203</x:v>
      </x:c>
      <x:c r="F4" s="137" t="s">
        <x:v>204</x:v>
      </x:c>
      <x:c r="G4" s="137" t="s">
        <x:v>205</x:v>
      </x:c>
      <x:c r="H4" s="137" t="s">
        <x:v>206</x:v>
      </x:c>
      <x:c r="I4" s="137" t="s">
        <x:v>198</x:v>
      </x:c>
      <x:c r="J4" s="137" t="s">
        <x:v>161</x:v>
      </x:c>
      <x:c r="K4" s="137" t="s">
        <x:v>15</x:v>
      </x:c>
      <x:c r="L4" s="137" t="s">
        <x:v>52</x:v>
      </x:c>
    </x:row>
    <x:row r="5" ht="68" customHeight="1">
      <x:c r="A5" s="134" t="str">
        <x:v>R-001</x:v>
      </x:c>
      <x:c r="B5" s="118" t="str">
        <x:v>Scope expands from the core MVP to every full-product feature before Phase 1 acceptance.</x:v>
      </x:c>
      <x:c r="C5" s="118" t="str">
        <x:v>Scope</x:v>
      </x:c>
      <x:c r="D5" s="107" t="str">
        <x:v>High</x:v>
      </x:c>
      <x:c r="E5" s="107" t="str">
        <x:v>High</x:v>
      </x:c>
      <x:c r="F5" s="115" t="n">
        <x:f>IF(OR(D5="",E5=""),"",IF(D5="High",3,IF(D5="Medium",2,1))*IF(E5="High",3,IF(E5="Medium",2,1)))</x:f>
        <x:v>9</x:v>
      </x:c>
      <x:c r="G5" s="118" t="str">
        <x:v>Baseline phase requirements; keep course/multi-skill/Speaking/mobile allocation explicit.</x:v>
      </x:c>
      <x:c r="H5" s="118" t="str">
        <x:v>Replan approved changes and defer unaccepted extensions.</x:v>
      </x:c>
      <x:c r="I5" s="118" t="str">
        <x:v>PM / product owner</x:v>
      </x:c>
      <x:c r="J5" s="116"/>
      <x:c r="K5" s="86" t="str">
        <x:v>Open</x:v>
      </x:c>
      <x:c r="L5" s="118" t="str">
        <x:v>backend/capstone-docs/rp_1_vision-scope/Report 1_Vision_Scope_IeltsPath.docx versus docs/test-plan/IELTS_Space_Test_Plan_v1.docx; assessment: project-review judgement, not measured incidence.</x:v>
      </x:c>
    </x:row>
    <x:row r="6" ht="72" customHeight="1">
      <x:c r="A6" s="134" t="str">
        <x:v>R-002</x:v>
      </x:c>
      <x:c r="B6" s="106" t="str">
        <x:v>Frontend and backend gates or DTOs drift during course and lesson changes.</x:v>
      </x:c>
      <x:c r="C6" s="106" t="str">
        <x:v>Technical</x:v>
      </x:c>
      <x:c r="D6" s="107" t="str">
        <x:v>Medium</x:v>
      </x:c>
      <x:c r="E6" s="107" t="str">
        <x:v>High</x:v>
      </x:c>
      <x:c r="F6" s="135" t="n">
        <x:f>IF(OR(D6="",E6=""),"",IF(D6="High",3,IF(D6="Medium",2,1))*IF(E6="High",3,IF(E6="Medium",2,1)))</x:f>
        <x:v>6</x:v>
      </x:c>
      <x:c r="G6" s="106" t="str">
        <x:v>Review contract fields and error codes; run fresh-user integration after changes.</x:v>
      </x:c>
      <x:c r="H6" s="106" t="str">
        <x:v>Keep the validated MVP baseline until compatible changes pass.</x:v>
      </x:c>
      <x:c r="I6" s="106" t="str">
        <x:v>BE / FE leads</x:v>
      </x:c>
      <x:c r="J6" s="105"/>
      <x:c r="K6" s="86" t="str">
        <x:v>Open</x:v>
      </x:c>
      <x:c r="L6" s="106" t="str">
        <x:v>backend/docs/fe-main-flow-guide.md; backend/plans/261006-2228-course-band-levels/plan.md; backend/plans/261006-2309-multi-skill-lessons/plan.md; assessment: project-review judgement, not measured incidence.</x:v>
      </x:c>
    </x:row>
    <x:row r="7" ht="68" customHeight="1">
      <x:c r="A7" s="134" t="str">
        <x:v>R-003</x:v>
      </x:c>
      <x:c r="B7" s="118" t="str">
        <x:v>LLM timeout, cost or grading inconsistency disrupts Writing feedback.</x:v>
      </x:c>
      <x:c r="C7" s="118" t="str">
        <x:v>External</x:v>
      </x:c>
      <x:c r="D7" s="107" t="str">
        <x:v>Medium</x:v>
      </x:c>
      <x:c r="E7" s="107" t="str">
        <x:v>High</x:v>
      </x:c>
      <x:c r="F7" s="135" t="n">
        <x:f>IF(OR(D7="",E7=""),"",IF(D7="High",3,IF(D7="Medium",2,1))*IF(E7="High",3,IF(E7="Medium",2,1)))</x:f>
        <x:v>6</x:v>
      </x:c>
      <x:c r="G7" s="118" t="str">
        <x:v>Validate rubric/corpus, timeout, quota and point idempotency; keep provider secrets server-side.</x:v>
      </x:c>
      <x:c r="H7" s="118" t="str">
        <x:v>Report grading unavailable and support safe retry without duplicate debit.</x:v>
      </x:c>
      <x:c r="I7" s="118" t="str">
        <x:v>Writing owner / QA</x:v>
      </x:c>
      <x:c r="J7" s="116"/>
      <x:c r="K7" s="86" t="str">
        <x:v>Open</x:v>
      </x:c>
      <x:c r="L7" s="118" t="str">
        <x:v>docs/test-plan/IELTS_Space_Test_Plan_v1.docx TP-LRN-06 / NFR-P02; backend/docs/fe-main-flow-guide.md; assessment: project-review judgement, not measured incidence.</x:v>
      </x:c>
    </x:row>
    <x:row r="8" ht="68" customHeight="1">
      <x:c r="A8" s="134" t="str">
        <x:v>R-004</x:v>
      </x:c>
      <x:c r="B8" s="106" t="str">
        <x:v>RabbitMQ retries or result replay produces stale or duplicate learning progress.</x:v>
      </x:c>
      <x:c r="C8" s="106" t="str">
        <x:v>Technical</x:v>
      </x:c>
      <x:c r="D8" s="107" t="str">
        <x:v>Medium</x:v>
      </x:c>
      <x:c r="E8" s="107" t="str">
        <x:v>High</x:v>
      </x:c>
      <x:c r="F8" s="135" t="n">
        <x:f>IF(OR(D8="",E8=""),"",IF(D8="High",3,IF(D8="Medium",2,1))*IF(E8="High",3,IF(E8="Medium",2,1)))</x:f>
        <x:v>6</x:v>
      </x:c>
      <x:c r="G8" s="106" t="str">
        <x:v>Test consumer version/idempotency, ACK-after-commit, retry and DLQ with real infrastructure.</x:v>
      </x:c>
      <x:c r="H8" s="106" t="str">
        <x:v>Investigate failed events and replay through the existing idempotent consumer.</x:v>
      </x:c>
      <x:c r="I8" s="106" t="str">
        <x:v>Backend lead</x:v>
      </x:c>
      <x:c r="J8" s="105"/>
      <x:c r="K8" s="86" t="str">
        <x:v>Open</x:v>
      </x:c>
      <x:c r="L8" s="106" t="str">
        <x:v>docs/test-plan/IELTS_Space_Test_Plan_v1.docx TP-LRN-05 / NFR-REL01; assessment: project-review judgement, not measured incidence.</x:v>
      </x:c>
    </x:row>
    <x:row r="9" ht="68" customHeight="1">
      <x:c r="A9" s="134" t="str">
        <x:v>R-005</x:v>
      </x:c>
      <x:c r="B9" s="118" t="str">
        <x:v>Protected content or answers are exposed through role, ownership or route mistakes.</x:v>
      </x:c>
      <x:c r="C9" s="118" t="str">
        <x:v>Security</x:v>
      </x:c>
      <x:c r="D9" s="107" t="str">
        <x:v>Medium</x:v>
      </x:c>
      <x:c r="E9" s="107" t="str">
        <x:v>High</x:v>
      </x:c>
      <x:c r="F9" s="136" t="n">
        <x:f>IF(OR(D9="",E9=""),"",IF(D9="High",3,IF(D9="Medium",2,1))*IF(E9="High",3,IF(E9="Medium",2,1)))</x:f>
        <x:v>6</x:v>
      </x:c>
      <x:c r="G9" s="118" t="str">
        <x:v>Run JWT, ownership, /internal route and answer-redaction cases through Gateway.</x:v>
      </x:c>
      <x:c r="H9" s="118" t="str">
        <x:v>Block affected flow and fix authorization before acceptance.</x:v>
      </x:c>
      <x:c r="I9" s="118" t="str">
        <x:v>Backend lead / QA</x:v>
      </x:c>
      <x:c r="J9" s="116"/>
      <x:c r="K9" s="86" t="str">
        <x:v>Open</x:v>
      </x:c>
      <x:c r="L9" s="118" t="str">
        <x:v>docs/test-plan/IELTS_Space_Test_Plan_v1.docx NFR-SEC01 / TP-LRN-02; assessment: project-review judgement, not measured incidence.</x:v>
      </x:c>
    </x:row>
    <x:row r="10" ht="68" customHeight="1">
      <x:c r="A10" s="134" t="str">
        <x:v>R-006</x:v>
      </x:c>
      <x:c r="B10" s="106" t="str">
        <x:v>Missing media or question-pool data blocks a demo or remediation path.</x:v>
      </x:c>
      <x:c r="C10" s="106" t="str">
        <x:v>Resource</x:v>
      </x:c>
      <x:c r="D10" s="107" t="str">
        <x:v>Medium</x:v>
      </x:c>
      <x:c r="E10" s="107" t="str">
        <x:v>High</x:v>
      </x:c>
      <x:c r="F10" s="115" t="n">
        <x:f>IF(OR(D10="",E10=""),"",IF(D10="High",3,IF(D10="Medium",2,1))*IF(E10="High",3,IF(E10="Medium",2,1)))</x:f>
        <x:v>6</x:v>
      </x:c>
      <x:c r="G10" s="106" t="str">
        <x:v>Prepare validated audio URLs and unrevealed Practice/review packages before each cycle.</x:v>
      </x:c>
      <x:c r="H10" s="106" t="str">
        <x:v>Use another real published package or document the blocked scenario.</x:v>
      </x:c>
      <x:c r="I10" s="106" t="str">
        <x:v>Content owner</x:v>
      </x:c>
      <x:c r="J10" s="105"/>
      <x:c r="K10" s="86" t="str">
        <x:v>Open</x:v>
      </x:c>
      <x:c r="L10" s="106" t="str">
        <x:v>backend/docs/fe-main-flow-guide.md; docs/test-plan/IELTS_Space_Test_Plan_v1.docx Data constraints; assessment: project-review judgement, not measured incidence.</x:v>
      </x:c>
    </x:row>
    <x:row r="11" ht="68" customHeight="1">
      <x:c r="A11" s="134" t="str">
        <x:v>R-007</x:v>
      </x:c>
      <x:c r="B11" s="106" t="str">
        <x:v>Docker or environment drift causes skipped integration tests to be reported as passes.</x:v>
      </x:c>
      <x:c r="C11" s="106" t="str">
        <x:v>Technical</x:v>
      </x:c>
      <x:c r="D11" s="107" t="str">
        <x:v>Medium</x:v>
      </x:c>
      <x:c r="E11" s="107" t="str">
        <x:v>High</x:v>
      </x:c>
      <x:c r="F11" s="107" t="n">
        <x:f>IF(OR(D11="",E11=""),"",IF(D11="High",3,IF(D11="Medium",2,1))*IF(E11="High",3,IF(E11="Medium",2,1)))</x:f>
        <x:v>6</x:v>
      </x:c>
      <x:c r="G11" s="106" t="str">
        <x:v>Record commits/config and Docker readiness; separate Passed, Skipped and Not Run.</x:v>
      </x:c>
      <x:c r="H11" s="106" t="str">
        <x:v>Restore documented environment and rerun required integration tests.</x:v>
      </x:c>
      <x:c r="I11" s="106" t="str">
        <x:v>QA / infrastructure owner</x:v>
      </x:c>
      <x:c r="J11" s="105"/>
      <x:c r="K11" s="86" t="str">
        <x:v>Open</x:v>
      </x:c>
      <x:c r="L11" s="106" t="str">
        <x:v>docs/test-plan/IELTS_Space_Test_Plan_v1.docx NFR-OPS01; backend/plans/261006-2228-course-band-levels/plan.md verification; assessment: project-review judgement, not measured incidence.</x:v>
      </x:c>
    </x:row>
    <x:row r="12" ht="68" customHeight="1">
      <x:c r="A12" s="134" t="str">
        <x:v>R-008</x:v>
      </x:c>
      <x:c r="B12" s="118" t="str">
        <x:v>Insufficient browser coverage allows blocked controls or inaccessible feedback to escape.</x:v>
      </x:c>
      <x:c r="C12" s="118" t="str">
        <x:v>Quality</x:v>
      </x:c>
      <x:c r="D12" s="107" t="str">
        <x:v>Medium</x:v>
      </x:c>
      <x:c r="E12" s="107" t="str">
        <x:v>Medium</x:v>
      </x:c>
      <x:c r="F12" s="107" t="n">
        <x:f>IF(OR(D12="",E12=""),"",IF(D12="High",3,IF(D12="Medium",2,1))*IF(E12="High",3,IF(E12="Medium",2,1)))</x:f>
        <x:v>4</x:v>
      </x:c>
      <x:c r="G12" s="118" t="str">
        <x:v>Run fresh-user UI, keyboard, viewport and screen-reader checks on core screens.</x:v>
      </x:c>
      <x:c r="H12" s="118" t="str">
        <x:v>Prioritize blocking usability fixes and rerun the affected flow.</x:v>
      </x:c>
      <x:c r="I12" s="118" t="str">
        <x:v>FE owner / QA</x:v>
      </x:c>
      <x:c r="J12" s="116"/>
      <x:c r="K12" s="86" t="str">
        <x:v>Open</x:v>
      </x:c>
      <x:c r="L12" s="118" t="str">
        <x:v>frontend/plans/reports/e2e-main-flow-261005-fresh/report.md; frontend/plans/reports/e2e-main-flow-261005/report.md; assessment: project-review judgement, not measured incidence.</x:v>
      </x:c>
    </x:row>
    <x:row r="13" ht="68" customHeight="1">
      <x:c r="A13" s="134" t="str">
        <x:v>R-009</x:v>
      </x:c>
      <x:c r="B13" s="106" t="str">
        <x:v>A key team member becomes unavailable before Phase 1 review.</x:v>
      </x:c>
      <x:c r="C13" s="106" t="str">
        <x:v>Resource</x:v>
      </x:c>
      <x:c r="D13" s="107" t="str">
        <x:v>Low</x:v>
      </x:c>
      <x:c r="E13" s="107" t="str">
        <x:v>High</x:v>
      </x:c>
      <x:c r="F13" s="107" t="n">
        <x:f>IF(OR(D13="",E13=""),"",IF(D13="High",3,IF(D13="Medium",2,1))*IF(E13="High",3,IF(E13="Medium",2,1)))</x:f>
        <x:v>3</x:v>
      </x:c>
      <x:c r="G13" s="106" t="str">
        <x:v>Document service contracts and share setup knowledge across the team.</x:v>
      </x:c>
      <x:c r="H13" s="106" t="str">
        <x:v>PM reassigns remaining work and negotiates review schedule.</x:v>
      </x:c>
      <x:c r="I13" s="106" t="str">
        <x:v>PM</x:v>
      </x:c>
      <x:c r="J13" s="105"/>
      <x:c r="K13" s="86" t="str">
        <x:v>Open</x:v>
      </x:c>
      <x:c r="L13" s="106" t="str">
        <x:v>Original Risks R-002 adapted to Phase 1; no actual absence recorded.; assessment: project-review judgement, not measured incidence.</x:v>
      </x:c>
    </x:row>
    <x:row r="14" ht="68" customHeight="1">
      <x:c r="A14" s="134" t="str">
        <x:v>R-010</x:v>
      </x:c>
      <x:c r="B14" s="118" t="str">
        <x:v>Performance and operational targets are assumed from functional smoke results.</x:v>
      </x:c>
      <x:c r="C14" s="118" t="str">
        <x:v>Quality</x:v>
      </x:c>
      <x:c r="D14" s="107" t="str">
        <x:v>Medium</x:v>
      </x:c>
      <x:c r="E14" s="107" t="str">
        <x:v>Medium</x:v>
      </x:c>
      <x:c r="F14" s="107" t="n">
        <x:f>IF(OR(D14="",E14=""),"",IF(D14="High",3,IF(D14="Medium",2,1))*IF(E14="High",3,IF(E14="Medium",2,1)))</x:f>
        <x:v>4</x:v>
      </x:c>
      <x:c r="G14" s="118" t="str">
        <x:v>Agree test workload and measure non-LLM latency separately from provider latency.</x:v>
      </x:c>
      <x:c r="H14" s="118" t="str">
        <x:v>Record unmet targets and obtain a scoped acceptance decision.</x:v>
      </x:c>
      <x:c r="I14" s="118" t="str">
        <x:v>QA / backend lead</x:v>
      </x:c>
      <x:c r="J14" s="116"/>
      <x:c r="K14" s="86" t="str">
        <x:v>Open</x:v>
      </x:c>
      <x:c r="L14" s="118" t="str">
        <x:v>docs/test-plan/IELTS_Space_Test_Plan_v1.docx NFR-P01/P02; SRS Part 6; assessment: project-review judgement, not measured incidence.</x:v>
      </x:c>
    </x:row>
    <x:row r="15" ht="68" customHeight="1">
      <x:c r="A15" s="134" t="str">
        <x:v>R-011</x:v>
      </x:c>
      <x:c r="B15" s="106" t="str">
        <x:v>A paid release uses UI premium flags without server entitlement enforcement.</x:v>
      </x:c>
      <x:c r="C15" s="106" t="str">
        <x:v>Security</x:v>
      </x:c>
      <x:c r="D15" s="107" t="str">
        <x:v>Medium</x:v>
      </x:c>
      <x:c r="E15" s="107" t="str">
        <x:v>High</x:v>
      </x:c>
      <x:c r="F15" s="107" t="n">
        <x:f>IF(OR(D15="",E15=""),"",IF(D15="High",3,IF(D15="Medium",2,1))*IF(E15="High",3,IF(E15="Medium",2,1)))</x:f>
        <x:v>6</x:v>
      </x:c>
      <x:c r="G15" s="106" t="str">
        <x:v>Resolve I-006 before accepting paid premium access.</x:v>
      </x:c>
      <x:c r="H15" s="106" t="str">
        <x:v>Limit Phase 1 demo to explicitly free content.</x:v>
      </x:c>
      <x:c r="I15" s="106" t="str">
        <x:v>Product owner / backend lead</x:v>
      </x:c>
      <x:c r="J15" s="105"/>
      <x:c r="K15" s="86" t="str">
        <x:v>Open</x:v>
      </x:c>
      <x:c r="L15" s="106" t="str">
        <x:v>backend/docs/fe-main-flow-guide.md §6; assessment: project-review judgement, not measured incidence.</x:v>
      </x:c>
    </x:row>
    <x:row r="16">
      <x:c r="A16" s="45"/>
      <x:c r="B16" s="38"/>
      <x:c r="C16" s="38"/>
      <x:c r="D16" s="31"/>
      <x:c r="E16" s="31"/>
      <x:c r="F16" s="31"/>
      <x:c r="G16" s="38"/>
      <x:c r="H16" s="38"/>
      <x:c r="I16" s="38"/>
      <x:c r="J16" s="36"/>
      <x:c r="K16" s="15"/>
      <x:c r="L16" s="38"/>
    </x:row>
    <x:row r="17">
      <x:c r="A17" s="45"/>
      <x:c r="B17" s="12"/>
      <x:c r="C17" s="12"/>
      <x:c r="D17" s="31"/>
      <x:c r="E17" s="31"/>
      <x:c r="F17" s="31"/>
      <x:c r="G17" s="12"/>
      <x:c r="H17" s="12"/>
      <x:c r="I17" s="12"/>
      <x:c r="J17" s="5"/>
      <x:c r="K17" s="15"/>
      <x:c r="L17" s="12"/>
    </x:row>
    <x:row r="18">
      <x:c r="A18" s="45"/>
      <x:c r="B18" s="38"/>
      <x:c r="C18" s="38"/>
      <x:c r="D18" s="31"/>
      <x:c r="E18" s="31"/>
      <x:c r="F18" s="31"/>
      <x:c r="G18" s="38"/>
      <x:c r="H18" s="38"/>
      <x:c r="I18" s="38"/>
      <x:c r="J18" s="36"/>
      <x:c r="K18" s="15"/>
      <x:c r="L18" s="38"/>
    </x:row>
    <x:row r="19">
      <x:c r="A19" s="45"/>
      <x:c r="B19" s="12"/>
      <x:c r="C19" s="12"/>
      <x:c r="D19" s="31"/>
      <x:c r="E19" s="31"/>
      <x:c r="F19" s="31"/>
      <x:c r="G19" s="12"/>
      <x:c r="H19" s="12"/>
      <x:c r="I19" s="12"/>
      <x:c r="J19" s="5"/>
      <x:c r="K19" s="15"/>
      <x:c r="L19" s="12"/>
    </x:row>
  </x:sheetData>
  <x:mergeCells>
    <x:mergeCell ref="A2:L2"/>
    <x:mergeCell ref="A1:L1"/>
  </x:mergeCells>
  <x:conditionalFormatting sqref="K5:K100">
    <x:cfRule type="cellIs" dxfId="27" priority="1" operator="equal">
      <x:formula>"Done"</x:formula>
    </x:cfRule>
    <x:cfRule type="cellIs" dxfId="26" priority="2" operator="equal">
      <x:formula>"Completed"</x:formula>
    </x:cfRule>
    <x:cfRule type="cellIs" dxfId="25" priority="3" operator="equal">
      <x:formula>"Closed"</x:formula>
    </x:cfRule>
    <x:cfRule type="cellIs" dxfId="24" priority="4" operator="equal">
      <x:formula>"Fixed"</x:formula>
    </x:cfRule>
    <x:cfRule type="cellIs" dxfId="23" priority="5" operator="equal">
      <x:formula>"Approved"</x:formula>
    </x:cfRule>
    <x:cfRule type="cellIs" dxfId="22" priority="6" operator="equal">
      <x:formula>"In Progress"</x:formula>
    </x:cfRule>
    <x:cfRule type="cellIs" dxfId="21" priority="7" operator="equal">
      <x:formula>"Open"</x:formula>
    </x:cfRule>
    <x:cfRule type="cellIs" dxfId="20" priority="8" operator="equal">
      <x:formula>"Pending"</x:formula>
    </x:cfRule>
    <x:cfRule type="cellIs" dxfId="19" priority="9" operator="equal">
      <x:formula>"Blocked"</x:formula>
    </x:cfRule>
    <x:cfRule type="cellIs" dxfId="18" priority="10" operator="equal">
      <x:formula>"Cancelled"</x:formula>
    </x:cfRule>
    <x:cfRule type="cellIs" dxfId="17" priority="11" operator="equal">
      <x:formula>"Rejected"</x:formula>
    </x:cfRule>
    <x:cfRule type="cellIs" dxfId="16" priority="12" operator="equal">
      <x:formula>"Submitted"</x:formula>
    </x:cfRule>
  </x:conditionalFormatting>
  <x:dataValidations count="3">
    <x:dataValidation type="list" allowBlank="1" sqref="C5:C100">
      <x:formula1>"Technical,Schedule,Resource,Scope,External,Quality,Other"</x:formula1>
    </x:dataValidation>
    <x:dataValidation type="list" allowBlank="1" sqref="D5:E100">
      <x:formula1>"High,Medium,Low"</x:formula1>
    </x:dataValidation>
    <x:dataValidation type="list" allowBlank="1" sqref="K5:K100">
      <x:formula1>"Open,Mitigated,Occurred,Closed"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95959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0" hidden="0" customWidth="1"/>
    <x:col min="2" max="2" width="13" hidden="0" customWidth="1"/>
    <x:col min="3" max="3" width="48" hidden="0" customWidth="1"/>
    <x:col min="4" max="4" width="24" hidden="0" customWidth="1"/>
    <x:col min="5" max="5" width="43" hidden="0" customWidth="1"/>
    <x:col min="6" max="6" width="57" hidden="0" customWidth="1"/>
    <x:col min="7" max="7" width="18" hidden="0" customWidth="1"/>
    <x:col min="8" max="8" width="50" hidden="0" customWidth="1"/>
    <x:col min="9" max="9" width="12" hidden="0" customWidth="1"/>
    <x:col min="10" max="10" width="20" hidden="0" customWidth="1"/>
    <x:col min="11" max="11" width="18" hidden="0" customWidth="1"/>
    <x:col min="12" max="12" width="70" hidden="0" customWidth="1"/>
  </x:cols>
  <x:sheetData>
    <x:row r="1" ht="28.149999618530273" customHeight="1">
      <x:c r="A1" s="71" t="str">
        <x:v>ChangeLog — IELTSPath Phase 1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 ht="32" customHeight="1">
      <x:c r="A2" s="91" t="str">
        <x:v>Requirement, architecture and contract changes only. Routine setup/coding/testing stays in TimeLogs. Implemented does not mean formally approved or accepted for Phase 1.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3" ht="6" customHeight="1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 ht="35" customHeight="1">
      <x:c r="A4" s="144" t="s">
        <x:v>46</x:v>
      </x:c>
      <x:c r="B4" s="144" t="s">
        <x:v>156</x:v>
      </x:c>
      <x:c r="C4" s="144" t="s">
        <x:v>207</x:v>
      </x:c>
      <x:c r="D4" s="144" t="s">
        <x:v>208</x:v>
      </x:c>
      <x:c r="E4" s="144" t="s">
        <x:v>209</x:v>
      </x:c>
      <x:c r="F4" s="144" t="s">
        <x:v>210</x:v>
      </x:c>
      <x:c r="G4" s="144" t="s">
        <x:v>211</x:v>
      </x:c>
      <x:c r="H4" s="144" t="s">
        <x:v>212</x:v>
      </x:c>
      <x:c r="I4" s="144" t="s">
        <x:v>160</x:v>
      </x:c>
      <x:c r="J4" s="144" t="s">
        <x:v>51</x:v>
      </x:c>
      <x:c r="K4" s="144" t="s">
        <x:v>15</x:v>
      </x:c>
      <x:c r="L4" s="144" t="s">
        <x:v>52</x:v>
      </x:c>
    </x:row>
    <x:row r="5" ht="68" customHeight="1">
      <x:c r="A5" s="141" t="str">
        <x:v>C-001</x:v>
      </x:c>
      <x:c r="B5" s="145" t="n">
        <x:v>46287</x:v>
      </x:c>
      <x:c r="C5" s="142" t="str">
        <x:v>Change auth transport to support HttpOnly cookies while retaining request-body refresh compatibility.</x:v>
      </x:c>
      <x:c r="D5" s="143" t="str">
        <x:v>Not recorded</x:v>
      </x:c>
      <x:c r="E5" s="143" t="str">
        <x:v>Auth API / FE session contract / security configuration</x:v>
      </x:c>
      <x:c r="F5" s="143" t="str">
        <x:v>Changes login/refresh/logout token delivery. Baseline setup itself stays in TimeLogs.</x:v>
      </x:c>
      <x:c r="G5" s="86"/>
      <x:c r="H5" s="86" t="str">
        <x:v>Implemented in Git; no substantiated schedule change.</x:v>
      </x:c>
      <x:c r="I5" s="107" t="str">
        <x:v>High</x:v>
      </x:c>
      <x:c r="J5" s="143"/>
      <x:c r="K5" s="86" t="str">
        <x:v>Implemented</x:v>
      </x:c>
      <x:c r="L5" s="143" t="str">
        <x:v>backend 2c9d37f; TimeLogs TL-008. Recorded date comes from Git/docs, not an approval date. Measured effort delta and formal approver unavailable.</x:v>
      </x:c>
    </x:row>
    <x:row r="6" ht="72" customHeight="1">
      <x:c r="A6" s="141" t="str">
        <x:v>C-002</x:v>
      </x:c>
      <x:c r="B6" s="110" t="n">
        <x:v>46296</x:v>
      </x:c>
      <x:c r="C6" s="106" t="str">
        <x:v>Change service ownership: separate Library from Content, move activity/streak to User and retire Learning Support.</x:v>
      </x:c>
      <x:c r="D6" s="106" t="str">
        <x:v>Repository architecture plan; requester unconfirmed</x:v>
      </x:c>
      <x:c r="E6" s="106" t="str">
        <x:v>TDS / service boundaries / databases / Gateway routes</x:v>
      </x:c>
      <x:c r="F6" s="106" t="str">
        <x:v>Redistributes existing capabilities across bounded contexts.</x:v>
      </x:c>
      <x:c r="G6" s="105"/>
      <x:c r="H6" s="105" t="str">
        <x:v>Migration and routing work required; no approved time delta supplied.</x:v>
      </x:c>
      <x:c r="I6" s="107" t="str">
        <x:v>High</x:v>
      </x:c>
      <x:c r="J6" s="106"/>
      <x:c r="K6" s="86" t="str">
        <x:v>Implemented</x:v>
      </x:c>
      <x:c r="L6" s="106" t="str">
        <x:v>backend 465f543, d762660, fec5d14, ab613b1; 4350505 records catalog-migration approval specifically. TimeLogs TL-015. Recorded date comes from Git/docs, not an approval date. Measured effort delta and formal approver unavailable.</x:v>
      </x:c>
    </x:row>
    <x:row r="7" ht="72" customHeight="1">
      <x:c r="A7" s="141" t="str">
        <x:v>C-003</x:v>
      </x:c>
      <x:c r="B7" s="145" t="n">
        <x:v>46296</x:v>
      </x:c>
      <x:c r="C7" s="143" t="str">
        <x:v>Replace Python AI Learning runtime with Java Learning Service.</x:v>
      </x:c>
      <x:c r="D7" s="143" t="str">
        <x:v>Runtime-replacement plan; requester unconfirmed</x:v>
      </x:c>
      <x:c r="E7" s="143" t="str">
        <x:v>Architecture / deployment / learning persistence and APIs</x:v>
      </x:c>
      <x:c r="F7" s="143" t="str">
        <x:v>Retires the historical Python runtime and ports the core learning flow to Java.</x:v>
      </x:c>
      <x:c r="G7" s="86"/>
      <x:c r="H7" s="86" t="str">
        <x:v>Historical prototype work remains in TimeLogs; no reliable schedule delta.</x:v>
      </x:c>
      <x:c r="I7" s="107" t="str">
        <x:v>High</x:v>
      </x:c>
      <x:c r="J7" s="143"/>
      <x:c r="K7" s="86" t="str">
        <x:v>Implemented</x:v>
      </x:c>
      <x:c r="L7" s="143" t="str">
        <x:v>backend 746e7dc plan, d96ab9e skeleton, 23904e8 retirement docs. TimeLogs TL-011, TL-017, TL-018. Recorded date comes from Git/docs, not an approval date. Measured effort delta and formal approver unavailable.</x:v>
      </x:c>
    </x:row>
    <x:row r="8" ht="72" customHeight="1">
      <x:c r="A8" s="141" t="str">
        <x:v>C-004</x:v>
      </x:c>
      <x:c r="B8" s="110" t="n">
        <x:v>46296</x:v>
      </x:c>
      <x:c r="C8" s="106" t="str">
        <x:v>Extend lesson contract with ESSAY blocks and Writing submissions with LLM grading and points.</x:v>
      </x:c>
      <x:c r="D8" s="106" t="str">
        <x:v>Writing contract/roadmap; requester unconfirmed</x:v>
      </x:c>
      <x:c r="E8" s="106" t="str">
        <x:v>SRS / lesson contract / Content / Learning / Access</x:v>
      </x:c>
      <x:c r="F8" s="106" t="str">
        <x:v>Adds essay-answer semantics, Writing rubric grading, quota and point-charge/retry rules.</x:v>
      </x:c>
      <x:c r="G8" s="105"/>
      <x:c r="H8" s="105" t="str">
        <x:v>Requires implementation and acceptance across services; hours/delay not inferred.</x:v>
      </x:c>
      <x:c r="I8" s="107" t="str">
        <x:v>High</x:v>
      </x:c>
      <x:c r="J8" s="106"/>
      <x:c r="K8" s="86" t="str">
        <x:v>Implemented</x:v>
      </x:c>
      <x:c r="L8" s="106" t="str">
        <x:v>backend 4fc7be6 contract, f2dfc72 contract approval record, d08337a implementation. TimeLogs TL-019–020. Approval source applies only to that contract. Recorded date comes from Git/docs, not an approval date. Measured effort delta and formal approver unavailable.</x:v>
      </x:c>
    </x:row>
    <x:row r="9" ht="72" customHeight="1">
      <x:c r="A9" s="141" t="str">
        <x:v>C-005</x:v>
      </x:c>
      <x:c r="B9" s="145" t="n">
        <x:v>46298</x:v>
      </x:c>
      <x:c r="C9" s="143" t="str">
        <x:v>Change progression rules to skill-local gates, required lesson Practice and theory/remediation review without revealed-package reuse.</x:v>
      </x:c>
      <x:c r="D9" s="143" t="str">
        <x:v>Skill-tracks plan; requester unconfirmed</x:v>
      </x:c>
      <x:c r="E9" s="143" t="str">
        <x:v>SRS / Content ownership rules / Learning gates / FE workflow</x:v>
      </x:c>
      <x:c r="F9" s="143" t="str">
        <x:v>Lesson completion alone no longer unlocks final tests. Reviews are scoped by skill and unrevealed evidence rules.</x:v>
      </x:c>
      <x:c r="G9" s="86"/>
      <x:c r="H9" s="86" t="str">
        <x:v>BE recorded 03/10; FE followed 05/10. No measured delay asserted.</x:v>
      </x:c>
      <x:c r="I9" s="107" t="str">
        <x:v>High</x:v>
      </x:c>
      <x:c r="J9" s="143"/>
      <x:c r="K9" s="86" t="str">
        <x:v>Implemented</x:v>
      </x:c>
      <x:c r="L9" s="143" t="str">
        <x:v>backend a3447b9, 853ab82, 1a96c77, 8bb72cf, 6d9f623; frontend 6716dd9. TimeLogs TL-022, TL-026. Recorded date comes from Git/docs, not an approval date. Measured effort delta and formal approver unavailable.</x:v>
      </x:c>
    </x:row>
    <x:row r="10" ht="72" customHeight="1">
      <x:c r="A10" s="141" t="str">
        <x:v>C-006</x:v>
      </x:c>
      <x:c r="B10" s="110" t="n">
        <x:v>46302</x:v>
      </x:c>
      <x:c r="C10" s="106" t="str">
        <x:v>Add band-level courses, optional placement recommendations and a non-blocking course final test.</x:v>
      </x:c>
      <x:c r="D10" s="106" t="str">
        <x:v>Mentor/product-owner decisions recorded in course plan</x:v>
      </x:c>
      <x:c r="E10" s="106" t="str">
        <x:v>SRS / TDS / Content / Learning / Assessment contracts</x:v>
      </x:c>
      <x:c r="F10" s="106" t="str">
        <x:v>Courses group ordered topics by band; recommendation does not lock access. FE integration/Phase 1 allocation unconfirmed.</x:v>
      </x:c>
      <x:c r="G10" s="105"/>
      <x:c r="H10" s="105" t="str">
        <x:v>Backend merged 07/10; no accepted Phase 1 delivery delta.</x:v>
      </x:c>
      <x:c r="I10" s="107" t="str">
        <x:v>High</x:v>
      </x:c>
      <x:c r="J10" s="106"/>
      <x:c r="K10" s="86" t="str">
        <x:v>Implemented</x:v>
      </x:c>
      <x:c r="L10" s="106" t="str">
        <x:v>backend d867758, 559bf82, a401a33, 5ea098a; merge df6c57f (#45); backend/plans/261006-2228-course-band-levels/plan.md decisions. TimeLogs TL-029–030. Recorded date comes from Git/docs, not an approval date. Measured effort delta and formal approver unavailable.</x:v>
      </x:c>
    </x:row>
    <x:row r="11" ht="72" customHeight="1">
      <x:c r="A11" s="141" t="str">
        <x:v>C-007</x:v>
      </x:c>
      <x:c r="B11" s="145" t="n">
        <x:v>46302</x:v>
      </x:c>
      <x:c r="C11" s="143" t="str">
        <x:v>Revise Vision &amp; Scope to reflect mentor feedback and the full product feature set.</x:v>
      </x:c>
      <x:c r="D11" s="143" t="str">
        <x:v>Mentor feedback recorded in Report 1 history</x:v>
      </x:c>
      <x:c r="E11" s="143" t="str">
        <x:v>Report 1 / SRS traceability / phase allocation</x:v>
      </x:c>
      <x:c r="F11" s="143" t="str">
        <x:v>Full product scope includes future features. This document revision does not prove their implementation or Phase 1 acceptance.</x:v>
      </x:c>
      <x:c r="G11" s="86"/>
      <x:c r="H11" s="86" t="str">
        <x:v>Reconcile phase baseline before approval.</x:v>
      </x:c>
      <x:c r="I11" s="107" t="str">
        <x:v>High</x:v>
      </x:c>
      <x:c r="J11" s="143"/>
      <x:c r="K11" s="86" t="str">
        <x:v>In Review</x:v>
      </x:c>
      <x:c r="L11" s="143" t="str">
        <x:v>Report 1 v1.1.0 dated 07/10/2026; backend 36b1092 records the supporting BA/vision review. TimeLogs TL-028. Recorded date comes from Git/docs, not an approval date. Measured effort delta and formal approver unavailable.</x:v>
      </x:c>
    </x:row>
    <x:row r="12" ht="72" customHeight="1">
      <x:c r="A12" s="141" t="str">
        <x:v>C-008</x:v>
      </x:c>
      <x:c r="B12" s="110" t="n">
        <x:v>46301</x:v>
      </x:c>
      <x:c r="C12" s="106" t="str">
        <x:v>Propose multi-skill lessons and assessment AI essay grading as a future extension.</x:v>
      </x:c>
      <x:c r="D12" s="106" t="str">
        <x:v>Multi-skill plan; formal requester/approver unconfirmed</x:v>
      </x:c>
      <x:c r="E12" s="106" t="str">
        <x:v>Content / Learning / Assessment contracts and planned SRS changes</x:v>
      </x:c>
      <x:c r="F12" s="106" t="str">
        <x:v>Pending extension, not an implemented change or completed Phase 1 work item.</x:v>
      </x:c>
      <x:c r="G12" s="105"/>
      <x:c r="H12" s="105" t="str">
        <x:v>Plan remains pending; no actual implementation TimeLog inferred.</x:v>
      </x:c>
      <x:c r="I12" s="107" t="str">
        <x:v>High</x:v>
      </x:c>
      <x:c r="J12" s="106"/>
      <x:c r="K12" s="86" t="str">
        <x:v>Pending</x:v>
      </x:c>
      <x:c r="L12" s="106" t="str">
        <x:v>backend/plans/261006-2309-multi-skill-lessons/plan.md; refresh recorded in ddef7d5 on 07/10. Plan date is 06/10. Recorded date comes from Git/docs, not an approval date. Measured effort delta and formal approver unavailable.</x:v>
      </x:c>
    </x:row>
    <x:row r="13" ht="20.100000381469727" customHeight="1">
      <x:c r="A13" s="49"/>
      <x:c r="B13" s="15"/>
      <x:c r="C13" s="51"/>
      <x:c r="D13" s="51"/>
      <x:c r="E13" s="51"/>
      <x:c r="F13" s="51"/>
      <x:c r="G13" s="15"/>
      <x:c r="H13" s="15"/>
      <x:c r="I13" s="31"/>
      <x:c r="J13" s="51"/>
      <x:c r="K13" s="15"/>
      <x:c r="L13" s="51"/>
    </x:row>
    <x:row r="14" ht="20.100000381469727" customHeight="1">
      <x:c r="A14" s="49"/>
      <x:c r="B14" s="5"/>
      <x:c r="C14" s="12"/>
      <x:c r="D14" s="12"/>
      <x:c r="E14" s="12"/>
      <x:c r="F14" s="12"/>
      <x:c r="G14" s="5"/>
      <x:c r="H14" s="5"/>
      <x:c r="I14" s="31"/>
      <x:c r="J14" s="12"/>
      <x:c r="K14" s="15"/>
      <x:c r="L14" s="12"/>
    </x:row>
    <x:row r="15" ht="20.100000381469727" customHeight="1">
      <x:c r="A15" s="49"/>
      <x:c r="B15" s="15"/>
      <x:c r="C15" s="51"/>
      <x:c r="D15" s="51"/>
      <x:c r="E15" s="51"/>
      <x:c r="F15" s="51"/>
      <x:c r="G15" s="15"/>
      <x:c r="H15" s="15"/>
      <x:c r="I15" s="31"/>
      <x:c r="J15" s="51"/>
      <x:c r="K15" s="15"/>
      <x:c r="L15" s="51"/>
    </x:row>
    <x:row r="16" ht="20.100000381469727" customHeight="1">
      <x:c r="A16" s="49"/>
      <x:c r="B16" s="5"/>
      <x:c r="C16" s="12"/>
      <x:c r="D16" s="12"/>
      <x:c r="E16" s="12"/>
      <x:c r="F16" s="12"/>
      <x:c r="G16" s="5"/>
      <x:c r="H16" s="5"/>
      <x:c r="I16" s="31"/>
      <x:c r="J16" s="12"/>
      <x:c r="K16" s="15"/>
      <x:c r="L16" s="12"/>
    </x:row>
    <x:row r="17" ht="20.100000381469727" customHeight="1">
      <x:c r="A17" s="49"/>
      <x:c r="B17" s="15"/>
      <x:c r="C17" s="51"/>
      <x:c r="D17" s="51"/>
      <x:c r="E17" s="51"/>
      <x:c r="F17" s="51"/>
      <x:c r="G17" s="15"/>
      <x:c r="H17" s="15"/>
      <x:c r="I17" s="31"/>
      <x:c r="J17" s="51"/>
      <x:c r="K17" s="15"/>
      <x:c r="L17" s="51"/>
    </x:row>
    <x:row r="18" ht="20.100000381469727" customHeight="1">
      <x:c r="A18" s="49"/>
      <x:c r="B18" s="5"/>
      <x:c r="C18" s="12"/>
      <x:c r="D18" s="12"/>
      <x:c r="E18" s="12"/>
      <x:c r="F18" s="12"/>
      <x:c r="G18" s="5"/>
      <x:c r="H18" s="5"/>
      <x:c r="I18" s="31"/>
      <x:c r="J18" s="12"/>
      <x:c r="K18" s="15"/>
      <x:c r="L18" s="12"/>
    </x:row>
    <x:row r="19" ht="20.100000381469727" customHeight="1">
      <x:c r="A19" s="49"/>
      <x:c r="B19" s="15"/>
      <x:c r="C19" s="51"/>
      <x:c r="D19" s="51"/>
      <x:c r="E19" s="51"/>
      <x:c r="F19" s="51"/>
      <x:c r="G19" s="15"/>
      <x:c r="H19" s="15"/>
      <x:c r="I19" s="31"/>
      <x:c r="J19" s="51"/>
      <x:c r="K19" s="15"/>
      <x:c r="L19" s="51"/>
    </x:row>
    <x:row r="20" ht="20.100000381469727" customHeight="1">
      <x:c r="A20" s="49"/>
      <x:c r="B20" s="5"/>
      <x:c r="C20" s="12"/>
      <x:c r="D20" s="12"/>
      <x:c r="E20" s="12"/>
      <x:c r="F20" s="12"/>
      <x:c r="G20" s="5"/>
      <x:c r="H20" s="5"/>
      <x:c r="I20" s="31"/>
      <x:c r="J20" s="12"/>
      <x:c r="K20" s="15"/>
      <x:c r="L20" s="12"/>
    </x:row>
    <x:row r="21" ht="20.100000381469727" customHeight="1">
      <x:c r="A21" s="49"/>
      <x:c r="B21" s="15"/>
      <x:c r="C21" s="51"/>
      <x:c r="D21" s="51"/>
      <x:c r="E21" s="51"/>
      <x:c r="F21" s="51"/>
      <x:c r="G21" s="15"/>
      <x:c r="H21" s="15"/>
      <x:c r="I21" s="31"/>
      <x:c r="J21" s="51"/>
      <x:c r="K21" s="15"/>
      <x:c r="L21" s="51"/>
    </x:row>
    <x:row r="22" ht="20.100000381469727" customHeight="1">
      <x:c r="A22" s="49"/>
      <x:c r="B22" s="5"/>
      <x:c r="C22" s="12"/>
      <x:c r="D22" s="12"/>
      <x:c r="E22" s="12"/>
      <x:c r="F22" s="12"/>
      <x:c r="G22" s="5"/>
      <x:c r="H22" s="5"/>
      <x:c r="I22" s="31"/>
      <x:c r="J22" s="12"/>
      <x:c r="K22" s="15"/>
      <x:c r="L22" s="12"/>
    </x:row>
    <x:row r="23" ht="20.100000381469727" customHeight="1">
      <x:c r="A23" s="49"/>
      <x:c r="B23" s="15"/>
      <x:c r="C23" s="51"/>
      <x:c r="D23" s="51"/>
      <x:c r="E23" s="51"/>
      <x:c r="F23" s="51"/>
      <x:c r="G23" s="15"/>
      <x:c r="H23" s="15"/>
      <x:c r="I23" s="31"/>
      <x:c r="J23" s="51"/>
      <x:c r="K23" s="15"/>
      <x:c r="L23" s="51"/>
    </x:row>
    <x:row r="24" ht="20.100000381469727" customHeight="1">
      <x:c r="A24" s="49"/>
      <x:c r="B24" s="5"/>
      <x:c r="C24" s="12"/>
      <x:c r="D24" s="12"/>
      <x:c r="E24" s="12"/>
      <x:c r="F24" s="12"/>
      <x:c r="G24" s="5"/>
      <x:c r="H24" s="5"/>
      <x:c r="I24" s="31"/>
      <x:c r="J24" s="12"/>
      <x:c r="K24" s="15"/>
      <x:c r="L24" s="12"/>
    </x:row>
  </x:sheetData>
  <x:mergeCells>
    <x:mergeCell ref="A2:L2"/>
    <x:mergeCell ref="A1:L1"/>
  </x:mergeCells>
  <x:conditionalFormatting sqref="I5:I200">
    <x:cfRule type="cellIs" dxfId="15" priority="1" operator="equal">
      <x:formula>"Critical"</x:formula>
    </x:cfRule>
    <x:cfRule type="cellIs" dxfId="14" priority="2" operator="equal">
      <x:formula>"High"</x:formula>
    </x:cfRule>
    <x:cfRule type="cellIs" dxfId="13" priority="3" operator="equal">
      <x:formula>"Medium"</x:formula>
    </x:cfRule>
    <x:cfRule type="cellIs" dxfId="12" priority="4" operator="equal">
      <x:formula>"Low"</x:formula>
    </x:cfRule>
  </x:conditionalFormatting>
  <x:conditionalFormatting sqref="K5:K200">
    <x:cfRule type="cellIs" dxfId="11" priority="5" operator="equal">
      <x:formula>"Done"</x:formula>
    </x:cfRule>
    <x:cfRule type="cellIs" dxfId="10" priority="6" operator="equal">
      <x:formula>"Completed"</x:formula>
    </x:cfRule>
    <x:cfRule type="cellIs" dxfId="9" priority="7" operator="equal">
      <x:formula>"Closed"</x:formula>
    </x:cfRule>
    <x:cfRule type="cellIs" dxfId="8" priority="8" operator="equal">
      <x:formula>"Fixed"</x:formula>
    </x:cfRule>
    <x:cfRule type="cellIs" dxfId="7" priority="9" operator="equal">
      <x:formula>"Approved"</x:formula>
    </x:cfRule>
    <x:cfRule type="cellIs" dxfId="6" priority="10" operator="equal">
      <x:formula>"In Progress"</x:formula>
    </x:cfRule>
    <x:cfRule type="cellIs" dxfId="5" priority="11" operator="equal">
      <x:formula>"Open"</x:formula>
    </x:cfRule>
    <x:cfRule type="cellIs" dxfId="4" priority="12" operator="equal">
      <x:formula>"Pending"</x:formula>
    </x:cfRule>
    <x:cfRule type="cellIs" dxfId="3" priority="13" operator="equal">
      <x:formula>"Blocked"</x:formula>
    </x:cfRule>
    <x:cfRule type="cellIs" dxfId="2" priority="14" operator="equal">
      <x:formula>"Cancelled"</x:formula>
    </x:cfRule>
    <x:cfRule type="cellIs" dxfId="1" priority="15" operator="equal">
      <x:formula>"Rejected"</x:formula>
    </x:cfRule>
    <x:cfRule type="cellIs" dxfId="0" priority="16" operator="equal">
      <x:formula>"Submitted"</x:formula>
    </x:cfRule>
  </x:conditionalFormatting>
  <x:dataValidations count="2">
    <x:dataValidation type="list" allowBlank="1" sqref="I5:I200">
      <x:formula1>"Critical,High,Medium,Low"</x:formula1>
    </x:dataValidation>
    <x:dataValidation type="list" allowBlank="1" sqref="K5:K200">
      <x:formula1>"Pending,Approved,Rejected,Deferred,Implemented"</x:formula1>
    </x:dataValidation>
  </x:dataValidations>
  <x:pageMargins left="0.7" right="0.7" top="0.75" bottom="0.75" header="0.3" footer="0.3"/>
</x:worksheet>
</file>